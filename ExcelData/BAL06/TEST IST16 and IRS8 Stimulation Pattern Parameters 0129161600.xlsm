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4.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5.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6.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7.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8.xml" ContentType="application/vnd.openxmlformats-officedocument.themeOverrid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9.xml" ContentType="application/vnd.openxmlformats-officedocument.themeOverrid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10.xml" ContentType="application/vnd.openxmlformats-officedocument.themeOverrid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11.xml" ContentType="application/vnd.openxmlformats-officedocument.themeOverrid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12.xml" ContentType="application/vnd.openxmlformats-officedocument.themeOverrid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13.xml" ContentType="application/vnd.openxmlformats-officedocument.themeOverrid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theme/themeOverride14.xml" ContentType="application/vnd.openxmlformats-officedocument.themeOverrid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15.xml" ContentType="application/vnd.openxmlformats-officedocument.themeOverrid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heme/themeOverride16.xml" ContentType="application/vnd.openxmlformats-officedocument.themeOverrid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heme/themeOverride17.xml" ContentType="application/vnd.openxmlformats-officedocument.themeOverrid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heme/themeOverride18.xml" ContentType="application/vnd.openxmlformats-officedocument.themeOverrid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19.xml" ContentType="application/vnd.openxmlformats-officedocument.themeOverrid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heme/themeOverride20.xml" ContentType="application/vnd.openxmlformats-officedocument.themeOverrid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heme/themeOverride21.xml" ContentType="application/vnd.openxmlformats-officedocument.themeOverrid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heme/themeOverride22.xml" ContentType="application/vnd.openxmlformats-officedocument.themeOverrid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theme/themeOverride23.xml" ContentType="application/vnd.openxmlformats-officedocument.themeOverrid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heme/themeOverride24.xml" ContentType="application/vnd.openxmlformats-officedocument.themeOverrid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theme/themeOverride25.xml" ContentType="application/vnd.openxmlformats-officedocument.themeOverrid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theme/themeOverride26.xml" ContentType="application/vnd.openxmlformats-officedocument.themeOverrid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theme/themeOverride27.xml" ContentType="application/vnd.openxmlformats-officedocument.themeOverrid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heme/themeOverride28.xml" ContentType="application/vnd.openxmlformats-officedocument.themeOverrid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theme/themeOverride29.xml" ContentType="application/vnd.openxmlformats-officedocument.themeOverrid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theme/themeOverride30.xml" ContentType="application/vnd.openxmlformats-officedocument.themeOverrid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theme/themeOverride31.xml" ContentType="application/vnd.openxmlformats-officedocument.themeOverrid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theme/themeOverride32.xml" ContentType="application/vnd.openxmlformats-officedocument.themeOverrid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theme/themeOverride33.xml" ContentType="application/vnd.openxmlformats-officedocument.themeOverrid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theme/themeOverride34.xml" ContentType="application/vnd.openxmlformats-officedocument.themeOverrid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theme/themeOverride35.xml" ContentType="application/vnd.openxmlformats-officedocument.themeOverrid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theme/themeOverride36.xml" ContentType="application/vnd.openxmlformats-officedocument.themeOverrid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theme/themeOverride37.xml" ContentType="application/vnd.openxmlformats-officedocument.themeOverrid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theme/themeOverride38.xml" ContentType="application/vnd.openxmlformats-officedocument.themeOverrid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theme/themeOverride39.xml" ContentType="application/vnd.openxmlformats-officedocument.themeOverrid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theme/themeOverride40.xml" ContentType="application/vnd.openxmlformats-officedocument.themeOverrid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theme/themeOverride41.xml" ContentType="application/vnd.openxmlformats-officedocument.themeOverrid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theme/themeOverride42.xml" ContentType="application/vnd.openxmlformats-officedocument.themeOverrid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theme/themeOverride43.xml" ContentType="application/vnd.openxmlformats-officedocument.themeOverrid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theme/themeOverride44.xml" ContentType="application/vnd.openxmlformats-officedocument.themeOverrid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theme/themeOverride45.xml" ContentType="application/vnd.openxmlformats-officedocument.themeOverrid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theme/themeOverride46.xml" ContentType="application/vnd.openxmlformats-officedocument.themeOverrid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theme/themeOverride47.xml" ContentType="application/vnd.openxmlformats-officedocument.themeOverride+xml"/>
  <Override PartName="/xl/drawings/drawing2.xml" ContentType="application/vnd.openxmlformats-officedocument.drawing+xml"/>
  <Override PartName="/xl/ctrlProps/ctrlProp2.xml" ContentType="application/vnd.ms-excel.controlproperties+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theme/themeOverride48.xml" ContentType="application/vnd.openxmlformats-officedocument.themeOverrid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theme/themeOverride49.xml" ContentType="application/vnd.openxmlformats-officedocument.themeOverrid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theme/themeOverride50.xml" ContentType="application/vnd.openxmlformats-officedocument.themeOverrid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theme/themeOverride51.xml" ContentType="application/vnd.openxmlformats-officedocument.themeOverrid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theme/themeOverride52.xml" ContentType="application/vnd.openxmlformats-officedocument.themeOverrid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theme/themeOverride53.xml" ContentType="application/vnd.openxmlformats-officedocument.themeOverrid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theme/themeOverride54.xml" ContentType="application/vnd.openxmlformats-officedocument.themeOverrid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theme/themeOverride55.xml" ContentType="application/vnd.openxmlformats-officedocument.themeOverrid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theme/themeOverride56.xml" ContentType="application/vnd.openxmlformats-officedocument.themeOverrid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theme/themeOverride57.xml" ContentType="application/vnd.openxmlformats-officedocument.themeOverrid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theme/themeOverride58.xml" ContentType="application/vnd.openxmlformats-officedocument.themeOverrid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theme/themeOverride59.xml" ContentType="application/vnd.openxmlformats-officedocument.themeOverrid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theme/themeOverride60.xml" ContentType="application/vnd.openxmlformats-officedocument.themeOverrid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theme/themeOverride61.xml" ContentType="application/vnd.openxmlformats-officedocument.themeOverrid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theme/themeOverride62.xml" ContentType="application/vnd.openxmlformats-officedocument.themeOverrid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theme/themeOverride63.xml" ContentType="application/vnd.openxmlformats-officedocument.themeOverrid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theme/themeOverride64.xml" ContentType="application/vnd.openxmlformats-officedocument.themeOverrid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theme/themeOverride65.xml" ContentType="application/vnd.openxmlformats-officedocument.themeOverrid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theme/themeOverride66.xml" ContentType="application/vnd.openxmlformats-officedocument.themeOverrid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theme/themeOverride67.xml" ContentType="application/vnd.openxmlformats-officedocument.themeOverrid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theme/themeOverride68.xml" ContentType="application/vnd.openxmlformats-officedocument.themeOverrid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theme/themeOverride69.xml" ContentType="application/vnd.openxmlformats-officedocument.themeOverride+xml"/>
  <Override PartName="/xl/drawings/drawing3.xml" ContentType="application/vnd.openxmlformats-officedocument.drawing+xml"/>
  <Override PartName="/xl/ctrlProps/ctrlProp3.xml" ContentType="application/vnd.ms-excel.controlproperties+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theme/themeOverride70.xml" ContentType="application/vnd.openxmlformats-officedocument.themeOverrid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theme/themeOverride71.xml" ContentType="application/vnd.openxmlformats-officedocument.themeOverrid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theme/themeOverride72.xml" ContentType="application/vnd.openxmlformats-officedocument.themeOverrid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theme/themeOverride73.xml" ContentType="application/vnd.openxmlformats-officedocument.themeOverrid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theme/themeOverride74.xml" ContentType="application/vnd.openxmlformats-officedocument.themeOverrid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theme/themeOverride75.xml" ContentType="application/vnd.openxmlformats-officedocument.themeOverrid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theme/themeOverride76.xml" ContentType="application/vnd.openxmlformats-officedocument.themeOverride+xml"/>
  <Override PartName="/xl/charts/chart81.xml" ContentType="application/vnd.openxmlformats-officedocument.drawingml.chart+xml"/>
  <Override PartName="/xl/charts/style81.xml" ContentType="application/vnd.ms-office.chartstyle+xml"/>
  <Override PartName="/xl/charts/colors81.xml" ContentType="application/vnd.ms-office.chartcolorstyle+xml"/>
  <Override PartName="/xl/theme/themeOverride77.xml" ContentType="application/vnd.openxmlformats-officedocument.themeOverride+xml"/>
  <Override PartName="/xl/charts/chart82.xml" ContentType="application/vnd.openxmlformats-officedocument.drawingml.chart+xml"/>
  <Override PartName="/xl/charts/style82.xml" ContentType="application/vnd.ms-office.chartstyle+xml"/>
  <Override PartName="/xl/charts/colors82.xml" ContentType="application/vnd.ms-office.chartcolorstyle+xml"/>
  <Override PartName="/xl/theme/themeOverride78.xml" ContentType="application/vnd.openxmlformats-officedocument.themeOverride+xml"/>
  <Override PartName="/xl/charts/chart83.xml" ContentType="application/vnd.openxmlformats-officedocument.drawingml.chart+xml"/>
  <Override PartName="/xl/charts/style83.xml" ContentType="application/vnd.ms-office.chartstyle+xml"/>
  <Override PartName="/xl/charts/colors83.xml" ContentType="application/vnd.ms-office.chartcolorstyle+xml"/>
  <Override PartName="/xl/theme/themeOverride79.xml" ContentType="application/vnd.openxmlformats-officedocument.themeOverride+xml"/>
  <Override PartName="/xl/charts/chart84.xml" ContentType="application/vnd.openxmlformats-officedocument.drawingml.chart+xml"/>
  <Override PartName="/xl/charts/style84.xml" ContentType="application/vnd.ms-office.chartstyle+xml"/>
  <Override PartName="/xl/charts/colors84.xml" ContentType="application/vnd.ms-office.chartcolorstyle+xml"/>
  <Override PartName="/xl/theme/themeOverride80.xml" ContentType="application/vnd.openxmlformats-officedocument.themeOverride+xml"/>
  <Override PartName="/xl/charts/chart85.xml" ContentType="application/vnd.openxmlformats-officedocument.drawingml.chart+xml"/>
  <Override PartName="/xl/charts/style85.xml" ContentType="application/vnd.ms-office.chartstyle+xml"/>
  <Override PartName="/xl/charts/colors85.xml" ContentType="application/vnd.ms-office.chartcolorstyle+xml"/>
  <Override PartName="/xl/charts/chart86.xml" ContentType="application/vnd.openxmlformats-officedocument.drawingml.chart+xml"/>
  <Override PartName="/xl/charts/style86.xml" ContentType="application/vnd.ms-office.chartstyle+xml"/>
  <Override PartName="/xl/charts/colors86.xml" ContentType="application/vnd.ms-office.chartcolorstyle+xml"/>
  <Override PartName="/xl/theme/themeOverride81.xml" ContentType="application/vnd.openxmlformats-officedocument.themeOverride+xml"/>
  <Override PartName="/xl/charts/chart87.xml" ContentType="application/vnd.openxmlformats-officedocument.drawingml.chart+xml"/>
  <Override PartName="/xl/charts/style87.xml" ContentType="application/vnd.ms-office.chartstyle+xml"/>
  <Override PartName="/xl/charts/colors87.xml" ContentType="application/vnd.ms-office.chartcolorstyle+xml"/>
  <Override PartName="/xl/theme/themeOverride82.xml" ContentType="application/vnd.openxmlformats-officedocument.themeOverride+xml"/>
  <Override PartName="/xl/charts/chart88.xml" ContentType="application/vnd.openxmlformats-officedocument.drawingml.chart+xml"/>
  <Override PartName="/xl/charts/style88.xml" ContentType="application/vnd.ms-office.chartstyle+xml"/>
  <Override PartName="/xl/charts/colors88.xml" ContentType="application/vnd.ms-office.chartcolorstyle+xml"/>
  <Override PartName="/xl/theme/themeOverride83.xml" ContentType="application/vnd.openxmlformats-officedocument.themeOverride+xml"/>
  <Override PartName="/xl/charts/chart89.xml" ContentType="application/vnd.openxmlformats-officedocument.drawingml.chart+xml"/>
  <Override PartName="/xl/charts/style89.xml" ContentType="application/vnd.ms-office.chartstyle+xml"/>
  <Override PartName="/xl/charts/colors89.xml" ContentType="application/vnd.ms-office.chartcolorstyle+xml"/>
  <Override PartName="/xl/theme/themeOverride84.xml" ContentType="application/vnd.openxmlformats-officedocument.themeOverride+xml"/>
  <Override PartName="/xl/charts/chart90.xml" ContentType="application/vnd.openxmlformats-officedocument.drawingml.chart+xml"/>
  <Override PartName="/xl/charts/style90.xml" ContentType="application/vnd.ms-office.chartstyle+xml"/>
  <Override PartName="/xl/charts/colors90.xml" ContentType="application/vnd.ms-office.chartcolorstyle+xml"/>
  <Override PartName="/xl/theme/themeOverride85.xml" ContentType="application/vnd.openxmlformats-officedocument.themeOverride+xml"/>
  <Override PartName="/xl/charts/chart91.xml" ContentType="application/vnd.openxmlformats-officedocument.drawingml.chart+xml"/>
  <Override PartName="/xl/charts/style91.xml" ContentType="application/vnd.ms-office.chartstyle+xml"/>
  <Override PartName="/xl/charts/colors91.xml" ContentType="application/vnd.ms-office.chartcolorstyle+xml"/>
  <Override PartName="/xl/theme/themeOverride86.xml" ContentType="application/vnd.openxmlformats-officedocument.themeOverride+xml"/>
  <Override PartName="/xl/charts/chart92.xml" ContentType="application/vnd.openxmlformats-officedocument.drawingml.chart+xml"/>
  <Override PartName="/xl/charts/style92.xml" ContentType="application/vnd.ms-office.chartstyle+xml"/>
  <Override PartName="/xl/charts/colors92.xml" ContentType="application/vnd.ms-office.chartcolorstyle+xml"/>
  <Override PartName="/xl/theme/themeOverride87.xml" ContentType="application/vnd.openxmlformats-officedocument.themeOverride+xml"/>
  <Override PartName="/xl/charts/chart93.xml" ContentType="application/vnd.openxmlformats-officedocument.drawingml.chart+xml"/>
  <Override PartName="/xl/charts/style93.xml" ContentType="application/vnd.ms-office.chartstyle+xml"/>
  <Override PartName="/xl/charts/colors93.xml" ContentType="application/vnd.ms-office.chartcolorstyle+xml"/>
  <Override PartName="/xl/theme/themeOverride88.xml" ContentType="application/vnd.openxmlformats-officedocument.themeOverride+xml"/>
  <Override PartName="/xl/charts/chart94.xml" ContentType="application/vnd.openxmlformats-officedocument.drawingml.chart+xml"/>
  <Override PartName="/xl/charts/style94.xml" ContentType="application/vnd.ms-office.chartstyle+xml"/>
  <Override PartName="/xl/charts/colors94.xml" ContentType="application/vnd.ms-office.chartcolorstyle+xml"/>
  <Override PartName="/xl/theme/themeOverride89.xml" ContentType="application/vnd.openxmlformats-officedocument.themeOverride+xml"/>
  <Override PartName="/xl/charts/chart95.xml" ContentType="application/vnd.openxmlformats-officedocument.drawingml.chart+xml"/>
  <Override PartName="/xl/charts/style95.xml" ContentType="application/vnd.ms-office.chartstyle+xml"/>
  <Override PartName="/xl/charts/colors95.xml" ContentType="application/vnd.ms-office.chartcolorstyle+xml"/>
  <Override PartName="/xl/theme/themeOverride90.xml" ContentType="application/vnd.openxmlformats-officedocument.themeOverride+xml"/>
  <Override PartName="/xl/charts/chart96.xml" ContentType="application/vnd.openxmlformats-officedocument.drawingml.chart+xml"/>
  <Override PartName="/xl/charts/style96.xml" ContentType="application/vnd.ms-office.chartstyle+xml"/>
  <Override PartName="/xl/charts/colors96.xml" ContentType="application/vnd.ms-office.chartcolorstyle+xml"/>
  <Override PartName="/xl/theme/themeOverride91.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Google Drive\Sync - Work\CWRU\HNPv2\CodeRepo\CwruStim_PatternBuilder\ExcelData\BAL06\"/>
    </mc:Choice>
  </mc:AlternateContent>
  <bookViews>
    <workbookView xWindow="0" yWindow="0" windowWidth="21570" windowHeight="8085"/>
  </bookViews>
  <sheets>
    <sheet name="Walk" sheetId="3" r:id="rId1"/>
    <sheet name="Stand" sheetId="1" r:id="rId2"/>
    <sheet name="Sit" sheetId="4" r:id="rId3"/>
  </sheets>
  <definedNames>
    <definedName name="_xlnm.Print_Area" localSheetId="2">Sit!$A$1:$G$94</definedName>
    <definedName name="_xlnm.Print_Area" localSheetId="1">Stand!$A$1:$G$112</definedName>
    <definedName name="_xlnm.Print_Area" localSheetId="0">Walk!$A$1:$G$143</definedName>
  </definedNames>
  <calcPr calcId="162913"/>
</workbook>
</file>

<file path=xl/calcChain.xml><?xml version="1.0" encoding="utf-8"?>
<calcChain xmlns="http://schemas.openxmlformats.org/spreadsheetml/2006/main">
  <c r="J102" i="4" l="1"/>
  <c r="J94" i="4"/>
  <c r="J86" i="4"/>
  <c r="J78" i="4"/>
  <c r="J70" i="4"/>
  <c r="J62" i="4"/>
  <c r="J54" i="4"/>
  <c r="J46" i="4"/>
  <c r="B166" i="4"/>
  <c r="B158" i="4"/>
  <c r="B150" i="4"/>
  <c r="B142" i="4"/>
  <c r="J102" i="1"/>
  <c r="J94" i="1"/>
  <c r="J86" i="1"/>
  <c r="J78" i="1"/>
  <c r="J70" i="1"/>
  <c r="J62" i="1"/>
  <c r="J54" i="1"/>
  <c r="J46" i="1"/>
  <c r="B166" i="1"/>
  <c r="B158" i="1"/>
  <c r="B150" i="1"/>
  <c r="B142" i="1"/>
  <c r="O109" i="3" l="1"/>
  <c r="O108" i="3"/>
  <c r="O107" i="3"/>
  <c r="O106" i="3"/>
  <c r="O105" i="3"/>
  <c r="O104" i="3"/>
  <c r="O103" i="3"/>
  <c r="O102" i="3"/>
  <c r="N109" i="3"/>
  <c r="N108" i="3"/>
  <c r="N107" i="3"/>
  <c r="N106" i="3"/>
  <c r="N105" i="3"/>
  <c r="N104" i="3"/>
  <c r="N103" i="3"/>
  <c r="N102" i="3"/>
  <c r="L109" i="3"/>
  <c r="L108" i="3"/>
  <c r="L107" i="3"/>
  <c r="L106" i="3"/>
  <c r="L105" i="3"/>
  <c r="L104" i="3"/>
  <c r="L103" i="3"/>
  <c r="L102" i="3"/>
  <c r="K109" i="3"/>
  <c r="K108" i="3"/>
  <c r="K107" i="3"/>
  <c r="K106" i="3"/>
  <c r="K105" i="3"/>
  <c r="K104" i="3"/>
  <c r="K103" i="3"/>
  <c r="K102" i="3"/>
  <c r="O101" i="3"/>
  <c r="O100" i="3"/>
  <c r="O99" i="3"/>
  <c r="O98" i="3"/>
  <c r="O97" i="3"/>
  <c r="O96" i="3"/>
  <c r="O95" i="3"/>
  <c r="O94" i="3"/>
  <c r="N101" i="3"/>
  <c r="N100" i="3"/>
  <c r="N99" i="3"/>
  <c r="N98" i="3"/>
  <c r="N97" i="3"/>
  <c r="N96" i="3"/>
  <c r="N95" i="3"/>
  <c r="N94" i="3"/>
  <c r="L101" i="3"/>
  <c r="L100" i="3"/>
  <c r="L99" i="3"/>
  <c r="L98" i="3"/>
  <c r="L97" i="3"/>
  <c r="L96" i="3"/>
  <c r="L95" i="3"/>
  <c r="L94" i="3"/>
  <c r="K101" i="3"/>
  <c r="K100" i="3"/>
  <c r="K99" i="3"/>
  <c r="K98" i="3"/>
  <c r="K97" i="3"/>
  <c r="K96" i="3"/>
  <c r="K95" i="3"/>
  <c r="K94" i="3"/>
  <c r="O93" i="3"/>
  <c r="O92" i="3"/>
  <c r="O91" i="3"/>
  <c r="O90" i="3"/>
  <c r="O89" i="3"/>
  <c r="O88" i="3"/>
  <c r="O87" i="3"/>
  <c r="O86" i="3"/>
  <c r="N93" i="3"/>
  <c r="N92" i="3"/>
  <c r="N91" i="3"/>
  <c r="N90" i="3"/>
  <c r="N89" i="3"/>
  <c r="N88" i="3"/>
  <c r="N87" i="3"/>
  <c r="N86" i="3"/>
  <c r="L93" i="3"/>
  <c r="L92" i="3"/>
  <c r="L91" i="3"/>
  <c r="L90" i="3"/>
  <c r="L89" i="3"/>
  <c r="L88" i="3"/>
  <c r="L87" i="3"/>
  <c r="L86" i="3"/>
  <c r="K93" i="3"/>
  <c r="K92" i="3"/>
  <c r="K91" i="3"/>
  <c r="K90" i="3"/>
  <c r="K89" i="3"/>
  <c r="K88" i="3"/>
  <c r="K87" i="3"/>
  <c r="K86" i="3"/>
  <c r="O85" i="3"/>
  <c r="O84" i="3"/>
  <c r="O83" i="3"/>
  <c r="O82" i="3"/>
  <c r="O81" i="3"/>
  <c r="O80" i="3"/>
  <c r="O79" i="3"/>
  <c r="O78" i="3"/>
  <c r="N85" i="3"/>
  <c r="N84" i="3"/>
  <c r="N83" i="3"/>
  <c r="N82" i="3"/>
  <c r="N81" i="3"/>
  <c r="N80" i="3"/>
  <c r="N79" i="3"/>
  <c r="N78" i="3"/>
  <c r="L85" i="3"/>
  <c r="L84" i="3"/>
  <c r="L83" i="3"/>
  <c r="L82" i="3"/>
  <c r="L81" i="3"/>
  <c r="L80" i="3"/>
  <c r="L79" i="3"/>
  <c r="L78" i="3"/>
  <c r="K85" i="3"/>
  <c r="K84" i="3"/>
  <c r="K83" i="3"/>
  <c r="K82" i="3"/>
  <c r="K81" i="3"/>
  <c r="K80" i="3"/>
  <c r="K79" i="3"/>
  <c r="K78" i="3"/>
  <c r="O77" i="3"/>
  <c r="O76" i="3"/>
  <c r="O75" i="3"/>
  <c r="O74" i="3"/>
  <c r="O73" i="3"/>
  <c r="O72" i="3"/>
  <c r="O71" i="3"/>
  <c r="O70" i="3"/>
  <c r="N77" i="3"/>
  <c r="N76" i="3"/>
  <c r="N75" i="3"/>
  <c r="N74" i="3"/>
  <c r="N73" i="3"/>
  <c r="N72" i="3"/>
  <c r="N71" i="3"/>
  <c r="N70" i="3"/>
  <c r="L77" i="3"/>
  <c r="L76" i="3"/>
  <c r="L75" i="3"/>
  <c r="L74" i="3"/>
  <c r="L73" i="3"/>
  <c r="L72" i="3"/>
  <c r="L71" i="3"/>
  <c r="L70" i="3"/>
  <c r="K77" i="3"/>
  <c r="K76" i="3"/>
  <c r="K75" i="3"/>
  <c r="K74" i="3"/>
  <c r="K73" i="3"/>
  <c r="K72" i="3"/>
  <c r="K71" i="3"/>
  <c r="K70" i="3"/>
  <c r="O69" i="3"/>
  <c r="O68" i="3"/>
  <c r="O67" i="3"/>
  <c r="O66" i="3"/>
  <c r="O65" i="3"/>
  <c r="O64" i="3"/>
  <c r="O63" i="3"/>
  <c r="O62" i="3"/>
  <c r="N69" i="3"/>
  <c r="N68" i="3"/>
  <c r="N67" i="3"/>
  <c r="N66" i="3"/>
  <c r="N65" i="3"/>
  <c r="N64" i="3"/>
  <c r="N63" i="3"/>
  <c r="N62" i="3"/>
  <c r="L69" i="3"/>
  <c r="L68" i="3"/>
  <c r="L67" i="3"/>
  <c r="L66" i="3"/>
  <c r="L65" i="3"/>
  <c r="L64" i="3"/>
  <c r="L63" i="3"/>
  <c r="L62" i="3"/>
  <c r="K69" i="3"/>
  <c r="K68" i="3"/>
  <c r="K67" i="3"/>
  <c r="K66" i="3"/>
  <c r="K65" i="3"/>
  <c r="K64" i="3"/>
  <c r="K63" i="3"/>
  <c r="K62" i="3"/>
  <c r="O61" i="3"/>
  <c r="O60" i="3"/>
  <c r="O59" i="3"/>
  <c r="O58" i="3"/>
  <c r="O57" i="3"/>
  <c r="O56" i="3"/>
  <c r="O55" i="3"/>
  <c r="O54" i="3"/>
  <c r="N61" i="3"/>
  <c r="N60" i="3"/>
  <c r="N59" i="3"/>
  <c r="N58" i="3"/>
  <c r="N57" i="3"/>
  <c r="N56" i="3"/>
  <c r="N55" i="3"/>
  <c r="N54" i="3"/>
  <c r="L61" i="3"/>
  <c r="L60" i="3"/>
  <c r="L59" i="3"/>
  <c r="L58" i="3"/>
  <c r="L57" i="3"/>
  <c r="L56" i="3"/>
  <c r="L55" i="3"/>
  <c r="L54" i="3"/>
  <c r="K61" i="3"/>
  <c r="K60" i="3"/>
  <c r="K59" i="3"/>
  <c r="K58" i="3"/>
  <c r="K57" i="3"/>
  <c r="K56" i="3"/>
  <c r="K55" i="3"/>
  <c r="K54" i="3"/>
  <c r="P102" i="3"/>
  <c r="P94" i="3"/>
  <c r="P86" i="3"/>
  <c r="P78" i="3"/>
  <c r="P70" i="3"/>
  <c r="P62" i="3"/>
  <c r="P54" i="3"/>
  <c r="P46" i="3"/>
  <c r="O53" i="3"/>
  <c r="O52" i="3"/>
  <c r="O51" i="3"/>
  <c r="O50" i="3"/>
  <c r="O49" i="3"/>
  <c r="O48" i="3"/>
  <c r="O47" i="3"/>
  <c r="O46" i="3"/>
  <c r="N53" i="3"/>
  <c r="N52" i="3"/>
  <c r="N51" i="3"/>
  <c r="N50" i="3"/>
  <c r="N49" i="3"/>
  <c r="N48" i="3"/>
  <c r="N47" i="3"/>
  <c r="N46" i="3"/>
  <c r="L53" i="3"/>
  <c r="L52" i="3"/>
  <c r="L51" i="3"/>
  <c r="L50" i="3"/>
  <c r="L49" i="3"/>
  <c r="L48" i="3"/>
  <c r="L47" i="3"/>
  <c r="L46" i="3"/>
  <c r="K53" i="3"/>
  <c r="K52" i="3"/>
  <c r="K51" i="3"/>
  <c r="K50" i="3"/>
  <c r="K49" i="3"/>
  <c r="K48" i="3"/>
  <c r="K47" i="3"/>
  <c r="K46" i="3"/>
  <c r="M102" i="3"/>
  <c r="M94" i="3"/>
  <c r="M86" i="3"/>
  <c r="M78" i="3"/>
  <c r="M70" i="3"/>
  <c r="M62" i="3"/>
  <c r="M54" i="3"/>
  <c r="M46" i="3"/>
  <c r="P754" i="3"/>
  <c r="O754" i="3"/>
  <c r="B754" i="3"/>
  <c r="A754" i="3"/>
  <c r="P753" i="3"/>
  <c r="O753" i="3"/>
  <c r="B753" i="3"/>
  <c r="A753" i="3"/>
  <c r="P752" i="3"/>
  <c r="O752" i="3"/>
  <c r="B752" i="3"/>
  <c r="A752" i="3"/>
  <c r="P751" i="3"/>
  <c r="O751" i="3"/>
  <c r="B751" i="3"/>
  <c r="A751" i="3"/>
  <c r="P750" i="3"/>
  <c r="O750" i="3"/>
  <c r="B750" i="3"/>
  <c r="A750" i="3"/>
  <c r="P749" i="3"/>
  <c r="O749" i="3"/>
  <c r="B749" i="3"/>
  <c r="A749" i="3"/>
  <c r="P748" i="3"/>
  <c r="O748" i="3"/>
  <c r="B748" i="3"/>
  <c r="A748" i="3"/>
  <c r="P747" i="3"/>
  <c r="O747" i="3"/>
  <c r="B747" i="3"/>
  <c r="A747" i="3"/>
  <c r="P730" i="3"/>
  <c r="O730" i="3"/>
  <c r="B730" i="3"/>
  <c r="A730" i="3"/>
  <c r="P729" i="3"/>
  <c r="O729" i="3"/>
  <c r="B729" i="3"/>
  <c r="A729" i="3"/>
  <c r="P728" i="3"/>
  <c r="O728" i="3"/>
  <c r="B728" i="3"/>
  <c r="A728" i="3"/>
  <c r="P727" i="3"/>
  <c r="O727" i="3"/>
  <c r="B727" i="3"/>
  <c r="A727" i="3"/>
  <c r="P726" i="3"/>
  <c r="O726" i="3"/>
  <c r="B726" i="3"/>
  <c r="A726" i="3"/>
  <c r="P725" i="3"/>
  <c r="O725" i="3"/>
  <c r="B725" i="3"/>
  <c r="A725" i="3"/>
  <c r="P724" i="3"/>
  <c r="O724" i="3"/>
  <c r="B724" i="3"/>
  <c r="A724" i="3"/>
  <c r="P723" i="3"/>
  <c r="O723" i="3"/>
  <c r="B723" i="3"/>
  <c r="A723" i="3"/>
  <c r="P706" i="3"/>
  <c r="O706" i="3"/>
  <c r="B706" i="3"/>
  <c r="A706" i="3"/>
  <c r="P705" i="3"/>
  <c r="O705" i="3"/>
  <c r="B705" i="3"/>
  <c r="A705" i="3"/>
  <c r="P704" i="3"/>
  <c r="O704" i="3"/>
  <c r="B704" i="3"/>
  <c r="A704" i="3"/>
  <c r="P703" i="3"/>
  <c r="O703" i="3"/>
  <c r="B703" i="3"/>
  <c r="A703" i="3"/>
  <c r="P702" i="3"/>
  <c r="O702" i="3"/>
  <c r="B702" i="3"/>
  <c r="A702" i="3"/>
  <c r="P701" i="3"/>
  <c r="O701" i="3"/>
  <c r="B701" i="3"/>
  <c r="A701" i="3"/>
  <c r="P700" i="3"/>
  <c r="O700" i="3"/>
  <c r="B700" i="3"/>
  <c r="A700" i="3"/>
  <c r="P699" i="3"/>
  <c r="O699" i="3"/>
  <c r="B699" i="3"/>
  <c r="A699" i="3"/>
  <c r="P682" i="3"/>
  <c r="O682" i="3"/>
  <c r="B682" i="3"/>
  <c r="A682" i="3"/>
  <c r="P681" i="3"/>
  <c r="O681" i="3"/>
  <c r="B681" i="3"/>
  <c r="A681" i="3"/>
  <c r="P680" i="3"/>
  <c r="O680" i="3"/>
  <c r="B680" i="3"/>
  <c r="A680" i="3"/>
  <c r="P679" i="3"/>
  <c r="O679" i="3"/>
  <c r="B679" i="3"/>
  <c r="A679" i="3"/>
  <c r="P678" i="3"/>
  <c r="O678" i="3"/>
  <c r="B678" i="3"/>
  <c r="A678" i="3"/>
  <c r="P677" i="3"/>
  <c r="O677" i="3"/>
  <c r="B677" i="3"/>
  <c r="A677" i="3"/>
  <c r="P676" i="3"/>
  <c r="O676" i="3"/>
  <c r="B676" i="3"/>
  <c r="A676" i="3"/>
  <c r="P675" i="3"/>
  <c r="O675" i="3"/>
  <c r="B675" i="3"/>
  <c r="A675" i="3"/>
  <c r="P658" i="3"/>
  <c r="O658" i="3"/>
  <c r="B658" i="3"/>
  <c r="A658" i="3"/>
  <c r="P657" i="3"/>
  <c r="O657" i="3"/>
  <c r="B657" i="3"/>
  <c r="A657" i="3"/>
  <c r="P656" i="3"/>
  <c r="O656" i="3"/>
  <c r="B656" i="3"/>
  <c r="A656" i="3"/>
  <c r="P655" i="3"/>
  <c r="O655" i="3"/>
  <c r="B655" i="3"/>
  <c r="A655" i="3"/>
  <c r="P654" i="3"/>
  <c r="O654" i="3"/>
  <c r="B654" i="3"/>
  <c r="A654" i="3"/>
  <c r="P653" i="3"/>
  <c r="O653" i="3"/>
  <c r="B653" i="3"/>
  <c r="A653" i="3"/>
  <c r="P652" i="3"/>
  <c r="O652" i="3"/>
  <c r="B652" i="3"/>
  <c r="A652" i="3"/>
  <c r="P651" i="3"/>
  <c r="O651" i="3"/>
  <c r="B651" i="3"/>
  <c r="A651" i="3"/>
  <c r="P634" i="3"/>
  <c r="O634" i="3"/>
  <c r="B634" i="3"/>
  <c r="A634" i="3"/>
  <c r="P633" i="3"/>
  <c r="O633" i="3"/>
  <c r="B633" i="3"/>
  <c r="A633" i="3"/>
  <c r="P632" i="3"/>
  <c r="O632" i="3"/>
  <c r="B632" i="3"/>
  <c r="A632" i="3"/>
  <c r="P631" i="3"/>
  <c r="O631" i="3"/>
  <c r="B631" i="3"/>
  <c r="A631" i="3"/>
  <c r="P630" i="3"/>
  <c r="O630" i="3"/>
  <c r="B630" i="3"/>
  <c r="A630" i="3"/>
  <c r="P629" i="3"/>
  <c r="O629" i="3"/>
  <c r="B629" i="3"/>
  <c r="A629" i="3"/>
  <c r="P628" i="3"/>
  <c r="O628" i="3"/>
  <c r="B628" i="3"/>
  <c r="A628" i="3"/>
  <c r="P627" i="3"/>
  <c r="O627" i="3"/>
  <c r="B627" i="3"/>
  <c r="A627" i="3"/>
  <c r="P610" i="3"/>
  <c r="O610" i="3"/>
  <c r="B610" i="3"/>
  <c r="A610" i="3"/>
  <c r="P609" i="3"/>
  <c r="O609" i="3"/>
  <c r="B609" i="3"/>
  <c r="A609" i="3"/>
  <c r="P608" i="3"/>
  <c r="O608" i="3"/>
  <c r="B608" i="3"/>
  <c r="A608" i="3"/>
  <c r="P607" i="3"/>
  <c r="O607" i="3"/>
  <c r="B607" i="3"/>
  <c r="A607" i="3"/>
  <c r="P606" i="3"/>
  <c r="O606" i="3"/>
  <c r="B606" i="3"/>
  <c r="A606" i="3"/>
  <c r="P605" i="3"/>
  <c r="O605" i="3"/>
  <c r="B605" i="3"/>
  <c r="A605" i="3"/>
  <c r="P604" i="3"/>
  <c r="O604" i="3"/>
  <c r="B604" i="3"/>
  <c r="A604" i="3"/>
  <c r="P603" i="3"/>
  <c r="O603" i="3"/>
  <c r="B603" i="3"/>
  <c r="A603" i="3"/>
  <c r="P586" i="3"/>
  <c r="O586" i="3"/>
  <c r="B586" i="3"/>
  <c r="A586" i="3"/>
  <c r="P585" i="3"/>
  <c r="O585" i="3"/>
  <c r="B585" i="3"/>
  <c r="A585" i="3"/>
  <c r="P584" i="3"/>
  <c r="O584" i="3"/>
  <c r="B584" i="3"/>
  <c r="A584" i="3"/>
  <c r="P583" i="3"/>
  <c r="O583" i="3"/>
  <c r="B583" i="3"/>
  <c r="A583" i="3"/>
  <c r="P582" i="3"/>
  <c r="O582" i="3"/>
  <c r="B582" i="3"/>
  <c r="A582" i="3"/>
  <c r="P581" i="3"/>
  <c r="O581" i="3"/>
  <c r="B581" i="3"/>
  <c r="A581" i="3"/>
  <c r="P580" i="3"/>
  <c r="O580" i="3"/>
  <c r="B580" i="3"/>
  <c r="A580" i="3"/>
  <c r="P579" i="3"/>
  <c r="O579" i="3"/>
  <c r="B579" i="3"/>
  <c r="A579" i="3"/>
  <c r="G173" i="3" l="1"/>
  <c r="G172" i="3"/>
  <c r="G171" i="3"/>
  <c r="G170" i="3"/>
  <c r="G169" i="3"/>
  <c r="G168" i="3"/>
  <c r="G167" i="3"/>
  <c r="G166" i="3"/>
  <c r="F173" i="3"/>
  <c r="F172" i="3"/>
  <c r="F171" i="3"/>
  <c r="F170" i="3"/>
  <c r="F169" i="3"/>
  <c r="F168" i="3"/>
  <c r="F167" i="3"/>
  <c r="F166" i="3"/>
  <c r="D173" i="3"/>
  <c r="D172" i="3"/>
  <c r="D171" i="3"/>
  <c r="D170" i="3"/>
  <c r="D169" i="3"/>
  <c r="D168" i="3"/>
  <c r="D167" i="3"/>
  <c r="D166" i="3"/>
  <c r="C173" i="3"/>
  <c r="C172" i="3"/>
  <c r="C171" i="3"/>
  <c r="C170" i="3"/>
  <c r="C169" i="3"/>
  <c r="C168" i="3"/>
  <c r="C167" i="3"/>
  <c r="C166" i="3"/>
  <c r="H166" i="3"/>
  <c r="E166" i="3"/>
  <c r="G165" i="3"/>
  <c r="G164" i="3"/>
  <c r="G163" i="3"/>
  <c r="G162" i="3"/>
  <c r="G161" i="3"/>
  <c r="G160" i="3"/>
  <c r="G159" i="3"/>
  <c r="G158" i="3"/>
  <c r="F165" i="3"/>
  <c r="F164" i="3"/>
  <c r="F163" i="3"/>
  <c r="F162" i="3"/>
  <c r="F161" i="3"/>
  <c r="F160" i="3"/>
  <c r="F159" i="3"/>
  <c r="F158" i="3"/>
  <c r="D165" i="3"/>
  <c r="D164" i="3"/>
  <c r="D163" i="3"/>
  <c r="D162" i="3"/>
  <c r="D161" i="3"/>
  <c r="D160" i="3"/>
  <c r="D159" i="3"/>
  <c r="D158" i="3"/>
  <c r="C165" i="3"/>
  <c r="C164" i="3"/>
  <c r="C163" i="3"/>
  <c r="C162" i="3"/>
  <c r="C161" i="3"/>
  <c r="C160" i="3"/>
  <c r="C159" i="3"/>
  <c r="C158" i="3"/>
  <c r="H158" i="3" l="1"/>
  <c r="E158" i="3"/>
  <c r="G157" i="3"/>
  <c r="G156" i="3"/>
  <c r="G155" i="3"/>
  <c r="G154" i="3"/>
  <c r="G153" i="3"/>
  <c r="G152" i="3"/>
  <c r="G151" i="3"/>
  <c r="G150" i="3"/>
  <c r="F157" i="3"/>
  <c r="F156" i="3"/>
  <c r="F155" i="3"/>
  <c r="F154" i="3"/>
  <c r="F153" i="3"/>
  <c r="F152" i="3"/>
  <c r="F151" i="3"/>
  <c r="F150" i="3"/>
  <c r="D157" i="3"/>
  <c r="D156" i="3"/>
  <c r="D155" i="3"/>
  <c r="D154" i="3"/>
  <c r="D153" i="3"/>
  <c r="D152" i="3"/>
  <c r="D151" i="3"/>
  <c r="D150" i="3"/>
  <c r="C157" i="3"/>
  <c r="C156" i="3"/>
  <c r="C155" i="3"/>
  <c r="C154" i="3"/>
  <c r="C153" i="3"/>
  <c r="C152" i="3"/>
  <c r="C151" i="3"/>
  <c r="C150" i="3"/>
  <c r="H150" i="3"/>
  <c r="E150" i="3"/>
  <c r="H142" i="3"/>
  <c r="E142" i="3"/>
  <c r="G149" i="3"/>
  <c r="G148" i="3"/>
  <c r="G147" i="3"/>
  <c r="G146" i="3"/>
  <c r="G145" i="3"/>
  <c r="G144" i="3"/>
  <c r="G143" i="3"/>
  <c r="G142" i="3"/>
  <c r="F149" i="3"/>
  <c r="F148" i="3"/>
  <c r="F147" i="3"/>
  <c r="F146" i="3"/>
  <c r="F145" i="3"/>
  <c r="F144" i="3"/>
  <c r="F143" i="3"/>
  <c r="F142" i="3"/>
  <c r="C149" i="3"/>
  <c r="C148" i="3"/>
  <c r="C147" i="3"/>
  <c r="C146" i="3"/>
  <c r="C145" i="3"/>
  <c r="C144" i="3"/>
  <c r="C143" i="3"/>
  <c r="C142" i="3"/>
  <c r="D149" i="3"/>
  <c r="D148" i="3"/>
  <c r="D147" i="3"/>
  <c r="D146" i="3"/>
  <c r="D145" i="3"/>
  <c r="D144" i="3"/>
  <c r="D143" i="3"/>
  <c r="D142" i="3"/>
  <c r="I142" i="3"/>
  <c r="B754" i="4" l="1"/>
  <c r="A754" i="4"/>
  <c r="B753" i="4"/>
  <c r="A753" i="4"/>
  <c r="B752" i="4"/>
  <c r="A752" i="4"/>
  <c r="B751" i="4"/>
  <c r="A751" i="4"/>
  <c r="B750" i="4"/>
  <c r="A750" i="4"/>
  <c r="B749" i="4"/>
  <c r="A749" i="4"/>
  <c r="B748" i="4"/>
  <c r="A748" i="4"/>
  <c r="B747" i="4"/>
  <c r="A747" i="4"/>
  <c r="B730" i="4"/>
  <c r="A730" i="4"/>
  <c r="B729" i="4"/>
  <c r="A729" i="4"/>
  <c r="B728" i="4"/>
  <c r="A728" i="4"/>
  <c r="B727" i="4"/>
  <c r="A727" i="4"/>
  <c r="B726" i="4"/>
  <c r="A726" i="4"/>
  <c r="B725" i="4"/>
  <c r="A725" i="4"/>
  <c r="B724" i="4"/>
  <c r="A724" i="4"/>
  <c r="B723" i="4"/>
  <c r="A723" i="4"/>
  <c r="B706" i="4"/>
  <c r="A706" i="4"/>
  <c r="B705" i="4"/>
  <c r="A705" i="4"/>
  <c r="B704" i="4"/>
  <c r="A704" i="4"/>
  <c r="B703" i="4"/>
  <c r="A703" i="4"/>
  <c r="B702" i="4"/>
  <c r="A702" i="4"/>
  <c r="B701" i="4"/>
  <c r="A701" i="4"/>
  <c r="B700" i="4"/>
  <c r="A700" i="4"/>
  <c r="B699" i="4"/>
  <c r="A699" i="4"/>
  <c r="B682" i="4"/>
  <c r="A682" i="4"/>
  <c r="B681" i="4"/>
  <c r="A681" i="4"/>
  <c r="B680" i="4"/>
  <c r="A680" i="4"/>
  <c r="B679" i="4"/>
  <c r="A679" i="4"/>
  <c r="B678" i="4"/>
  <c r="A678" i="4"/>
  <c r="B677" i="4"/>
  <c r="A677" i="4"/>
  <c r="B676" i="4"/>
  <c r="A676" i="4"/>
  <c r="B675" i="4"/>
  <c r="A675" i="4"/>
  <c r="B658" i="4"/>
  <c r="A658" i="4"/>
  <c r="B657" i="4"/>
  <c r="A657" i="4"/>
  <c r="B656" i="4"/>
  <c r="A656" i="4"/>
  <c r="B655" i="4"/>
  <c r="A655" i="4"/>
  <c r="B654" i="4"/>
  <c r="A654" i="4"/>
  <c r="B653" i="4"/>
  <c r="A653" i="4"/>
  <c r="B652" i="4"/>
  <c r="A652" i="4"/>
  <c r="B651" i="4"/>
  <c r="A651" i="4"/>
  <c r="B634" i="4"/>
  <c r="A634" i="4"/>
  <c r="B633" i="4"/>
  <c r="A633" i="4"/>
  <c r="B632" i="4"/>
  <c r="A632" i="4"/>
  <c r="B631" i="4"/>
  <c r="A631" i="4"/>
  <c r="B630" i="4"/>
  <c r="A630" i="4"/>
  <c r="B629" i="4"/>
  <c r="A629" i="4"/>
  <c r="B628" i="4"/>
  <c r="A628" i="4"/>
  <c r="B627" i="4"/>
  <c r="A627" i="4"/>
  <c r="B610" i="4"/>
  <c r="A610" i="4"/>
  <c r="B609" i="4"/>
  <c r="A609" i="4"/>
  <c r="B608" i="4"/>
  <c r="A608" i="4"/>
  <c r="B607" i="4"/>
  <c r="A607" i="4"/>
  <c r="B606" i="4"/>
  <c r="A606" i="4"/>
  <c r="B605" i="4"/>
  <c r="A605" i="4"/>
  <c r="B604" i="4"/>
  <c r="A604" i="4"/>
  <c r="B603" i="4"/>
  <c r="A603" i="4"/>
  <c r="B586" i="4"/>
  <c r="A586" i="4"/>
  <c r="B585" i="4"/>
  <c r="A585" i="4"/>
  <c r="B584" i="4"/>
  <c r="A584" i="4"/>
  <c r="B583" i="4"/>
  <c r="A583" i="4"/>
  <c r="B582" i="4"/>
  <c r="A582" i="4"/>
  <c r="B581" i="4"/>
  <c r="A581" i="4"/>
  <c r="B580" i="4"/>
  <c r="A580" i="4"/>
  <c r="B579" i="4"/>
  <c r="A579" i="4"/>
  <c r="B562" i="4"/>
  <c r="A562" i="4"/>
  <c r="B561" i="4"/>
  <c r="A561" i="4"/>
  <c r="B560" i="4"/>
  <c r="A560" i="4"/>
  <c r="B559" i="4"/>
  <c r="A559" i="4"/>
  <c r="B558" i="4"/>
  <c r="A558" i="4"/>
  <c r="B557" i="4"/>
  <c r="A557" i="4"/>
  <c r="B556" i="4"/>
  <c r="A556" i="4"/>
  <c r="B555" i="4"/>
  <c r="A555" i="4"/>
  <c r="B538" i="4"/>
  <c r="A538" i="4"/>
  <c r="B537" i="4"/>
  <c r="A537" i="4"/>
  <c r="B536" i="4"/>
  <c r="A536" i="4"/>
  <c r="B535" i="4"/>
  <c r="A535" i="4"/>
  <c r="B534" i="4"/>
  <c r="A534" i="4"/>
  <c r="B533" i="4"/>
  <c r="A533" i="4"/>
  <c r="B532" i="4"/>
  <c r="A532" i="4"/>
  <c r="B531" i="4"/>
  <c r="A531" i="4"/>
  <c r="B514" i="4"/>
  <c r="A514" i="4"/>
  <c r="B513" i="4"/>
  <c r="A513" i="4"/>
  <c r="B512" i="4"/>
  <c r="A512" i="4"/>
  <c r="B511" i="4"/>
  <c r="A511" i="4"/>
  <c r="B510" i="4"/>
  <c r="A510" i="4"/>
  <c r="B509" i="4"/>
  <c r="A509" i="4"/>
  <c r="B508" i="4"/>
  <c r="A508" i="4"/>
  <c r="B507" i="4"/>
  <c r="A507" i="4"/>
  <c r="B490" i="4"/>
  <c r="A490" i="4"/>
  <c r="B489" i="4"/>
  <c r="A489" i="4"/>
  <c r="B488" i="4"/>
  <c r="A488" i="4"/>
  <c r="B487" i="4"/>
  <c r="A487" i="4"/>
  <c r="B486" i="4"/>
  <c r="A486" i="4"/>
  <c r="B485" i="4"/>
  <c r="A485" i="4"/>
  <c r="B484" i="4"/>
  <c r="A484" i="4"/>
  <c r="B483" i="4"/>
  <c r="A483" i="4"/>
  <c r="B465" i="4"/>
  <c r="A465" i="4"/>
  <c r="B464" i="4"/>
  <c r="A464" i="4"/>
  <c r="B463" i="4"/>
  <c r="A463" i="4"/>
  <c r="B462" i="4"/>
  <c r="A462" i="4"/>
  <c r="B461" i="4"/>
  <c r="A461" i="4"/>
  <c r="B460" i="4"/>
  <c r="A460" i="4"/>
  <c r="B459" i="4"/>
  <c r="A459" i="4"/>
  <c r="B458" i="4"/>
  <c r="A458" i="4"/>
  <c r="B441" i="4"/>
  <c r="A441" i="4"/>
  <c r="B440" i="4"/>
  <c r="A440" i="4"/>
  <c r="B439" i="4"/>
  <c r="A439" i="4"/>
  <c r="B438" i="4"/>
  <c r="A438" i="4"/>
  <c r="B437" i="4"/>
  <c r="A437" i="4"/>
  <c r="B436" i="4"/>
  <c r="A436" i="4"/>
  <c r="B435" i="4"/>
  <c r="A435" i="4"/>
  <c r="B434" i="4"/>
  <c r="A434" i="4"/>
  <c r="B417" i="4"/>
  <c r="A417" i="4"/>
  <c r="B416" i="4"/>
  <c r="A416" i="4"/>
  <c r="B415" i="4"/>
  <c r="A415" i="4"/>
  <c r="B414" i="4"/>
  <c r="A414" i="4"/>
  <c r="B413" i="4"/>
  <c r="A413" i="4"/>
  <c r="B412" i="4"/>
  <c r="A412" i="4"/>
  <c r="B411" i="4"/>
  <c r="A411" i="4"/>
  <c r="B410" i="4"/>
  <c r="A410" i="4"/>
  <c r="B393" i="4"/>
  <c r="A393" i="4"/>
  <c r="B392" i="4"/>
  <c r="A392" i="4"/>
  <c r="B391" i="4"/>
  <c r="A391" i="4"/>
  <c r="B390" i="4"/>
  <c r="A390" i="4"/>
  <c r="B389" i="4"/>
  <c r="A389" i="4"/>
  <c r="B388" i="4"/>
  <c r="A388" i="4"/>
  <c r="B387" i="4"/>
  <c r="A387" i="4"/>
  <c r="B386" i="4"/>
  <c r="A386" i="4"/>
  <c r="B369" i="4"/>
  <c r="A369" i="4"/>
  <c r="B368" i="4"/>
  <c r="A368" i="4"/>
  <c r="B367" i="4"/>
  <c r="A367" i="4"/>
  <c r="B366" i="4"/>
  <c r="A366" i="4"/>
  <c r="B365" i="4"/>
  <c r="A365" i="4"/>
  <c r="B364" i="4"/>
  <c r="A364" i="4"/>
  <c r="B363" i="4"/>
  <c r="A363" i="4"/>
  <c r="B362" i="4"/>
  <c r="A362" i="4"/>
  <c r="B345" i="4"/>
  <c r="A345" i="4"/>
  <c r="B344" i="4"/>
  <c r="A344" i="4"/>
  <c r="B343" i="4"/>
  <c r="A343" i="4"/>
  <c r="B342" i="4"/>
  <c r="A342" i="4"/>
  <c r="B341" i="4"/>
  <c r="A341" i="4"/>
  <c r="B340" i="4"/>
  <c r="A340" i="4"/>
  <c r="B339" i="4"/>
  <c r="A339" i="4"/>
  <c r="B338" i="4"/>
  <c r="A338" i="4"/>
  <c r="B321" i="4"/>
  <c r="A321" i="4"/>
  <c r="B320" i="4"/>
  <c r="A320" i="4"/>
  <c r="B319" i="4"/>
  <c r="A319" i="4"/>
  <c r="B318" i="4"/>
  <c r="A318" i="4"/>
  <c r="B317" i="4"/>
  <c r="A317" i="4"/>
  <c r="B316" i="4"/>
  <c r="A316" i="4"/>
  <c r="B315" i="4"/>
  <c r="A315" i="4"/>
  <c r="B314" i="4"/>
  <c r="A314" i="4"/>
  <c r="B297" i="4"/>
  <c r="A297" i="4"/>
  <c r="B296" i="4"/>
  <c r="A296" i="4"/>
  <c r="B295" i="4"/>
  <c r="A295" i="4"/>
  <c r="B294" i="4"/>
  <c r="A294" i="4"/>
  <c r="B293" i="4"/>
  <c r="A293" i="4"/>
  <c r="B292" i="4"/>
  <c r="A292" i="4"/>
  <c r="B291" i="4"/>
  <c r="A291" i="4"/>
  <c r="B290" i="4"/>
  <c r="A290" i="4"/>
  <c r="B273" i="4"/>
  <c r="A273" i="4"/>
  <c r="B272" i="4"/>
  <c r="A272" i="4"/>
  <c r="B271" i="4"/>
  <c r="A271" i="4"/>
  <c r="B270" i="4"/>
  <c r="A270" i="4"/>
  <c r="B269" i="4"/>
  <c r="A269" i="4"/>
  <c r="B268" i="4"/>
  <c r="A268" i="4"/>
  <c r="B267" i="4"/>
  <c r="A267" i="4"/>
  <c r="B266" i="4"/>
  <c r="A266" i="4"/>
  <c r="B249" i="4"/>
  <c r="A249" i="4"/>
  <c r="B248" i="4"/>
  <c r="A248" i="4"/>
  <c r="B247" i="4"/>
  <c r="A247" i="4"/>
  <c r="B246" i="4"/>
  <c r="A246" i="4"/>
  <c r="B245" i="4"/>
  <c r="A245" i="4"/>
  <c r="B244" i="4"/>
  <c r="A244" i="4"/>
  <c r="B243" i="4"/>
  <c r="A243" i="4"/>
  <c r="B242" i="4"/>
  <c r="A242" i="4"/>
  <c r="B225" i="4"/>
  <c r="A225" i="4"/>
  <c r="B224" i="4"/>
  <c r="A224" i="4"/>
  <c r="B223" i="4"/>
  <c r="A223" i="4"/>
  <c r="B222" i="4"/>
  <c r="A222" i="4"/>
  <c r="B221" i="4"/>
  <c r="A221" i="4"/>
  <c r="B220" i="4"/>
  <c r="A220" i="4"/>
  <c r="B219" i="4"/>
  <c r="A219" i="4"/>
  <c r="B218" i="4"/>
  <c r="A218" i="4"/>
  <c r="B201" i="4"/>
  <c r="A201" i="4"/>
  <c r="B200" i="4"/>
  <c r="A200" i="4"/>
  <c r="B199" i="4"/>
  <c r="A199" i="4"/>
  <c r="B198" i="4"/>
  <c r="A198" i="4"/>
  <c r="B197" i="4"/>
  <c r="A197" i="4"/>
  <c r="B196" i="4"/>
  <c r="A196" i="4"/>
  <c r="B195" i="4"/>
  <c r="A195" i="4"/>
  <c r="B194" i="4"/>
  <c r="A194" i="4"/>
  <c r="L109" i="4"/>
  <c r="K109" i="4"/>
  <c r="L108" i="4"/>
  <c r="K108" i="4"/>
  <c r="L107" i="4"/>
  <c r="K107" i="4"/>
  <c r="L106" i="4"/>
  <c r="K106" i="4"/>
  <c r="L105" i="4"/>
  <c r="K105" i="4"/>
  <c r="L104" i="4"/>
  <c r="K104" i="4"/>
  <c r="L103" i="4"/>
  <c r="K103" i="4"/>
  <c r="M102" i="4"/>
  <c r="L102" i="4"/>
  <c r="K102" i="4"/>
  <c r="L101" i="4"/>
  <c r="K101" i="4"/>
  <c r="L100" i="4"/>
  <c r="K100" i="4"/>
  <c r="L99" i="4"/>
  <c r="K99" i="4"/>
  <c r="L98" i="4"/>
  <c r="K98" i="4"/>
  <c r="L97" i="4"/>
  <c r="K97" i="4"/>
  <c r="L96" i="4"/>
  <c r="K96" i="4"/>
  <c r="L95" i="4"/>
  <c r="K95" i="4"/>
  <c r="M94" i="4"/>
  <c r="L94" i="4"/>
  <c r="K94" i="4"/>
  <c r="L93" i="4"/>
  <c r="K93" i="4"/>
  <c r="L92" i="4"/>
  <c r="K92" i="4"/>
  <c r="L91" i="4"/>
  <c r="K91" i="4"/>
  <c r="L90" i="4"/>
  <c r="K90" i="4"/>
  <c r="L89" i="4"/>
  <c r="K89" i="4"/>
  <c r="L88" i="4"/>
  <c r="K88" i="4"/>
  <c r="L87" i="4"/>
  <c r="K87" i="4"/>
  <c r="M86" i="4"/>
  <c r="L86" i="4"/>
  <c r="K86" i="4"/>
  <c r="L85" i="4"/>
  <c r="K85" i="4"/>
  <c r="L84" i="4"/>
  <c r="K84" i="4"/>
  <c r="L83" i="4"/>
  <c r="K83" i="4"/>
  <c r="L82" i="4"/>
  <c r="K82" i="4"/>
  <c r="L81" i="4"/>
  <c r="K81" i="4"/>
  <c r="L80" i="4"/>
  <c r="K80" i="4"/>
  <c r="L79" i="4"/>
  <c r="K79" i="4"/>
  <c r="M78" i="4"/>
  <c r="L78" i="4"/>
  <c r="K78" i="4"/>
  <c r="L77" i="4"/>
  <c r="K77" i="4"/>
  <c r="L76" i="4"/>
  <c r="K76" i="4"/>
  <c r="L75" i="4"/>
  <c r="K75" i="4"/>
  <c r="L74" i="4"/>
  <c r="K74" i="4"/>
  <c r="L73" i="4"/>
  <c r="K73" i="4"/>
  <c r="L72" i="4"/>
  <c r="K72" i="4"/>
  <c r="L71" i="4"/>
  <c r="K71" i="4"/>
  <c r="M70" i="4"/>
  <c r="L70" i="4"/>
  <c r="K70" i="4"/>
  <c r="L69" i="4"/>
  <c r="K69" i="4"/>
  <c r="L68" i="4"/>
  <c r="K68" i="4"/>
  <c r="L67" i="4"/>
  <c r="K67" i="4"/>
  <c r="L66" i="4"/>
  <c r="K66" i="4"/>
  <c r="L65" i="4"/>
  <c r="K65" i="4"/>
  <c r="L64" i="4"/>
  <c r="K64" i="4"/>
  <c r="L63" i="4"/>
  <c r="K63" i="4"/>
  <c r="M62" i="4"/>
  <c r="L62" i="4"/>
  <c r="K62" i="4"/>
  <c r="L61" i="4"/>
  <c r="K61" i="4"/>
  <c r="L60" i="4"/>
  <c r="K60" i="4"/>
  <c r="L59" i="4"/>
  <c r="K59" i="4"/>
  <c r="L58" i="4"/>
  <c r="K58" i="4"/>
  <c r="L57" i="4"/>
  <c r="K57" i="4"/>
  <c r="L56" i="4"/>
  <c r="K56" i="4"/>
  <c r="L55" i="4"/>
  <c r="K55" i="4"/>
  <c r="M54" i="4"/>
  <c r="L54" i="4"/>
  <c r="K54" i="4"/>
  <c r="L53" i="4"/>
  <c r="K53" i="4"/>
  <c r="L52" i="4"/>
  <c r="K52" i="4"/>
  <c r="L51" i="4"/>
  <c r="K51" i="4"/>
  <c r="L50" i="4"/>
  <c r="K50" i="4"/>
  <c r="L49" i="4"/>
  <c r="K49" i="4"/>
  <c r="L48" i="4"/>
  <c r="K48" i="4"/>
  <c r="L47" i="4"/>
  <c r="K47" i="4"/>
  <c r="M46" i="4"/>
  <c r="L46" i="4"/>
  <c r="K46" i="4"/>
  <c r="D173" i="4"/>
  <c r="C173" i="4"/>
  <c r="D172" i="4"/>
  <c r="C172" i="4"/>
  <c r="D171" i="4"/>
  <c r="C171" i="4"/>
  <c r="D170" i="4"/>
  <c r="C170" i="4"/>
  <c r="D169" i="4"/>
  <c r="C169" i="4"/>
  <c r="D168" i="4"/>
  <c r="C168" i="4"/>
  <c r="D167" i="4"/>
  <c r="C167" i="4"/>
  <c r="E166" i="4"/>
  <c r="D166" i="4"/>
  <c r="C166" i="4"/>
  <c r="D165" i="4"/>
  <c r="C165" i="4"/>
  <c r="D164" i="4"/>
  <c r="C164" i="4"/>
  <c r="D163" i="4"/>
  <c r="C163" i="4"/>
  <c r="D162" i="4"/>
  <c r="C162" i="4"/>
  <c r="D161" i="4"/>
  <c r="C161" i="4"/>
  <c r="D160" i="4"/>
  <c r="C160" i="4"/>
  <c r="D159" i="4"/>
  <c r="C159" i="4"/>
  <c r="E158" i="4"/>
  <c r="D158" i="4"/>
  <c r="C158" i="4"/>
  <c r="D157" i="4"/>
  <c r="C157" i="4"/>
  <c r="D156" i="4"/>
  <c r="C156" i="4"/>
  <c r="D155" i="4"/>
  <c r="C155" i="4"/>
  <c r="D154" i="4"/>
  <c r="C154" i="4"/>
  <c r="D153" i="4"/>
  <c r="C153" i="4"/>
  <c r="D152" i="4"/>
  <c r="C152" i="4"/>
  <c r="D151" i="4"/>
  <c r="C151" i="4"/>
  <c r="E150" i="4"/>
  <c r="D150" i="4"/>
  <c r="C150" i="4"/>
  <c r="D149" i="4"/>
  <c r="C149" i="4"/>
  <c r="D148" i="4"/>
  <c r="C148" i="4"/>
  <c r="D147" i="4"/>
  <c r="C147" i="4"/>
  <c r="D146" i="4"/>
  <c r="C146" i="4"/>
  <c r="D145" i="4"/>
  <c r="C145" i="4"/>
  <c r="D144" i="4"/>
  <c r="C144" i="4"/>
  <c r="D143" i="4"/>
  <c r="C143" i="4"/>
  <c r="E142" i="4"/>
  <c r="D142" i="4"/>
  <c r="C142" i="4"/>
  <c r="D141" i="4"/>
  <c r="C141" i="4"/>
  <c r="D140" i="4"/>
  <c r="C140" i="4"/>
  <c r="D139" i="4"/>
  <c r="C139" i="4"/>
  <c r="D138" i="4"/>
  <c r="C138" i="4"/>
  <c r="D137" i="4"/>
  <c r="C137" i="4"/>
  <c r="D136" i="4"/>
  <c r="C136" i="4"/>
  <c r="D135" i="4"/>
  <c r="C135" i="4"/>
  <c r="E134" i="4"/>
  <c r="D134" i="4"/>
  <c r="C134" i="4"/>
  <c r="B134" i="4"/>
  <c r="D133" i="4"/>
  <c r="C133" i="4"/>
  <c r="D132" i="4"/>
  <c r="C132" i="4"/>
  <c r="D131" i="4"/>
  <c r="C131" i="4"/>
  <c r="D130" i="4"/>
  <c r="C130" i="4"/>
  <c r="D129" i="4"/>
  <c r="C129" i="4"/>
  <c r="D128" i="4"/>
  <c r="C128" i="4"/>
  <c r="D127" i="4"/>
  <c r="C127" i="4"/>
  <c r="E126" i="4"/>
  <c r="D126" i="4"/>
  <c r="C126" i="4"/>
  <c r="B126" i="4"/>
  <c r="D125" i="4"/>
  <c r="C125" i="4"/>
  <c r="D124" i="4"/>
  <c r="C124" i="4"/>
  <c r="D123" i="4"/>
  <c r="C123" i="4"/>
  <c r="D122" i="4"/>
  <c r="C122" i="4"/>
  <c r="D121" i="4"/>
  <c r="C121" i="4"/>
  <c r="D120" i="4"/>
  <c r="C120" i="4"/>
  <c r="D119" i="4"/>
  <c r="C119" i="4"/>
  <c r="E118" i="4"/>
  <c r="D118" i="4"/>
  <c r="C118" i="4"/>
  <c r="B118" i="4"/>
  <c r="D117" i="4"/>
  <c r="C117" i="4"/>
  <c r="D116" i="4"/>
  <c r="C116" i="4"/>
  <c r="D115" i="4"/>
  <c r="C115" i="4"/>
  <c r="D114" i="4"/>
  <c r="C114" i="4"/>
  <c r="D113" i="4"/>
  <c r="C113" i="4"/>
  <c r="D112" i="4"/>
  <c r="C112" i="4"/>
  <c r="D111" i="4"/>
  <c r="C111" i="4"/>
  <c r="E110" i="4"/>
  <c r="D110" i="4"/>
  <c r="C110" i="4"/>
  <c r="B110" i="4"/>
  <c r="D109" i="4"/>
  <c r="C109" i="4"/>
  <c r="D108" i="4"/>
  <c r="C108" i="4"/>
  <c r="D107" i="4"/>
  <c r="C107" i="4"/>
  <c r="D106" i="4"/>
  <c r="C106" i="4"/>
  <c r="D105" i="4"/>
  <c r="C105" i="4"/>
  <c r="D104" i="4"/>
  <c r="C104" i="4"/>
  <c r="D103" i="4"/>
  <c r="C103" i="4"/>
  <c r="E102" i="4"/>
  <c r="D102" i="4"/>
  <c r="C102" i="4"/>
  <c r="B102" i="4"/>
  <c r="D101" i="4"/>
  <c r="C101" i="4"/>
  <c r="D100" i="4"/>
  <c r="C100" i="4"/>
  <c r="D99" i="4"/>
  <c r="C99" i="4"/>
  <c r="D98" i="4"/>
  <c r="C98" i="4"/>
  <c r="D97" i="4"/>
  <c r="C97" i="4"/>
  <c r="D96" i="4"/>
  <c r="C96" i="4"/>
  <c r="D95" i="4"/>
  <c r="C95" i="4"/>
  <c r="E94" i="4"/>
  <c r="D94" i="4"/>
  <c r="C94" i="4"/>
  <c r="B94" i="4"/>
  <c r="D93" i="4"/>
  <c r="C93" i="4"/>
  <c r="D92" i="4"/>
  <c r="C92" i="4"/>
  <c r="D91" i="4"/>
  <c r="C91" i="4"/>
  <c r="D90" i="4"/>
  <c r="C90" i="4"/>
  <c r="D89" i="4"/>
  <c r="C89" i="4"/>
  <c r="D88" i="4"/>
  <c r="C88" i="4"/>
  <c r="D87" i="4"/>
  <c r="C87" i="4"/>
  <c r="E86" i="4"/>
  <c r="D86" i="4"/>
  <c r="C86" i="4"/>
  <c r="B86" i="4"/>
  <c r="D85" i="4"/>
  <c r="C85" i="4"/>
  <c r="D84" i="4"/>
  <c r="C84" i="4"/>
  <c r="D83" i="4"/>
  <c r="C83" i="4"/>
  <c r="D82" i="4"/>
  <c r="C82" i="4"/>
  <c r="D81" i="4"/>
  <c r="C81" i="4"/>
  <c r="D80" i="4"/>
  <c r="C80" i="4"/>
  <c r="D79" i="4"/>
  <c r="C79" i="4"/>
  <c r="E78" i="4"/>
  <c r="D78" i="4"/>
  <c r="C78" i="4"/>
  <c r="B78" i="4"/>
  <c r="D77" i="4"/>
  <c r="C77" i="4"/>
  <c r="D76" i="4"/>
  <c r="C76" i="4"/>
  <c r="D75" i="4"/>
  <c r="C75" i="4"/>
  <c r="D74" i="4"/>
  <c r="C74" i="4"/>
  <c r="D73" i="4"/>
  <c r="C73" i="4"/>
  <c r="D72" i="4"/>
  <c r="C72" i="4"/>
  <c r="D71" i="4"/>
  <c r="C71" i="4"/>
  <c r="E70" i="4"/>
  <c r="D70" i="4"/>
  <c r="C70" i="4"/>
  <c r="B70" i="4"/>
  <c r="D69" i="4"/>
  <c r="C69" i="4"/>
  <c r="D68" i="4"/>
  <c r="C68" i="4"/>
  <c r="D67" i="4"/>
  <c r="C67" i="4"/>
  <c r="D66" i="4"/>
  <c r="C66" i="4"/>
  <c r="D65" i="4"/>
  <c r="C65" i="4"/>
  <c r="D64" i="4"/>
  <c r="C64" i="4"/>
  <c r="D63" i="4"/>
  <c r="C63" i="4"/>
  <c r="E62" i="4"/>
  <c r="D62" i="4"/>
  <c r="C62" i="4"/>
  <c r="B62" i="4"/>
  <c r="D61" i="4"/>
  <c r="C61" i="4"/>
  <c r="D60" i="4"/>
  <c r="C60" i="4"/>
  <c r="D59" i="4"/>
  <c r="C59" i="4"/>
  <c r="D58" i="4"/>
  <c r="C58" i="4"/>
  <c r="D57" i="4"/>
  <c r="C57" i="4"/>
  <c r="D56" i="4"/>
  <c r="C56" i="4"/>
  <c r="D55" i="4"/>
  <c r="C55" i="4"/>
  <c r="E54" i="4"/>
  <c r="D54" i="4"/>
  <c r="C54" i="4"/>
  <c r="B54" i="4"/>
  <c r="D53" i="4"/>
  <c r="C53" i="4"/>
  <c r="D52" i="4"/>
  <c r="C52" i="4"/>
  <c r="D51" i="4"/>
  <c r="C51" i="4"/>
  <c r="D50" i="4"/>
  <c r="C50" i="4"/>
  <c r="D49" i="4"/>
  <c r="C49" i="4"/>
  <c r="D48" i="4"/>
  <c r="C48" i="4"/>
  <c r="D47" i="4"/>
  <c r="C47" i="4"/>
  <c r="E46" i="4"/>
  <c r="D46" i="4"/>
  <c r="C46" i="4"/>
  <c r="B46" i="4"/>
  <c r="B134" i="1" l="1"/>
  <c r="B126" i="1"/>
  <c r="B118" i="1"/>
  <c r="B110" i="1"/>
  <c r="B102" i="1"/>
  <c r="B94" i="1"/>
  <c r="B86" i="1"/>
  <c r="B78" i="1"/>
  <c r="B70" i="1"/>
  <c r="B62" i="1"/>
  <c r="B54" i="1"/>
  <c r="B46" i="1"/>
  <c r="B754" i="1" l="1"/>
  <c r="A754" i="1"/>
  <c r="B753" i="1"/>
  <c r="A753" i="1"/>
  <c r="B752" i="1"/>
  <c r="A752" i="1"/>
  <c r="B751" i="1"/>
  <c r="A751" i="1"/>
  <c r="B750" i="1"/>
  <c r="A750" i="1"/>
  <c r="B749" i="1"/>
  <c r="A749" i="1"/>
  <c r="B748" i="1"/>
  <c r="A748" i="1"/>
  <c r="B747" i="1"/>
  <c r="A747" i="1"/>
  <c r="B730" i="1"/>
  <c r="A730" i="1"/>
  <c r="B729" i="1"/>
  <c r="A729" i="1"/>
  <c r="B728" i="1"/>
  <c r="A728" i="1"/>
  <c r="B727" i="1"/>
  <c r="A727" i="1"/>
  <c r="B726" i="1"/>
  <c r="A726" i="1"/>
  <c r="B725" i="1"/>
  <c r="A725" i="1"/>
  <c r="B724" i="1"/>
  <c r="A724" i="1"/>
  <c r="B723" i="1"/>
  <c r="A723" i="1"/>
  <c r="B706" i="1"/>
  <c r="A706" i="1"/>
  <c r="B705" i="1"/>
  <c r="A705" i="1"/>
  <c r="B704" i="1"/>
  <c r="A704" i="1"/>
  <c r="B703" i="1"/>
  <c r="A703" i="1"/>
  <c r="B702" i="1"/>
  <c r="A702" i="1"/>
  <c r="B701" i="1"/>
  <c r="A701" i="1"/>
  <c r="B700" i="1"/>
  <c r="A700" i="1"/>
  <c r="B699" i="1"/>
  <c r="A699" i="1"/>
  <c r="B682" i="1"/>
  <c r="A682" i="1"/>
  <c r="B681" i="1"/>
  <c r="A681" i="1"/>
  <c r="B680" i="1"/>
  <c r="A680" i="1"/>
  <c r="B679" i="1"/>
  <c r="A679" i="1"/>
  <c r="B678" i="1"/>
  <c r="A678" i="1"/>
  <c r="B677" i="1"/>
  <c r="A677" i="1"/>
  <c r="B676" i="1"/>
  <c r="A676" i="1"/>
  <c r="B675" i="1"/>
  <c r="A675" i="1"/>
  <c r="B658" i="1"/>
  <c r="A658" i="1"/>
  <c r="B657" i="1"/>
  <c r="A657" i="1"/>
  <c r="B656" i="1"/>
  <c r="A656" i="1"/>
  <c r="B655" i="1"/>
  <c r="A655" i="1"/>
  <c r="B654" i="1"/>
  <c r="A654" i="1"/>
  <c r="B653" i="1"/>
  <c r="A653" i="1"/>
  <c r="B652" i="1"/>
  <c r="A652" i="1"/>
  <c r="B651" i="1"/>
  <c r="A651" i="1"/>
  <c r="B634" i="1"/>
  <c r="A634" i="1"/>
  <c r="B633" i="1"/>
  <c r="A633" i="1"/>
  <c r="B632" i="1"/>
  <c r="A632" i="1"/>
  <c r="B631" i="1"/>
  <c r="A631" i="1"/>
  <c r="B630" i="1"/>
  <c r="A630" i="1"/>
  <c r="B629" i="1"/>
  <c r="A629" i="1"/>
  <c r="B628" i="1"/>
  <c r="A628" i="1"/>
  <c r="B627" i="1"/>
  <c r="A627" i="1"/>
  <c r="B610" i="1"/>
  <c r="A610" i="1"/>
  <c r="B609" i="1"/>
  <c r="A609" i="1"/>
  <c r="B608" i="1"/>
  <c r="A608" i="1"/>
  <c r="B607" i="1"/>
  <c r="A607" i="1"/>
  <c r="B606" i="1"/>
  <c r="A606" i="1"/>
  <c r="B605" i="1"/>
  <c r="A605" i="1"/>
  <c r="B604" i="1"/>
  <c r="A604" i="1"/>
  <c r="B603" i="1"/>
  <c r="A603" i="1"/>
  <c r="B586" i="1"/>
  <c r="A586" i="1"/>
  <c r="B585" i="1"/>
  <c r="A585" i="1"/>
  <c r="B584" i="1"/>
  <c r="A584" i="1"/>
  <c r="B583" i="1"/>
  <c r="A583" i="1"/>
  <c r="B582" i="1"/>
  <c r="A582" i="1"/>
  <c r="B581" i="1"/>
  <c r="A581" i="1"/>
  <c r="B580" i="1"/>
  <c r="A580" i="1"/>
  <c r="B579" i="1"/>
  <c r="A579" i="1"/>
  <c r="B562" i="1"/>
  <c r="A562" i="1"/>
  <c r="B561" i="1"/>
  <c r="A561" i="1"/>
  <c r="B560" i="1"/>
  <c r="A560" i="1"/>
  <c r="B559" i="1"/>
  <c r="A559" i="1"/>
  <c r="B558" i="1"/>
  <c r="A558" i="1"/>
  <c r="B557" i="1"/>
  <c r="A557" i="1"/>
  <c r="B556" i="1"/>
  <c r="A556" i="1"/>
  <c r="B555" i="1"/>
  <c r="A555" i="1"/>
  <c r="B538" i="1"/>
  <c r="A538" i="1"/>
  <c r="B537" i="1"/>
  <c r="A537" i="1"/>
  <c r="B536" i="1"/>
  <c r="A536" i="1"/>
  <c r="B535" i="1"/>
  <c r="A535" i="1"/>
  <c r="B534" i="1"/>
  <c r="A534" i="1"/>
  <c r="B533" i="1"/>
  <c r="A533" i="1"/>
  <c r="B532" i="1"/>
  <c r="A532" i="1"/>
  <c r="B531" i="1"/>
  <c r="A531" i="1"/>
  <c r="B514" i="1"/>
  <c r="A514" i="1"/>
  <c r="B513" i="1"/>
  <c r="A513" i="1"/>
  <c r="B512" i="1"/>
  <c r="A512" i="1"/>
  <c r="B511" i="1"/>
  <c r="A511" i="1"/>
  <c r="B510" i="1"/>
  <c r="A510" i="1"/>
  <c r="B509" i="1"/>
  <c r="A509" i="1"/>
  <c r="B508" i="1"/>
  <c r="A508" i="1"/>
  <c r="B507" i="1"/>
  <c r="A507" i="1"/>
  <c r="B490" i="1"/>
  <c r="A490" i="1"/>
  <c r="B489" i="1"/>
  <c r="A489" i="1"/>
  <c r="B488" i="1"/>
  <c r="A488" i="1"/>
  <c r="B487" i="1"/>
  <c r="A487" i="1"/>
  <c r="B486" i="1"/>
  <c r="A486" i="1"/>
  <c r="B485" i="1"/>
  <c r="A485" i="1"/>
  <c r="B484" i="1"/>
  <c r="A484" i="1"/>
  <c r="B483" i="1"/>
  <c r="A483" i="1"/>
  <c r="B465" i="1"/>
  <c r="A465" i="1"/>
  <c r="B464" i="1"/>
  <c r="A464" i="1"/>
  <c r="B463" i="1"/>
  <c r="A463" i="1"/>
  <c r="B462" i="1"/>
  <c r="A462" i="1"/>
  <c r="B461" i="1"/>
  <c r="A461" i="1"/>
  <c r="B460" i="1"/>
  <c r="A460" i="1"/>
  <c r="B459" i="1"/>
  <c r="A459" i="1"/>
  <c r="B458" i="1"/>
  <c r="A458" i="1"/>
  <c r="B441" i="1"/>
  <c r="A441" i="1"/>
  <c r="B440" i="1"/>
  <c r="A440" i="1"/>
  <c r="B439" i="1"/>
  <c r="A439" i="1"/>
  <c r="B438" i="1"/>
  <c r="A438" i="1"/>
  <c r="B437" i="1"/>
  <c r="A437" i="1"/>
  <c r="B436" i="1"/>
  <c r="A436" i="1"/>
  <c r="B435" i="1"/>
  <c r="A435" i="1"/>
  <c r="B434" i="1"/>
  <c r="A434" i="1"/>
  <c r="B417" i="1"/>
  <c r="A417" i="1"/>
  <c r="B416" i="1"/>
  <c r="A416" i="1"/>
  <c r="B415" i="1"/>
  <c r="A415" i="1"/>
  <c r="B414" i="1"/>
  <c r="A414" i="1"/>
  <c r="B413" i="1"/>
  <c r="A413" i="1"/>
  <c r="B412" i="1"/>
  <c r="A412" i="1"/>
  <c r="B411" i="1"/>
  <c r="A411" i="1"/>
  <c r="B410" i="1"/>
  <c r="A410" i="1"/>
  <c r="B393" i="1"/>
  <c r="A393" i="1"/>
  <c r="B392" i="1"/>
  <c r="A392" i="1"/>
  <c r="B391" i="1"/>
  <c r="A391" i="1"/>
  <c r="B390" i="1"/>
  <c r="A390" i="1"/>
  <c r="B389" i="1"/>
  <c r="A389" i="1"/>
  <c r="B388" i="1"/>
  <c r="A388" i="1"/>
  <c r="B387" i="1"/>
  <c r="A387" i="1"/>
  <c r="B386" i="1"/>
  <c r="A386" i="1"/>
  <c r="B369" i="1"/>
  <c r="A369" i="1"/>
  <c r="B368" i="1"/>
  <c r="A368" i="1"/>
  <c r="B367" i="1"/>
  <c r="A367" i="1"/>
  <c r="B366" i="1"/>
  <c r="A366" i="1"/>
  <c r="B365" i="1"/>
  <c r="A365" i="1"/>
  <c r="B364" i="1"/>
  <c r="A364" i="1"/>
  <c r="B363" i="1"/>
  <c r="A363" i="1"/>
  <c r="B362" i="1"/>
  <c r="A362" i="1"/>
  <c r="B345" i="1"/>
  <c r="A345" i="1"/>
  <c r="B344" i="1"/>
  <c r="A344" i="1"/>
  <c r="B343" i="1"/>
  <c r="A343" i="1"/>
  <c r="B342" i="1"/>
  <c r="A342" i="1"/>
  <c r="B341" i="1"/>
  <c r="A341" i="1"/>
  <c r="B340" i="1"/>
  <c r="A340" i="1"/>
  <c r="B339" i="1"/>
  <c r="A339" i="1"/>
  <c r="B338" i="1"/>
  <c r="A338" i="1"/>
  <c r="B321" i="1"/>
  <c r="A321" i="1"/>
  <c r="B320" i="1"/>
  <c r="A320" i="1"/>
  <c r="B319" i="1"/>
  <c r="A319" i="1"/>
  <c r="B318" i="1"/>
  <c r="A318" i="1"/>
  <c r="B317" i="1"/>
  <c r="A317" i="1"/>
  <c r="B316" i="1"/>
  <c r="A316" i="1"/>
  <c r="B315" i="1"/>
  <c r="A315" i="1"/>
  <c r="B314" i="1"/>
  <c r="A314" i="1"/>
  <c r="B297" i="1"/>
  <c r="A297" i="1"/>
  <c r="B296" i="1"/>
  <c r="A296" i="1"/>
  <c r="B295" i="1"/>
  <c r="A295" i="1"/>
  <c r="B294" i="1"/>
  <c r="A294" i="1"/>
  <c r="B293" i="1"/>
  <c r="A293" i="1"/>
  <c r="B292" i="1"/>
  <c r="A292" i="1"/>
  <c r="B291" i="1"/>
  <c r="A291" i="1"/>
  <c r="B290" i="1"/>
  <c r="A290" i="1"/>
  <c r="B273" i="1"/>
  <c r="A273" i="1"/>
  <c r="B272" i="1"/>
  <c r="A272" i="1"/>
  <c r="B271" i="1"/>
  <c r="A271" i="1"/>
  <c r="B270" i="1"/>
  <c r="A270" i="1"/>
  <c r="B269" i="1"/>
  <c r="A269" i="1"/>
  <c r="B268" i="1"/>
  <c r="A268" i="1"/>
  <c r="B267" i="1"/>
  <c r="A267" i="1"/>
  <c r="B266" i="1"/>
  <c r="A266" i="1"/>
  <c r="B249" i="1"/>
  <c r="A249" i="1"/>
  <c r="B248" i="1"/>
  <c r="A248" i="1"/>
  <c r="B247" i="1"/>
  <c r="A247" i="1"/>
  <c r="B246" i="1"/>
  <c r="A246" i="1"/>
  <c r="B245" i="1"/>
  <c r="A245" i="1"/>
  <c r="B244" i="1"/>
  <c r="A244" i="1"/>
  <c r="B243" i="1"/>
  <c r="A243" i="1"/>
  <c r="B242" i="1"/>
  <c r="A242" i="1"/>
  <c r="B225" i="1"/>
  <c r="A225" i="1"/>
  <c r="B224" i="1"/>
  <c r="A224" i="1"/>
  <c r="B223" i="1"/>
  <c r="A223" i="1"/>
  <c r="B222" i="1"/>
  <c r="A222" i="1"/>
  <c r="B221" i="1"/>
  <c r="A221" i="1"/>
  <c r="B220" i="1"/>
  <c r="A220" i="1"/>
  <c r="B219" i="1"/>
  <c r="A219" i="1"/>
  <c r="B218" i="1"/>
  <c r="A218" i="1"/>
  <c r="B201" i="1"/>
  <c r="A201" i="1"/>
  <c r="B200" i="1"/>
  <c r="A200" i="1"/>
  <c r="B199" i="1"/>
  <c r="A199" i="1"/>
  <c r="B198" i="1"/>
  <c r="A198" i="1"/>
  <c r="B197" i="1"/>
  <c r="A197" i="1"/>
  <c r="B196" i="1"/>
  <c r="A196" i="1"/>
  <c r="B195" i="1"/>
  <c r="A195" i="1"/>
  <c r="B194" i="1"/>
  <c r="A194" i="1"/>
  <c r="L109" i="1"/>
  <c r="K109" i="1"/>
  <c r="L108" i="1"/>
  <c r="K108" i="1"/>
  <c r="L107" i="1"/>
  <c r="K107" i="1"/>
  <c r="L106" i="1"/>
  <c r="K106" i="1"/>
  <c r="L105" i="1"/>
  <c r="K105" i="1"/>
  <c r="L104" i="1"/>
  <c r="K104" i="1"/>
  <c r="L103" i="1"/>
  <c r="K103" i="1"/>
  <c r="M102" i="1"/>
  <c r="L102" i="1"/>
  <c r="K102" i="1"/>
  <c r="L101" i="1"/>
  <c r="K101" i="1"/>
  <c r="L100" i="1"/>
  <c r="K100" i="1"/>
  <c r="L99" i="1"/>
  <c r="K99" i="1"/>
  <c r="L98" i="1"/>
  <c r="K98" i="1"/>
  <c r="L97" i="1"/>
  <c r="K97" i="1"/>
  <c r="L96" i="1"/>
  <c r="K96" i="1"/>
  <c r="L95" i="1"/>
  <c r="K95" i="1"/>
  <c r="M94" i="1"/>
  <c r="L94" i="1"/>
  <c r="K94" i="1"/>
  <c r="L93" i="1"/>
  <c r="K93" i="1"/>
  <c r="L92" i="1"/>
  <c r="K92" i="1"/>
  <c r="L91" i="1"/>
  <c r="K91" i="1"/>
  <c r="L90" i="1"/>
  <c r="K90" i="1"/>
  <c r="L89" i="1"/>
  <c r="K89" i="1"/>
  <c r="L88" i="1"/>
  <c r="K88" i="1"/>
  <c r="L87" i="1"/>
  <c r="K87" i="1"/>
  <c r="M86" i="1"/>
  <c r="L86" i="1"/>
  <c r="K86" i="1"/>
  <c r="L85" i="1"/>
  <c r="K85" i="1"/>
  <c r="L84" i="1"/>
  <c r="K84" i="1"/>
  <c r="L83" i="1"/>
  <c r="K83" i="1"/>
  <c r="L82" i="1"/>
  <c r="K82" i="1"/>
  <c r="L81" i="1"/>
  <c r="K81" i="1"/>
  <c r="L80" i="1"/>
  <c r="K80" i="1"/>
  <c r="L79" i="1"/>
  <c r="K79" i="1"/>
  <c r="M78" i="1"/>
  <c r="L78" i="1"/>
  <c r="K78" i="1"/>
  <c r="L77" i="1"/>
  <c r="K77" i="1"/>
  <c r="L76" i="1"/>
  <c r="K76" i="1"/>
  <c r="L75" i="1"/>
  <c r="K75" i="1"/>
  <c r="L74" i="1"/>
  <c r="K74" i="1"/>
  <c r="L73" i="1"/>
  <c r="K73" i="1"/>
  <c r="L72" i="1"/>
  <c r="K72" i="1"/>
  <c r="L71" i="1"/>
  <c r="K71" i="1"/>
  <c r="M70" i="1"/>
  <c r="L70" i="1"/>
  <c r="K70" i="1"/>
  <c r="L69" i="1"/>
  <c r="K69" i="1"/>
  <c r="L68" i="1"/>
  <c r="K68" i="1"/>
  <c r="L67" i="1"/>
  <c r="K67" i="1"/>
  <c r="L66" i="1"/>
  <c r="K66" i="1"/>
  <c r="L65" i="1"/>
  <c r="K65" i="1"/>
  <c r="L64" i="1"/>
  <c r="K64" i="1"/>
  <c r="L63" i="1"/>
  <c r="K63" i="1"/>
  <c r="M62" i="1"/>
  <c r="L62" i="1"/>
  <c r="K62" i="1"/>
  <c r="L61" i="1"/>
  <c r="K61" i="1"/>
  <c r="L60" i="1"/>
  <c r="K60" i="1"/>
  <c r="L59" i="1"/>
  <c r="K59" i="1"/>
  <c r="L58" i="1"/>
  <c r="K58" i="1"/>
  <c r="L57" i="1"/>
  <c r="K57" i="1"/>
  <c r="L56" i="1"/>
  <c r="K56" i="1"/>
  <c r="L55" i="1"/>
  <c r="K55" i="1"/>
  <c r="M54" i="1"/>
  <c r="L54" i="1"/>
  <c r="K54" i="1"/>
  <c r="L53" i="1"/>
  <c r="K53" i="1"/>
  <c r="L52" i="1"/>
  <c r="K52" i="1"/>
  <c r="L51" i="1"/>
  <c r="K51" i="1"/>
  <c r="L50" i="1"/>
  <c r="K50" i="1"/>
  <c r="L49" i="1"/>
  <c r="K49" i="1"/>
  <c r="L48" i="1"/>
  <c r="K48" i="1"/>
  <c r="L47" i="1"/>
  <c r="K47" i="1"/>
  <c r="M46" i="1"/>
  <c r="L46" i="1"/>
  <c r="K46" i="1"/>
  <c r="D173" i="1"/>
  <c r="C173" i="1"/>
  <c r="D172" i="1"/>
  <c r="C172" i="1"/>
  <c r="D171" i="1"/>
  <c r="C171" i="1"/>
  <c r="D170" i="1"/>
  <c r="C170" i="1"/>
  <c r="D169" i="1"/>
  <c r="C169" i="1"/>
  <c r="D168" i="1"/>
  <c r="C168" i="1"/>
  <c r="D167" i="1"/>
  <c r="C167" i="1"/>
  <c r="E166" i="1"/>
  <c r="D166" i="1"/>
  <c r="C166" i="1"/>
  <c r="D165" i="1"/>
  <c r="C165" i="1"/>
  <c r="D164" i="1"/>
  <c r="C164" i="1"/>
  <c r="D163" i="1"/>
  <c r="C163" i="1"/>
  <c r="D162" i="1"/>
  <c r="C162" i="1"/>
  <c r="D161" i="1"/>
  <c r="C161" i="1"/>
  <c r="D160" i="1"/>
  <c r="C160" i="1"/>
  <c r="D159" i="1"/>
  <c r="C159" i="1"/>
  <c r="E158" i="1"/>
  <c r="D158" i="1"/>
  <c r="C158" i="1"/>
  <c r="D157" i="1"/>
  <c r="C157" i="1"/>
  <c r="D156" i="1"/>
  <c r="C156" i="1"/>
  <c r="D155" i="1"/>
  <c r="C155" i="1"/>
  <c r="D154" i="1"/>
  <c r="C154" i="1"/>
  <c r="D153" i="1"/>
  <c r="C153" i="1"/>
  <c r="D152" i="1"/>
  <c r="C152" i="1"/>
  <c r="D151" i="1"/>
  <c r="C151" i="1"/>
  <c r="E150" i="1"/>
  <c r="D150" i="1"/>
  <c r="C150" i="1"/>
  <c r="D149" i="1"/>
  <c r="C149" i="1"/>
  <c r="D148" i="1"/>
  <c r="C148" i="1"/>
  <c r="D147" i="1"/>
  <c r="C147" i="1"/>
  <c r="D146" i="1"/>
  <c r="C146" i="1"/>
  <c r="D145" i="1"/>
  <c r="C145" i="1"/>
  <c r="D144" i="1"/>
  <c r="C144" i="1"/>
  <c r="D143" i="1"/>
  <c r="C143" i="1"/>
  <c r="E142" i="1"/>
  <c r="D142" i="1"/>
  <c r="C142" i="1"/>
  <c r="D141" i="1"/>
  <c r="C141" i="1"/>
  <c r="D140" i="1"/>
  <c r="C140" i="1"/>
  <c r="D139" i="1"/>
  <c r="C139" i="1"/>
  <c r="D138" i="1"/>
  <c r="C138" i="1"/>
  <c r="D137" i="1"/>
  <c r="C137" i="1"/>
  <c r="D136" i="1"/>
  <c r="C136" i="1"/>
  <c r="D135" i="1"/>
  <c r="C135" i="1"/>
  <c r="E134" i="1"/>
  <c r="D134" i="1"/>
  <c r="C134" i="1"/>
  <c r="D133" i="1"/>
  <c r="C133" i="1"/>
  <c r="D132" i="1"/>
  <c r="C132" i="1"/>
  <c r="D131" i="1"/>
  <c r="C131" i="1"/>
  <c r="D130" i="1"/>
  <c r="C130" i="1"/>
  <c r="D129" i="1"/>
  <c r="C129" i="1"/>
  <c r="D128" i="1"/>
  <c r="C128" i="1"/>
  <c r="D127" i="1"/>
  <c r="C127" i="1"/>
  <c r="E126" i="1"/>
  <c r="D126" i="1"/>
  <c r="C126" i="1"/>
  <c r="D125" i="1"/>
  <c r="C125" i="1"/>
  <c r="D124" i="1"/>
  <c r="C124" i="1"/>
  <c r="D123" i="1"/>
  <c r="C123" i="1"/>
  <c r="D122" i="1"/>
  <c r="C122" i="1"/>
  <c r="D121" i="1"/>
  <c r="C121" i="1"/>
  <c r="D120" i="1"/>
  <c r="C120" i="1"/>
  <c r="D119" i="1"/>
  <c r="C119" i="1"/>
  <c r="E118" i="1"/>
  <c r="D118" i="1"/>
  <c r="C118" i="1"/>
  <c r="D117" i="1"/>
  <c r="C117" i="1"/>
  <c r="D116" i="1"/>
  <c r="C116" i="1"/>
  <c r="D115" i="1"/>
  <c r="C115" i="1"/>
  <c r="D114" i="1"/>
  <c r="C114" i="1"/>
  <c r="D113" i="1"/>
  <c r="C113" i="1"/>
  <c r="D112" i="1"/>
  <c r="C112" i="1"/>
  <c r="D111" i="1"/>
  <c r="C111" i="1"/>
  <c r="E110" i="1"/>
  <c r="D110" i="1"/>
  <c r="C110" i="1"/>
  <c r="D109" i="1"/>
  <c r="C109" i="1"/>
  <c r="D108" i="1"/>
  <c r="C108" i="1"/>
  <c r="D107" i="1"/>
  <c r="C107" i="1"/>
  <c r="D106" i="1"/>
  <c r="C106" i="1"/>
  <c r="D105" i="1"/>
  <c r="C105" i="1"/>
  <c r="D104" i="1"/>
  <c r="C104" i="1"/>
  <c r="D103" i="1"/>
  <c r="C103" i="1"/>
  <c r="E102" i="1"/>
  <c r="D102" i="1"/>
  <c r="C102" i="1"/>
  <c r="D101" i="1"/>
  <c r="C101" i="1"/>
  <c r="D100" i="1"/>
  <c r="C100" i="1"/>
  <c r="D99" i="1"/>
  <c r="C99" i="1"/>
  <c r="D98" i="1"/>
  <c r="C98" i="1"/>
  <c r="D97" i="1"/>
  <c r="C97" i="1"/>
  <c r="D96" i="1"/>
  <c r="C96" i="1"/>
  <c r="D95" i="1"/>
  <c r="C95" i="1"/>
  <c r="E94" i="1"/>
  <c r="D94" i="1"/>
  <c r="C94" i="1"/>
  <c r="D93" i="1"/>
  <c r="C93" i="1"/>
  <c r="D92" i="1"/>
  <c r="C92" i="1"/>
  <c r="D91" i="1"/>
  <c r="C91" i="1"/>
  <c r="D90" i="1"/>
  <c r="C90" i="1"/>
  <c r="D89" i="1"/>
  <c r="C89" i="1"/>
  <c r="D88" i="1"/>
  <c r="C88" i="1"/>
  <c r="D87" i="1"/>
  <c r="C87" i="1"/>
  <c r="E86" i="1"/>
  <c r="D86" i="1"/>
  <c r="C86" i="1"/>
  <c r="D85" i="1"/>
  <c r="C85" i="1"/>
  <c r="D84" i="1"/>
  <c r="C84" i="1"/>
  <c r="D83" i="1"/>
  <c r="C83" i="1"/>
  <c r="D82" i="1"/>
  <c r="C82" i="1"/>
  <c r="D81" i="1"/>
  <c r="C81" i="1"/>
  <c r="D80" i="1"/>
  <c r="C80" i="1"/>
  <c r="D79" i="1"/>
  <c r="C79" i="1"/>
  <c r="E78" i="1"/>
  <c r="D78" i="1"/>
  <c r="C78" i="1"/>
  <c r="D77" i="1"/>
  <c r="C77" i="1"/>
  <c r="D76" i="1"/>
  <c r="C76" i="1"/>
  <c r="D75" i="1"/>
  <c r="C75" i="1"/>
  <c r="D74" i="1"/>
  <c r="C74" i="1"/>
  <c r="D73" i="1"/>
  <c r="C73" i="1"/>
  <c r="D72" i="1"/>
  <c r="C72" i="1"/>
  <c r="D71" i="1"/>
  <c r="C71" i="1"/>
  <c r="E70" i="1"/>
  <c r="D70" i="1"/>
  <c r="C70" i="1"/>
  <c r="D69" i="1"/>
  <c r="C69" i="1"/>
  <c r="D68" i="1"/>
  <c r="C68" i="1"/>
  <c r="D67" i="1"/>
  <c r="C67" i="1"/>
  <c r="D66" i="1"/>
  <c r="C66" i="1"/>
  <c r="D65" i="1"/>
  <c r="C65" i="1"/>
  <c r="D64" i="1"/>
  <c r="C64" i="1"/>
  <c r="D63" i="1"/>
  <c r="C63" i="1"/>
  <c r="E62" i="1"/>
  <c r="D62" i="1"/>
  <c r="C62" i="1"/>
  <c r="D61" i="1"/>
  <c r="C61" i="1"/>
  <c r="D60" i="1"/>
  <c r="C60" i="1"/>
  <c r="D59" i="1"/>
  <c r="C59" i="1"/>
  <c r="D58" i="1"/>
  <c r="C58" i="1"/>
  <c r="D57" i="1"/>
  <c r="C57" i="1"/>
  <c r="D56" i="1"/>
  <c r="C56" i="1"/>
  <c r="D55" i="1"/>
  <c r="C55" i="1"/>
  <c r="E54" i="1"/>
  <c r="D54" i="1"/>
  <c r="C54" i="1"/>
  <c r="D53" i="1"/>
  <c r="C53" i="1"/>
  <c r="D52" i="1"/>
  <c r="C52" i="1"/>
  <c r="D51" i="1"/>
  <c r="C51" i="1"/>
  <c r="D50" i="1"/>
  <c r="C50" i="1"/>
  <c r="D49" i="1"/>
  <c r="C49" i="1"/>
  <c r="D48" i="1"/>
  <c r="C48" i="1"/>
  <c r="D47" i="1"/>
  <c r="C47" i="1"/>
  <c r="E46" i="1"/>
  <c r="D46" i="1"/>
  <c r="C46" i="1"/>
  <c r="H134" i="3"/>
  <c r="H126" i="3"/>
  <c r="H118" i="3"/>
  <c r="H110" i="3"/>
  <c r="H102" i="3"/>
  <c r="H94" i="3"/>
  <c r="H86" i="3"/>
  <c r="H78" i="3"/>
  <c r="H70" i="3"/>
  <c r="H62" i="3"/>
  <c r="H54" i="3"/>
  <c r="H46" i="3"/>
  <c r="E134" i="3"/>
  <c r="E126" i="3"/>
  <c r="E118" i="3"/>
  <c r="E110" i="3"/>
  <c r="E102" i="3"/>
  <c r="E94" i="3"/>
  <c r="E86" i="3"/>
  <c r="E78" i="3"/>
  <c r="E70" i="3"/>
  <c r="E62" i="3"/>
  <c r="E54" i="3"/>
  <c r="E46" i="3"/>
  <c r="L142" i="3" l="1"/>
  <c r="P562" i="3"/>
  <c r="O562" i="3"/>
  <c r="B562" i="3"/>
  <c r="A562" i="3"/>
  <c r="P561" i="3"/>
  <c r="O561" i="3"/>
  <c r="B561" i="3"/>
  <c r="A561" i="3"/>
  <c r="P560" i="3"/>
  <c r="O560" i="3"/>
  <c r="B560" i="3"/>
  <c r="A560" i="3"/>
  <c r="P559" i="3"/>
  <c r="O559" i="3"/>
  <c r="B559" i="3"/>
  <c r="A559" i="3"/>
  <c r="P558" i="3"/>
  <c r="O558" i="3"/>
  <c r="B558" i="3"/>
  <c r="A558" i="3"/>
  <c r="P557" i="3"/>
  <c r="O557" i="3"/>
  <c r="B557" i="3"/>
  <c r="A557" i="3"/>
  <c r="P556" i="3"/>
  <c r="O556" i="3"/>
  <c r="B556" i="3"/>
  <c r="A556" i="3"/>
  <c r="P555" i="3"/>
  <c r="O555" i="3"/>
  <c r="B555" i="3"/>
  <c r="A555" i="3"/>
  <c r="P538" i="3"/>
  <c r="O538" i="3"/>
  <c r="B538" i="3"/>
  <c r="A538" i="3"/>
  <c r="P537" i="3"/>
  <c r="O537" i="3"/>
  <c r="B537" i="3"/>
  <c r="A537" i="3"/>
  <c r="P536" i="3"/>
  <c r="O536" i="3"/>
  <c r="B536" i="3"/>
  <c r="A536" i="3"/>
  <c r="P535" i="3"/>
  <c r="O535" i="3"/>
  <c r="B535" i="3"/>
  <c r="A535" i="3"/>
  <c r="P534" i="3"/>
  <c r="O534" i="3"/>
  <c r="B534" i="3"/>
  <c r="A534" i="3"/>
  <c r="P533" i="3"/>
  <c r="O533" i="3"/>
  <c r="B533" i="3"/>
  <c r="A533" i="3"/>
  <c r="P532" i="3"/>
  <c r="O532" i="3"/>
  <c r="B532" i="3"/>
  <c r="A532" i="3"/>
  <c r="P531" i="3"/>
  <c r="O531" i="3"/>
  <c r="B531" i="3"/>
  <c r="A531" i="3"/>
  <c r="P514" i="3"/>
  <c r="O514" i="3"/>
  <c r="B514" i="3"/>
  <c r="A514" i="3"/>
  <c r="P513" i="3"/>
  <c r="O513" i="3"/>
  <c r="B513" i="3"/>
  <c r="A513" i="3"/>
  <c r="P512" i="3"/>
  <c r="O512" i="3"/>
  <c r="B512" i="3"/>
  <c r="A512" i="3"/>
  <c r="P511" i="3"/>
  <c r="O511" i="3"/>
  <c r="B511" i="3"/>
  <c r="A511" i="3"/>
  <c r="P510" i="3"/>
  <c r="O510" i="3"/>
  <c r="B510" i="3"/>
  <c r="A510" i="3"/>
  <c r="P509" i="3"/>
  <c r="O509" i="3"/>
  <c r="B509" i="3"/>
  <c r="A509" i="3"/>
  <c r="P508" i="3"/>
  <c r="O508" i="3"/>
  <c r="B508" i="3"/>
  <c r="A508" i="3"/>
  <c r="P507" i="3"/>
  <c r="O507" i="3"/>
  <c r="B507" i="3"/>
  <c r="A507" i="3"/>
  <c r="P490" i="3"/>
  <c r="O490" i="3"/>
  <c r="B490" i="3"/>
  <c r="A490" i="3"/>
  <c r="P489" i="3"/>
  <c r="O489" i="3"/>
  <c r="B489" i="3"/>
  <c r="A489" i="3"/>
  <c r="P488" i="3"/>
  <c r="O488" i="3"/>
  <c r="B488" i="3"/>
  <c r="A488" i="3"/>
  <c r="P487" i="3"/>
  <c r="O487" i="3"/>
  <c r="B487" i="3"/>
  <c r="A487" i="3"/>
  <c r="P486" i="3"/>
  <c r="O486" i="3"/>
  <c r="B486" i="3"/>
  <c r="A486" i="3"/>
  <c r="P485" i="3"/>
  <c r="O485" i="3"/>
  <c r="B485" i="3"/>
  <c r="A485" i="3"/>
  <c r="P484" i="3"/>
  <c r="O484" i="3"/>
  <c r="B484" i="3"/>
  <c r="A484" i="3"/>
  <c r="P483" i="3"/>
  <c r="O483" i="3"/>
  <c r="B483" i="3"/>
  <c r="A483" i="3"/>
  <c r="G141" i="3"/>
  <c r="G140" i="3"/>
  <c r="G139" i="3"/>
  <c r="G138" i="3"/>
  <c r="G137" i="3"/>
  <c r="G136" i="3"/>
  <c r="G135" i="3"/>
  <c r="F141" i="3"/>
  <c r="F140" i="3"/>
  <c r="F139" i="3"/>
  <c r="F138" i="3"/>
  <c r="F137" i="3"/>
  <c r="F136" i="3"/>
  <c r="F135" i="3"/>
  <c r="G134" i="3"/>
  <c r="F134" i="3"/>
  <c r="D141" i="3"/>
  <c r="D140" i="3"/>
  <c r="D139" i="3"/>
  <c r="D138" i="3"/>
  <c r="D137" i="3"/>
  <c r="D136" i="3"/>
  <c r="D135" i="3"/>
  <c r="C141" i="3"/>
  <c r="C140" i="3"/>
  <c r="C139" i="3"/>
  <c r="C138" i="3"/>
  <c r="C137" i="3"/>
  <c r="C136" i="3"/>
  <c r="C135" i="3"/>
  <c r="D134" i="3"/>
  <c r="C134" i="3"/>
  <c r="P465" i="3"/>
  <c r="O465" i="3"/>
  <c r="P464" i="3"/>
  <c r="O464" i="3"/>
  <c r="P463" i="3"/>
  <c r="O463" i="3"/>
  <c r="P462" i="3"/>
  <c r="O462" i="3"/>
  <c r="P461" i="3"/>
  <c r="O461" i="3"/>
  <c r="P460" i="3"/>
  <c r="O460" i="3"/>
  <c r="P459" i="3"/>
  <c r="O459" i="3"/>
  <c r="P458" i="3"/>
  <c r="O458" i="3"/>
  <c r="B465" i="3"/>
  <c r="A465" i="3"/>
  <c r="B464" i="3"/>
  <c r="A464" i="3"/>
  <c r="B463" i="3"/>
  <c r="A463" i="3"/>
  <c r="B462" i="3"/>
  <c r="A462" i="3"/>
  <c r="B461" i="3"/>
  <c r="A461" i="3"/>
  <c r="B460" i="3"/>
  <c r="A460" i="3"/>
  <c r="B459" i="3"/>
  <c r="A459" i="3"/>
  <c r="B458" i="3"/>
  <c r="A458" i="3"/>
  <c r="G133" i="3"/>
  <c r="G132" i="3"/>
  <c r="G131" i="3"/>
  <c r="G130" i="3"/>
  <c r="G129" i="3"/>
  <c r="G128" i="3"/>
  <c r="G127" i="3"/>
  <c r="F133" i="3"/>
  <c r="F132" i="3"/>
  <c r="F131" i="3"/>
  <c r="F130" i="3"/>
  <c r="F129" i="3"/>
  <c r="F128" i="3"/>
  <c r="F127" i="3"/>
  <c r="G126" i="3"/>
  <c r="F126" i="3"/>
  <c r="D133" i="3"/>
  <c r="D132" i="3"/>
  <c r="D131" i="3"/>
  <c r="D130" i="3"/>
  <c r="D129" i="3"/>
  <c r="D128" i="3"/>
  <c r="D127" i="3"/>
  <c r="C133" i="3"/>
  <c r="C132" i="3"/>
  <c r="C131" i="3"/>
  <c r="C130" i="3"/>
  <c r="C129" i="3"/>
  <c r="C128" i="3"/>
  <c r="C127" i="3"/>
  <c r="D126" i="3"/>
  <c r="C126" i="3"/>
  <c r="P441" i="3"/>
  <c r="O441" i="3"/>
  <c r="P440" i="3"/>
  <c r="O440" i="3"/>
  <c r="P439" i="3"/>
  <c r="O439" i="3"/>
  <c r="P438" i="3"/>
  <c r="O438" i="3"/>
  <c r="P437" i="3"/>
  <c r="O437" i="3"/>
  <c r="P436" i="3"/>
  <c r="O436" i="3"/>
  <c r="P435" i="3"/>
  <c r="O435" i="3"/>
  <c r="P434" i="3"/>
  <c r="O434" i="3"/>
  <c r="B441" i="3"/>
  <c r="A441" i="3"/>
  <c r="B440" i="3"/>
  <c r="A440" i="3"/>
  <c r="B439" i="3"/>
  <c r="A439" i="3"/>
  <c r="B438" i="3"/>
  <c r="A438" i="3"/>
  <c r="B437" i="3"/>
  <c r="A437" i="3"/>
  <c r="B436" i="3"/>
  <c r="A436" i="3"/>
  <c r="B435" i="3"/>
  <c r="A435" i="3"/>
  <c r="B434" i="3"/>
  <c r="A434" i="3"/>
  <c r="G125" i="3"/>
  <c r="G124" i="3"/>
  <c r="G123" i="3"/>
  <c r="G122" i="3"/>
  <c r="G121" i="3"/>
  <c r="G120" i="3"/>
  <c r="G119" i="3"/>
  <c r="F125" i="3"/>
  <c r="F124" i="3"/>
  <c r="F123" i="3"/>
  <c r="F122" i="3"/>
  <c r="F121" i="3"/>
  <c r="F120" i="3"/>
  <c r="F119" i="3"/>
  <c r="G118" i="3"/>
  <c r="F118" i="3"/>
  <c r="D125" i="3"/>
  <c r="D124" i="3"/>
  <c r="D123" i="3"/>
  <c r="D122" i="3"/>
  <c r="D121" i="3"/>
  <c r="D120" i="3"/>
  <c r="D119" i="3"/>
  <c r="C125" i="3"/>
  <c r="C124" i="3"/>
  <c r="C123" i="3"/>
  <c r="C122" i="3"/>
  <c r="C121" i="3"/>
  <c r="C120" i="3"/>
  <c r="C119" i="3"/>
  <c r="D118" i="3"/>
  <c r="C118" i="3"/>
  <c r="P417" i="3"/>
  <c r="O417" i="3"/>
  <c r="P416" i="3"/>
  <c r="O416" i="3"/>
  <c r="P415" i="3"/>
  <c r="O415" i="3"/>
  <c r="P414" i="3"/>
  <c r="O414" i="3"/>
  <c r="P413" i="3"/>
  <c r="O413" i="3"/>
  <c r="P412" i="3"/>
  <c r="O412" i="3"/>
  <c r="P411" i="3"/>
  <c r="O411" i="3"/>
  <c r="P410" i="3"/>
  <c r="O410" i="3"/>
  <c r="B417" i="3"/>
  <c r="A417" i="3"/>
  <c r="B416" i="3"/>
  <c r="A416" i="3"/>
  <c r="B415" i="3"/>
  <c r="A415" i="3"/>
  <c r="B414" i="3"/>
  <c r="A414" i="3"/>
  <c r="B413" i="3"/>
  <c r="A413" i="3"/>
  <c r="B412" i="3"/>
  <c r="A412" i="3"/>
  <c r="B411" i="3"/>
  <c r="A411" i="3"/>
  <c r="B410" i="3"/>
  <c r="A410" i="3"/>
  <c r="G117" i="3"/>
  <c r="G116" i="3"/>
  <c r="G115" i="3"/>
  <c r="G114" i="3"/>
  <c r="G113" i="3"/>
  <c r="G112" i="3"/>
  <c r="G111" i="3"/>
  <c r="F117" i="3"/>
  <c r="F116" i="3"/>
  <c r="F115" i="3"/>
  <c r="F114" i="3"/>
  <c r="F113" i="3"/>
  <c r="F112" i="3"/>
  <c r="F111" i="3"/>
  <c r="G110" i="3"/>
  <c r="F110" i="3"/>
  <c r="D117" i="3"/>
  <c r="D116" i="3"/>
  <c r="D115" i="3"/>
  <c r="D114" i="3"/>
  <c r="D113" i="3"/>
  <c r="D112" i="3"/>
  <c r="D111" i="3"/>
  <c r="D110" i="3"/>
  <c r="C117" i="3"/>
  <c r="C116" i="3"/>
  <c r="C115" i="3"/>
  <c r="C114" i="3"/>
  <c r="C113" i="3"/>
  <c r="C112" i="3"/>
  <c r="C111" i="3"/>
  <c r="C110" i="3"/>
  <c r="P393" i="3"/>
  <c r="O393" i="3"/>
  <c r="P392" i="3"/>
  <c r="O392" i="3"/>
  <c r="P391" i="3"/>
  <c r="O391" i="3"/>
  <c r="P390" i="3"/>
  <c r="O390" i="3"/>
  <c r="P389" i="3"/>
  <c r="O389" i="3"/>
  <c r="P388" i="3"/>
  <c r="O388" i="3"/>
  <c r="P387" i="3"/>
  <c r="O387" i="3"/>
  <c r="P386" i="3"/>
  <c r="O386" i="3"/>
  <c r="B393" i="3"/>
  <c r="A393" i="3"/>
  <c r="B392" i="3"/>
  <c r="A392" i="3"/>
  <c r="B391" i="3"/>
  <c r="A391" i="3"/>
  <c r="B390" i="3"/>
  <c r="A390" i="3"/>
  <c r="B389" i="3"/>
  <c r="A389" i="3"/>
  <c r="B388" i="3"/>
  <c r="A388" i="3"/>
  <c r="B387" i="3"/>
  <c r="A387" i="3"/>
  <c r="B386" i="3"/>
  <c r="A386" i="3"/>
  <c r="G107" i="3"/>
  <c r="G106" i="3"/>
  <c r="F107" i="3"/>
  <c r="F106" i="3"/>
  <c r="D107" i="3"/>
  <c r="D106" i="3"/>
  <c r="C107" i="3"/>
  <c r="C106" i="3"/>
  <c r="P367" i="3"/>
  <c r="P366" i="3"/>
  <c r="O367" i="3"/>
  <c r="O366" i="3"/>
  <c r="B367" i="3"/>
  <c r="B366" i="3"/>
  <c r="A367" i="3"/>
  <c r="A366" i="3"/>
  <c r="G99" i="3"/>
  <c r="G98" i="3"/>
  <c r="F99" i="3"/>
  <c r="F98" i="3"/>
  <c r="D99" i="3"/>
  <c r="D98" i="3"/>
  <c r="C99" i="3"/>
  <c r="C98" i="3"/>
  <c r="P343" i="3"/>
  <c r="P342" i="3"/>
  <c r="O343" i="3"/>
  <c r="O342" i="3"/>
  <c r="B343" i="3"/>
  <c r="B342" i="3"/>
  <c r="A343" i="3"/>
  <c r="A342" i="3"/>
  <c r="G91" i="3"/>
  <c r="G90" i="3"/>
  <c r="F91" i="3"/>
  <c r="F90" i="3"/>
  <c r="D91" i="3"/>
  <c r="D90" i="3"/>
  <c r="C91" i="3"/>
  <c r="C90" i="3"/>
  <c r="P319" i="3"/>
  <c r="P318" i="3"/>
  <c r="O319" i="3"/>
  <c r="O318" i="3"/>
  <c r="A319" i="3"/>
  <c r="A318" i="3"/>
  <c r="B319" i="3"/>
  <c r="B318" i="3"/>
  <c r="G83" i="3"/>
  <c r="G82" i="3"/>
  <c r="F83" i="3"/>
  <c r="F82" i="3"/>
  <c r="D83" i="3"/>
  <c r="D82" i="3"/>
  <c r="C83" i="3"/>
  <c r="C82" i="3"/>
  <c r="P295" i="3"/>
  <c r="P294" i="3"/>
  <c r="O295" i="3"/>
  <c r="O294" i="3"/>
  <c r="B295" i="3"/>
  <c r="B294" i="3"/>
  <c r="A295" i="3"/>
  <c r="A294" i="3"/>
  <c r="G75" i="3"/>
  <c r="G74" i="3"/>
  <c r="F75" i="3"/>
  <c r="F74" i="3"/>
  <c r="D75" i="3"/>
  <c r="D74" i="3"/>
  <c r="C75" i="3"/>
  <c r="C74" i="3"/>
  <c r="P271" i="3"/>
  <c r="P270" i="3"/>
  <c r="O271" i="3"/>
  <c r="O270" i="3"/>
  <c r="B271" i="3"/>
  <c r="B270" i="3"/>
  <c r="A271" i="3"/>
  <c r="A270" i="3"/>
  <c r="G67" i="3"/>
  <c r="G66" i="3"/>
  <c r="F67" i="3"/>
  <c r="F66" i="3"/>
  <c r="D67" i="3"/>
  <c r="D66" i="3"/>
  <c r="C67" i="3"/>
  <c r="C66" i="3"/>
  <c r="P247" i="3"/>
  <c r="P246" i="3"/>
  <c r="O247" i="3"/>
  <c r="O246" i="3"/>
  <c r="B247" i="3"/>
  <c r="B246" i="3"/>
  <c r="A247" i="3"/>
  <c r="A246" i="3"/>
  <c r="G59" i="3"/>
  <c r="G58" i="3"/>
  <c r="F59" i="3"/>
  <c r="F58" i="3"/>
  <c r="D59" i="3"/>
  <c r="D58" i="3"/>
  <c r="C59" i="3"/>
  <c r="C58" i="3"/>
  <c r="P223" i="3"/>
  <c r="P222" i="3"/>
  <c r="O223" i="3"/>
  <c r="O222" i="3"/>
  <c r="B223" i="3"/>
  <c r="B222" i="3"/>
  <c r="A223" i="3"/>
  <c r="A222" i="3"/>
  <c r="O199" i="3"/>
  <c r="O198" i="3"/>
  <c r="G51" i="3"/>
  <c r="G50" i="3"/>
  <c r="F51" i="3"/>
  <c r="F50" i="3"/>
  <c r="D51" i="3"/>
  <c r="D50" i="3"/>
  <c r="C51" i="3"/>
  <c r="C50" i="3"/>
  <c r="P199" i="3"/>
  <c r="P198" i="3"/>
  <c r="A199" i="3"/>
  <c r="A198" i="3"/>
  <c r="B199" i="3"/>
  <c r="B198" i="3"/>
  <c r="P194" i="3" l="1"/>
  <c r="P369" i="3"/>
  <c r="O369" i="3"/>
  <c r="P368" i="3"/>
  <c r="O368" i="3"/>
  <c r="P365" i="3"/>
  <c r="O365" i="3"/>
  <c r="P364" i="3"/>
  <c r="O364" i="3"/>
  <c r="P363" i="3"/>
  <c r="O363" i="3"/>
  <c r="P362" i="3"/>
  <c r="O362" i="3"/>
  <c r="P345" i="3"/>
  <c r="O345" i="3"/>
  <c r="P344" i="3"/>
  <c r="O344" i="3"/>
  <c r="P341" i="3"/>
  <c r="O341" i="3"/>
  <c r="P340" i="3"/>
  <c r="O340" i="3"/>
  <c r="P339" i="3"/>
  <c r="O339" i="3"/>
  <c r="P338" i="3"/>
  <c r="O338" i="3"/>
  <c r="P321" i="3"/>
  <c r="O321" i="3"/>
  <c r="P320" i="3"/>
  <c r="O320" i="3"/>
  <c r="P317" i="3"/>
  <c r="O317" i="3"/>
  <c r="P316" i="3"/>
  <c r="O316" i="3"/>
  <c r="P315" i="3"/>
  <c r="O315" i="3"/>
  <c r="P314" i="3"/>
  <c r="O314" i="3"/>
  <c r="P297" i="3"/>
  <c r="O297" i="3"/>
  <c r="P296" i="3"/>
  <c r="O296" i="3"/>
  <c r="P293" i="3"/>
  <c r="O293" i="3"/>
  <c r="P292" i="3"/>
  <c r="O292" i="3"/>
  <c r="P291" i="3"/>
  <c r="O291" i="3"/>
  <c r="P290" i="3"/>
  <c r="O290" i="3"/>
  <c r="P273" i="3"/>
  <c r="O273" i="3"/>
  <c r="P272" i="3"/>
  <c r="O272" i="3"/>
  <c r="P269" i="3"/>
  <c r="O269" i="3"/>
  <c r="P268" i="3"/>
  <c r="O268" i="3"/>
  <c r="P267" i="3"/>
  <c r="O267" i="3"/>
  <c r="P266" i="3"/>
  <c r="O266" i="3"/>
  <c r="P249" i="3"/>
  <c r="O249" i="3"/>
  <c r="P248" i="3"/>
  <c r="O248" i="3"/>
  <c r="P245" i="3"/>
  <c r="O245" i="3"/>
  <c r="P244" i="3"/>
  <c r="O244" i="3"/>
  <c r="P243" i="3"/>
  <c r="O243" i="3"/>
  <c r="P242" i="3"/>
  <c r="O242" i="3"/>
  <c r="P225" i="3"/>
  <c r="O225" i="3"/>
  <c r="P224" i="3"/>
  <c r="O224" i="3"/>
  <c r="P221" i="3"/>
  <c r="O221" i="3"/>
  <c r="P220" i="3"/>
  <c r="O220" i="3"/>
  <c r="P219" i="3"/>
  <c r="O219" i="3"/>
  <c r="P218" i="3"/>
  <c r="O218" i="3"/>
  <c r="O201" i="3"/>
  <c r="O200" i="3"/>
  <c r="O197" i="3"/>
  <c r="O196" i="3"/>
  <c r="O195" i="3"/>
  <c r="O194" i="3"/>
  <c r="P201" i="3"/>
  <c r="P200" i="3"/>
  <c r="P197" i="3"/>
  <c r="P196" i="3"/>
  <c r="P195" i="3"/>
  <c r="B369" i="3"/>
  <c r="A369" i="3"/>
  <c r="B368" i="3"/>
  <c r="A368" i="3"/>
  <c r="B365" i="3"/>
  <c r="A365" i="3"/>
  <c r="B364" i="3"/>
  <c r="A364" i="3"/>
  <c r="B363" i="3"/>
  <c r="A363" i="3"/>
  <c r="B362" i="3"/>
  <c r="A362" i="3"/>
  <c r="B345" i="3"/>
  <c r="A345" i="3"/>
  <c r="B344" i="3"/>
  <c r="A344" i="3"/>
  <c r="B341" i="3"/>
  <c r="A341" i="3"/>
  <c r="B340" i="3"/>
  <c r="A340" i="3"/>
  <c r="B339" i="3"/>
  <c r="A339" i="3"/>
  <c r="B338" i="3"/>
  <c r="A338" i="3"/>
  <c r="B321" i="3"/>
  <c r="A321" i="3"/>
  <c r="B320" i="3"/>
  <c r="A320" i="3"/>
  <c r="B317" i="3"/>
  <c r="A317" i="3"/>
  <c r="B316" i="3"/>
  <c r="A316" i="3"/>
  <c r="B315" i="3"/>
  <c r="A315" i="3"/>
  <c r="B314" i="3"/>
  <c r="A314" i="3"/>
  <c r="B297" i="3"/>
  <c r="A297" i="3"/>
  <c r="B296" i="3"/>
  <c r="A296" i="3"/>
  <c r="B293" i="3"/>
  <c r="A293" i="3"/>
  <c r="B292" i="3"/>
  <c r="A292" i="3"/>
  <c r="B291" i="3"/>
  <c r="A291" i="3"/>
  <c r="B290" i="3"/>
  <c r="A290" i="3"/>
  <c r="B273" i="3"/>
  <c r="A273" i="3"/>
  <c r="B272" i="3"/>
  <c r="A272" i="3"/>
  <c r="B269" i="3"/>
  <c r="A269" i="3"/>
  <c r="B268" i="3"/>
  <c r="A268" i="3"/>
  <c r="B267" i="3"/>
  <c r="A267" i="3"/>
  <c r="B266" i="3"/>
  <c r="A266" i="3"/>
  <c r="B249" i="3"/>
  <c r="A249" i="3"/>
  <c r="B248" i="3"/>
  <c r="A248" i="3"/>
  <c r="B245" i="3"/>
  <c r="A245" i="3"/>
  <c r="B244" i="3"/>
  <c r="A244" i="3"/>
  <c r="B243" i="3"/>
  <c r="A243" i="3"/>
  <c r="B242" i="3"/>
  <c r="A242" i="3"/>
  <c r="B225" i="3"/>
  <c r="A225" i="3"/>
  <c r="B224" i="3"/>
  <c r="A224" i="3"/>
  <c r="B221" i="3"/>
  <c r="A221" i="3"/>
  <c r="B220" i="3"/>
  <c r="A220" i="3"/>
  <c r="B219" i="3"/>
  <c r="A219" i="3"/>
  <c r="B218" i="3"/>
  <c r="A218" i="3"/>
  <c r="A201" i="3"/>
  <c r="A200" i="3"/>
  <c r="A197" i="3"/>
  <c r="A196" i="3"/>
  <c r="A195" i="3"/>
  <c r="A194" i="3"/>
  <c r="B201" i="3"/>
  <c r="B200" i="3"/>
  <c r="B197" i="3"/>
  <c r="B196" i="3"/>
  <c r="B195" i="3"/>
  <c r="B194" i="3"/>
  <c r="F109" i="3"/>
  <c r="F108" i="3"/>
  <c r="O42" i="3" s="1"/>
  <c r="F105" i="3"/>
  <c r="O41" i="3" s="1"/>
  <c r="F104" i="3"/>
  <c r="O40" i="3" s="1"/>
  <c r="F103" i="3"/>
  <c r="O39" i="3" s="1"/>
  <c r="F102" i="3"/>
  <c r="O38" i="3" s="1"/>
  <c r="O34" i="3" s="1"/>
  <c r="G109" i="3"/>
  <c r="G108" i="3"/>
  <c r="P42" i="3" s="1"/>
  <c r="G105" i="3"/>
  <c r="P41" i="3" s="1"/>
  <c r="G104" i="3"/>
  <c r="P40" i="3" s="1"/>
  <c r="G103" i="3"/>
  <c r="P39" i="3" s="1"/>
  <c r="G102" i="3"/>
  <c r="P38" i="3" s="1"/>
  <c r="F101" i="3"/>
  <c r="F100" i="3"/>
  <c r="F97" i="3"/>
  <c r="F96" i="3"/>
  <c r="F95" i="3"/>
  <c r="O5" i="3" s="1"/>
  <c r="F94" i="3"/>
  <c r="O4" i="3" s="1"/>
  <c r="O3" i="3" s="1"/>
  <c r="G101" i="3"/>
  <c r="G100" i="3"/>
  <c r="G97" i="3"/>
  <c r="G96" i="3"/>
  <c r="G95" i="3"/>
  <c r="P5" i="3" s="1"/>
  <c r="G94" i="3"/>
  <c r="P4" i="3" s="1"/>
  <c r="F93" i="3"/>
  <c r="F92" i="3"/>
  <c r="F89" i="3"/>
  <c r="F88" i="3"/>
  <c r="F87" i="3"/>
  <c r="F86" i="3"/>
  <c r="G93" i="3"/>
  <c r="G92" i="3"/>
  <c r="G89" i="3"/>
  <c r="G88" i="3"/>
  <c r="G87" i="3"/>
  <c r="G86" i="3"/>
  <c r="F85" i="3"/>
  <c r="F84" i="3"/>
  <c r="F81" i="3"/>
  <c r="F80" i="3"/>
  <c r="F79" i="3"/>
  <c r="F78" i="3"/>
  <c r="G85" i="3"/>
  <c r="G84" i="3"/>
  <c r="G81" i="3"/>
  <c r="G80" i="3"/>
  <c r="G79" i="3"/>
  <c r="G78" i="3"/>
  <c r="F77" i="3"/>
  <c r="F76" i="3"/>
  <c r="F73" i="3"/>
  <c r="F72" i="3"/>
  <c r="F71" i="3"/>
  <c r="F70" i="3"/>
  <c r="G77" i="3"/>
  <c r="G76" i="3"/>
  <c r="G73" i="3"/>
  <c r="G72" i="3"/>
  <c r="G71" i="3"/>
  <c r="G70" i="3"/>
  <c r="F69" i="3"/>
  <c r="F68" i="3"/>
  <c r="F65" i="3"/>
  <c r="F64" i="3"/>
  <c r="F63" i="3"/>
  <c r="F62" i="3"/>
  <c r="G69" i="3"/>
  <c r="G68" i="3"/>
  <c r="G65" i="3"/>
  <c r="G64" i="3"/>
  <c r="G63" i="3"/>
  <c r="G62" i="3"/>
  <c r="F61" i="3"/>
  <c r="F60" i="3"/>
  <c r="F57" i="3"/>
  <c r="F56" i="3"/>
  <c r="F55" i="3"/>
  <c r="F54" i="3"/>
  <c r="G61" i="3"/>
  <c r="G60" i="3"/>
  <c r="G57" i="3"/>
  <c r="G56" i="3"/>
  <c r="G55" i="3"/>
  <c r="G54" i="3"/>
  <c r="F53" i="3"/>
  <c r="F52" i="3"/>
  <c r="L42" i="3" s="1"/>
  <c r="F49" i="3"/>
  <c r="L41" i="3" s="1"/>
  <c r="F48" i="3"/>
  <c r="L40" i="3" s="1"/>
  <c r="F47" i="3"/>
  <c r="L39" i="3" s="1"/>
  <c r="F46" i="3"/>
  <c r="L38" i="3" s="1"/>
  <c r="L34" i="3" s="1"/>
  <c r="G53" i="3"/>
  <c r="G52" i="3"/>
  <c r="M42" i="3" s="1"/>
  <c r="G49" i="3"/>
  <c r="M41" i="3" s="1"/>
  <c r="G48" i="3"/>
  <c r="M40" i="3" s="1"/>
  <c r="G47" i="3"/>
  <c r="M39" i="3" s="1"/>
  <c r="G46" i="3"/>
  <c r="M38" i="3" s="1"/>
  <c r="C109" i="3"/>
  <c r="C108" i="3"/>
  <c r="C105" i="3"/>
  <c r="C104" i="3"/>
  <c r="C103" i="3"/>
  <c r="L5" i="3" s="1"/>
  <c r="C102" i="3"/>
  <c r="L4" i="3" s="1"/>
  <c r="L3" i="3" s="1"/>
  <c r="D109" i="3"/>
  <c r="D108" i="3"/>
  <c r="D105" i="3"/>
  <c r="D104" i="3"/>
  <c r="D103" i="3"/>
  <c r="M5" i="3" s="1"/>
  <c r="D102" i="3"/>
  <c r="M4" i="3" s="1"/>
  <c r="C101" i="3"/>
  <c r="C100" i="3"/>
  <c r="C97" i="3"/>
  <c r="C96" i="3"/>
  <c r="C95" i="3"/>
  <c r="C94" i="3"/>
  <c r="D101" i="3"/>
  <c r="D100" i="3"/>
  <c r="D97" i="3"/>
  <c r="D96" i="3"/>
  <c r="D95" i="3"/>
  <c r="D94" i="3"/>
  <c r="C93" i="3"/>
  <c r="C92" i="3"/>
  <c r="C89" i="3"/>
  <c r="C88" i="3"/>
  <c r="C87" i="3"/>
  <c r="C86" i="3"/>
  <c r="D93" i="3"/>
  <c r="D92" i="3"/>
  <c r="D89" i="3"/>
  <c r="D88" i="3"/>
  <c r="D87" i="3"/>
  <c r="D86" i="3"/>
  <c r="C85" i="3"/>
  <c r="C84" i="3"/>
  <c r="C81" i="3"/>
  <c r="C80" i="3"/>
  <c r="C79" i="3"/>
  <c r="C78" i="3"/>
  <c r="D85" i="3"/>
  <c r="D84" i="3"/>
  <c r="D81" i="3"/>
  <c r="D80" i="3"/>
  <c r="D79" i="3"/>
  <c r="D78" i="3"/>
  <c r="C77" i="3"/>
  <c r="C76" i="3"/>
  <c r="C73" i="3"/>
  <c r="C72" i="3"/>
  <c r="C71" i="3"/>
  <c r="C70" i="3"/>
  <c r="D77" i="3"/>
  <c r="D76" i="3"/>
  <c r="D73" i="3"/>
  <c r="D72" i="3"/>
  <c r="D71" i="3"/>
  <c r="D70" i="3"/>
  <c r="D62" i="3"/>
  <c r="C69" i="3"/>
  <c r="C68" i="3"/>
  <c r="C65" i="3"/>
  <c r="C64" i="3"/>
  <c r="C63" i="3"/>
  <c r="C62" i="3"/>
  <c r="D69" i="3"/>
  <c r="D68" i="3"/>
  <c r="D65" i="3"/>
  <c r="D64" i="3"/>
  <c r="D63" i="3"/>
  <c r="D61" i="3"/>
  <c r="D60" i="3"/>
  <c r="J42" i="3" s="1"/>
  <c r="D57" i="3"/>
  <c r="J41" i="3" s="1"/>
  <c r="D56" i="3"/>
  <c r="J40" i="3" s="1"/>
  <c r="D55" i="3"/>
  <c r="J39" i="3" s="1"/>
  <c r="D54" i="3"/>
  <c r="J38" i="3" s="1"/>
  <c r="C61" i="3"/>
  <c r="C60" i="3"/>
  <c r="I42" i="3" s="1"/>
  <c r="C57" i="3"/>
  <c r="I41" i="3" s="1"/>
  <c r="C56" i="3"/>
  <c r="I40" i="3" s="1"/>
  <c r="C55" i="3"/>
  <c r="I39" i="3" s="1"/>
  <c r="C54" i="3"/>
  <c r="I38" i="3" s="1"/>
  <c r="I34" i="3" s="1"/>
  <c r="D53" i="3"/>
  <c r="D52" i="3"/>
  <c r="D49" i="3"/>
  <c r="D48" i="3"/>
  <c r="D47" i="3"/>
  <c r="J5" i="3" s="1"/>
  <c r="D46" i="3"/>
  <c r="J4" i="3" s="1"/>
  <c r="C53" i="3"/>
  <c r="C52" i="3"/>
  <c r="C49" i="3"/>
  <c r="C48" i="3"/>
  <c r="C47" i="3"/>
  <c r="I5" i="3" s="1"/>
  <c r="C46" i="3"/>
  <c r="I4" i="3" s="1"/>
  <c r="I3" i="3" s="1"/>
</calcChain>
</file>

<file path=xl/sharedStrings.xml><?xml version="1.0" encoding="utf-8"?>
<sst xmlns="http://schemas.openxmlformats.org/spreadsheetml/2006/main" count="1051" uniqueCount="143">
  <si>
    <t>Muscle</t>
  </si>
  <si>
    <t>% Pattern</t>
  </si>
  <si>
    <t>Pulse Width (us)</t>
  </si>
  <si>
    <t>Left Step</t>
  </si>
  <si>
    <t>Right Step</t>
  </si>
  <si>
    <t>Parameter</t>
  </si>
  <si>
    <t>Range</t>
  </si>
  <si>
    <t>Setting</t>
  </si>
  <si>
    <t>Left Step Duration (seconds)</t>
  </si>
  <si>
    <t>Right Step Duration (seconds)</t>
  </si>
  <si>
    <t>0 to (IPI - 1)</t>
  </si>
  <si>
    <t>Walk</t>
  </si>
  <si>
    <t>0.01 to 10.00</t>
  </si>
  <si>
    <t>Area</t>
  </si>
  <si>
    <t>PW (us)</t>
  </si>
  <si>
    <t>Time (s) *</t>
  </si>
  <si>
    <t>Stim IPI (ms)</t>
  </si>
  <si>
    <t>Stand</t>
  </si>
  <si>
    <t>Stand Pattern Duration (seconds)</t>
  </si>
  <si>
    <t>IPI (ms)</t>
  </si>
  <si>
    <t>Sit</t>
  </si>
  <si>
    <t>Sit Pattern Duration (seconds)</t>
  </si>
  <si>
    <t>Note: Pulse Width range is 0 to 250 us.</t>
  </si>
  <si>
    <t>Muscle 0</t>
  </si>
  <si>
    <t>Muscle 1</t>
  </si>
  <si>
    <t>Muscle 2</t>
  </si>
  <si>
    <t>Muscle 3</t>
  </si>
  <si>
    <t>Muscle 4</t>
  </si>
  <si>
    <t>Muscle 5</t>
  </si>
  <si>
    <t>Muscle 6</t>
  </si>
  <si>
    <t>Muscle 7</t>
  </si>
  <si>
    <t>Muscle 8</t>
  </si>
  <si>
    <t>Muscle 9</t>
  </si>
  <si>
    <t>Muscle 10</t>
  </si>
  <si>
    <t>Muscle 11</t>
  </si>
  <si>
    <t>Muscle 12</t>
  </si>
  <si>
    <t>Muscle 13</t>
  </si>
  <si>
    <t>Muscle 14</t>
  </si>
  <si>
    <t>Muscle 15</t>
  </si>
  <si>
    <t>IST16 Channel 0 Stim Amplitude</t>
  </si>
  <si>
    <t>IST16 Channel 1 Stim Amplitude</t>
  </si>
  <si>
    <t>IST16 Channel 2 Stim Amplitude</t>
  </si>
  <si>
    <t>TEST IST16 and IRS8 Stimulation Pattern Parameters</t>
  </si>
  <si>
    <t>IST16 Channel 3 Stim Amplitude</t>
  </si>
  <si>
    <t>IST16 Channel 4 Stim Amplitude</t>
  </si>
  <si>
    <t>IST16 Channel 5 Stim Amplitude</t>
  </si>
  <si>
    <t>IST16 Channel 6 Stim Amplitude</t>
  </si>
  <si>
    <t>IST16 Channel 7 Stim Amplitude</t>
  </si>
  <si>
    <t>IST16 Channel 8 Stim Amplitude</t>
  </si>
  <si>
    <t>IST16 Channel 9 Stim Amplitude</t>
  </si>
  <si>
    <t>IST16 Channel 10 Stim Amplitude</t>
  </si>
  <si>
    <t>IST16 Channel 11 Stim Amplitude</t>
  </si>
  <si>
    <t>IST16 Channel 12 Stim Amplitude</t>
  </si>
  <si>
    <t>IST16 Channel 13 Stim Amplitude</t>
  </si>
  <si>
    <t>IST16 Channel 14 Stim Amplitude</t>
  </si>
  <si>
    <t>IST16 Channel 15 Stim Amplitude</t>
  </si>
  <si>
    <t>IRS8 Channel 0 Stim Amplitude</t>
  </si>
  <si>
    <t>IRS8 Channel 1 Stim Amplitude</t>
  </si>
  <si>
    <t>Note 1: A value of 8 corresponds to 20mA for IST16.</t>
  </si>
  <si>
    <t>Note 2: A value of 4 corresponds to 20mA for IRS8.</t>
  </si>
  <si>
    <t>0 to 8 (Note 1)</t>
  </si>
  <si>
    <t>0 to 4 (Note 2)</t>
  </si>
  <si>
    <t>0 to 8</t>
  </si>
  <si>
    <t>0 to 4</t>
  </si>
  <si>
    <t>IRS8 Channel 2 Stim Amplitude</t>
  </si>
  <si>
    <t>IRS8 Channel 3 Stim Amplitude</t>
  </si>
  <si>
    <t>IRS8 Channel 4 Stim Amplitude</t>
  </si>
  <si>
    <t>IRS8 Channel 5 Stim Amplitude</t>
  </si>
  <si>
    <t>IRS8 Channel 6 Stim Amplitude</t>
  </si>
  <si>
    <t>IRS8 Channel 7 Stim Amplitude</t>
  </si>
  <si>
    <t>IST16 RF Power Level</t>
  </si>
  <si>
    <t>0 to 255</t>
  </si>
  <si>
    <t>IRS8 RF Power Level</t>
  </si>
  <si>
    <t>Device/Ch</t>
  </si>
  <si>
    <t>IST16 Ch 0</t>
  </si>
  <si>
    <t>IST16 Ch 1</t>
  </si>
  <si>
    <t>IST16 Ch 2</t>
  </si>
  <si>
    <t>IST16 Ch 3</t>
  </si>
  <si>
    <t>IST16 Ch 4</t>
  </si>
  <si>
    <t>IST16 Ch 5</t>
  </si>
  <si>
    <t>IST16 Ch 6</t>
  </si>
  <si>
    <t>IST16 Ch 7</t>
  </si>
  <si>
    <t>IST16 Ch 8</t>
  </si>
  <si>
    <t>IST16 Ch 9</t>
  </si>
  <si>
    <t>IST16 Ch 10</t>
  </si>
  <si>
    <t>IST16 Ch 11</t>
  </si>
  <si>
    <t>IST16 Ch 12</t>
  </si>
  <si>
    <t>IST16 Ch 13</t>
  </si>
  <si>
    <t>IST16 Ch 14</t>
  </si>
  <si>
    <t>IST16 Ch 15</t>
  </si>
  <si>
    <t>Devic/Ch</t>
  </si>
  <si>
    <t>IRS8 Ch 0</t>
  </si>
  <si>
    <t>IRS8 Ch 1</t>
  </si>
  <si>
    <t>IRS8 Ch 2</t>
  </si>
  <si>
    <t>IRS8 Ch 3</t>
  </si>
  <si>
    <t>IRS8 Ch 4</t>
  </si>
  <si>
    <t>IRS8 Ch 5</t>
  </si>
  <si>
    <t>IRS8 Ch 6</t>
  </si>
  <si>
    <t>IRS8 Ch 7</t>
  </si>
  <si>
    <t>Muscle 16</t>
  </si>
  <si>
    <t>Muscle 17</t>
  </si>
  <si>
    <t>Muscle 18</t>
  </si>
  <si>
    <t>Muscle 19</t>
  </si>
  <si>
    <t>Muscle 20</t>
  </si>
  <si>
    <t>Muscle 21</t>
  </si>
  <si>
    <t>Muscle 22</t>
  </si>
  <si>
    <t>Muscle 23</t>
  </si>
  <si>
    <t>IST16 Channel Delays (ms)</t>
  </si>
  <si>
    <t>IRS8 Channel Delays (ms)</t>
  </si>
  <si>
    <t>5, 7, 9, 11, 13, 15, 17, 19</t>
  </si>
  <si>
    <t>6, 8, 10, 12, 14, 16, 18, 20, 21, 22, 23, 24, 25, 26, 27, 28</t>
  </si>
  <si>
    <t>IST16 Port</t>
  </si>
  <si>
    <t>IRS8 Port</t>
  </si>
  <si>
    <t>0 or 1</t>
  </si>
  <si>
    <t>Data Validated</t>
  </si>
  <si>
    <t>Same amplitude as Walk pattern IST16 Ch0 (See "Walk" sheet cell F6)</t>
  </si>
  <si>
    <t>Same amplitude as Walk pattern IST16 Ch1 (See "Walk" sheet cell F7)</t>
  </si>
  <si>
    <t>Same amplitude as Walk pattern IST16 Ch2 (See "Walk" sheet cell F8)</t>
  </si>
  <si>
    <t>Same amplitude as Walk pattern IST16 Ch3 (See "Walk" sheet cell F9)</t>
  </si>
  <si>
    <t>Same amplitude as Walk pattern IST16 Ch4 (See "Walk" sheet cell F10)</t>
  </si>
  <si>
    <t>Same amplitude as Walk pattern IST16 Ch5 (See "Walk" sheet cell F11)</t>
  </si>
  <si>
    <t>Same amplitude as Walk pattern IST16 Ch6 (See "Walk" sheet cell F12)</t>
  </si>
  <si>
    <t>Same amplitude as Walk pattern IST16 Ch7 (See "Walk" sheet cell F13)</t>
  </si>
  <si>
    <t>Same amplitude as Walk pattern IST16 Ch8 (See "Walk" sheet cell F14)</t>
  </si>
  <si>
    <t>Same amplitude as Walk pattern IST16 Ch9 (See "Walk" sheet cell F15)</t>
  </si>
  <si>
    <t>Same amplitude as Walk pattern IST16 Ch11 (See "Walk" sheet cell F17)</t>
  </si>
  <si>
    <t>Same amplitude as Walk pattern IST16 Ch12 (See "Walk" sheet cell F18)</t>
  </si>
  <si>
    <t>Same amplitude as Walk pattern IST16 Ch13 (See "Walk" sheet cell F19)</t>
  </si>
  <si>
    <t>Same amplitude as Walk pattern IST16 Ch14 (See "Walk" sheet cell F20)</t>
  </si>
  <si>
    <t>Same amplitude as Walk pattern IST16 Ch15 (See "Walk" sheet cell F21)</t>
  </si>
  <si>
    <t>Same amplitude as Walk pattern IST16 Ch10 (See "Walk" sheet cell F16)</t>
  </si>
  <si>
    <t>Same amplitude as Walk pattern IRS8 Ch0 (See "Walk" sheet cell F22)</t>
  </si>
  <si>
    <t>Same amplitude as Walk pattern IRS8 Ch1 (See "Walk" sheet cell F23)</t>
  </si>
  <si>
    <t>Same amplitude as Walk pattern IRS8 Ch2 (See "Walk" sheet cell F24)</t>
  </si>
  <si>
    <t>Same amplitude as Walk pattern IRS8 Ch3 (See "Walk" sheet cell F25)</t>
  </si>
  <si>
    <t>Same amplitude as Walk pattern IRS8 Ch4 (See "Walk" sheet cell F26)</t>
  </si>
  <si>
    <t>Same amplitude as Walk pattern IRS8 Ch5 (See "Walk" sheet cell F27)</t>
  </si>
  <si>
    <t>Same amplitude as Walk pattern IRS8 Ch6 (See "Walk" sheet cell F28)</t>
  </si>
  <si>
    <t>Same amplitude as Walk pattern IRS8 Ch7 (See "Walk" sheet cell F29)</t>
  </si>
  <si>
    <t>Same RF power level as Walk pattern IST16 (See "Walk" sheet cell F30)</t>
  </si>
  <si>
    <t>Same RF power level as Walk pattern IRS8 (See "Walk" sheet cell F31)</t>
  </si>
  <si>
    <t>Same port as Walk pattern IST16 port (See "Walk" sheet cell F32)</t>
  </si>
  <si>
    <t>Same port as Walk pattern IRS8 port (See "Walk" sheet cell F33)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</si>
</sst>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
    <numFmt numFmtId="165" formatCode="0.0"/>
  </numFmts>
  <fonts count="10" x14ac:knownFonts="1">
    <font>
      <sz val="10"/>
      <name val="Arial"/>
    </font>
    <font>
      <b/>
      <sz val="10"/>
      <name val="Arial"/>
      <family val="2"/>
    </font>
    <font>
      <sz val="10"/>
      <name val="Arial"/>
      <family val="2"/>
    </font>
    <font>
      <b/>
      <sz val="14"/>
      <name val="Arial"/>
      <family val="2"/>
    </font>
    <font>
      <b/>
      <sz val="14"/>
      <color indexed="17"/>
      <name val="Arial"/>
      <family val="2"/>
    </font>
    <font>
      <sz val="10"/>
      <color rgb="FF000000"/>
      <name val="Arial"/>
      <family val="2"/>
    </font>
    <font>
      <b/>
      <sz val="10"/>
      <color rgb="FFFF0000"/>
      <name val="Arial"/>
      <family val="2"/>
    </font>
    <font>
      <b/>
      <sz val="10"/>
      <color rgb="FF000000"/>
      <name val="Arial"/>
      <family val="2"/>
    </font>
    <font>
      <sz val="10"/>
      <color rgb="FFFF0000"/>
      <name val="Arial"/>
      <family val="2"/>
    </font>
    <font>
      <b/>
      <sz val="14"/>
      <color rgb="FF008000"/>
      <name val="Arial"/>
      <family val="2"/>
    </font>
  </fonts>
  <fills count="7">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rgb="FFFF0000"/>
        <bgColor indexed="64"/>
      </patternFill>
    </fill>
    <fill>
      <patternFill patternType="solid">
        <fgColor theme="3" tint="0.79998168889431442"/>
        <bgColor indexed="64"/>
      </patternFill>
    </fill>
    <fill>
      <patternFill patternType="solid">
        <fgColor theme="6" tint="0.79998168889431442"/>
        <bgColor indexed="64"/>
      </patternFill>
    </fill>
  </fills>
  <borders count="65">
    <border>
      <left/>
      <right/>
      <top/>
      <bottom/>
      <diagonal/>
    </border>
    <border>
      <left style="thin">
        <color indexed="64"/>
      </left>
      <right/>
      <top/>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top style="medium">
        <color indexed="64"/>
      </top>
      <bottom style="thin">
        <color indexed="64"/>
      </bottom>
      <diagonal/>
    </border>
    <border>
      <left/>
      <right/>
      <top/>
      <bottom style="thin">
        <color indexed="64"/>
      </bottom>
      <diagonal/>
    </border>
    <border>
      <left/>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1">
    <xf numFmtId="0" fontId="0" fillId="0" borderId="0"/>
  </cellStyleXfs>
  <cellXfs count="442">
    <xf numFmtId="0" fontId="0" fillId="0" borderId="0" xfId="0"/>
    <xf numFmtId="0" fontId="0" fillId="0" borderId="0" xfId="0" applyAlignment="1">
      <alignment horizontal="center"/>
    </xf>
    <xf numFmtId="0" fontId="0" fillId="0" borderId="0" xfId="0" applyBorder="1" applyAlignment="1">
      <alignment horizontal="center"/>
    </xf>
    <xf numFmtId="0" fontId="0" fillId="0" borderId="1" xfId="0" applyBorder="1"/>
    <xf numFmtId="0" fontId="0" fillId="0" borderId="0" xfId="0" applyBorder="1"/>
    <xf numFmtId="0" fontId="1" fillId="0" borderId="0" xfId="0" applyFont="1" applyAlignment="1"/>
    <xf numFmtId="0" fontId="1" fillId="0" borderId="0" xfId="0" applyFont="1" applyAlignment="1">
      <alignment horizontal="center"/>
    </xf>
    <xf numFmtId="0" fontId="1" fillId="0" borderId="0" xfId="0" applyFont="1" applyBorder="1" applyAlignment="1">
      <alignment horizontal="center"/>
    </xf>
    <xf numFmtId="2" fontId="0" fillId="0" borderId="0" xfId="0" applyNumberFormat="1" applyBorder="1" applyAlignment="1">
      <alignment horizontal="center"/>
    </xf>
    <xf numFmtId="0" fontId="1" fillId="0" borderId="0" xfId="0" applyFont="1" applyBorder="1" applyAlignment="1"/>
    <xf numFmtId="0" fontId="1" fillId="0" borderId="1" xfId="0" applyFont="1" applyBorder="1" applyAlignment="1"/>
    <xf numFmtId="0" fontId="1" fillId="0" borderId="4" xfId="0" applyFont="1" applyBorder="1" applyAlignment="1">
      <alignment horizontal="center"/>
    </xf>
    <xf numFmtId="0" fontId="2" fillId="0" borderId="8" xfId="0" applyFont="1" applyBorder="1" applyAlignment="1">
      <alignment horizontal="center"/>
    </xf>
    <xf numFmtId="0" fontId="2" fillId="0" borderId="0" xfId="0" applyFont="1" applyBorder="1" applyAlignment="1"/>
    <xf numFmtId="0" fontId="0" fillId="0" borderId="0" xfId="0" applyBorder="1" applyAlignment="1"/>
    <xf numFmtId="22" fontId="1" fillId="0" borderId="0" xfId="0" applyNumberFormat="1" applyFont="1" applyAlignment="1">
      <alignment horizontal="center"/>
    </xf>
    <xf numFmtId="2" fontId="2" fillId="2" borderId="11" xfId="0" applyNumberFormat="1" applyFont="1" applyFill="1" applyBorder="1" applyAlignment="1"/>
    <xf numFmtId="1" fontId="2" fillId="2" borderId="12" xfId="0" applyNumberFormat="1" applyFont="1" applyFill="1" applyBorder="1" applyAlignment="1"/>
    <xf numFmtId="0" fontId="1" fillId="0" borderId="13" xfId="0" applyFont="1" applyBorder="1" applyAlignment="1">
      <alignment horizontal="center"/>
    </xf>
    <xf numFmtId="1" fontId="0" fillId="0" borderId="0" xfId="0" applyNumberFormat="1" applyBorder="1" applyAlignment="1">
      <alignment horizontal="center"/>
    </xf>
    <xf numFmtId="2" fontId="0" fillId="0" borderId="0" xfId="0" applyNumberFormat="1" applyFill="1" applyBorder="1" applyAlignment="1">
      <alignment horizontal="center"/>
    </xf>
    <xf numFmtId="1" fontId="0" fillId="0" borderId="0" xfId="0" applyNumberFormat="1" applyFill="1" applyBorder="1" applyAlignment="1">
      <alignment horizontal="center"/>
    </xf>
    <xf numFmtId="0" fontId="1" fillId="0" borderId="0" xfId="0" applyFont="1" applyFill="1" applyAlignment="1">
      <alignment horizontal="center"/>
    </xf>
    <xf numFmtId="0" fontId="2" fillId="0" borderId="17" xfId="0" applyFont="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3" fillId="0" borderId="0" xfId="0" applyFont="1" applyBorder="1" applyAlignment="1"/>
    <xf numFmtId="2" fontId="2" fillId="2" borderId="24" xfId="0" applyNumberFormat="1" applyFont="1" applyFill="1" applyBorder="1" applyAlignment="1"/>
    <xf numFmtId="0" fontId="0" fillId="0" borderId="0" xfId="0" applyFill="1" applyBorder="1"/>
    <xf numFmtId="0" fontId="2" fillId="0" borderId="0" xfId="0" applyFont="1" applyFill="1" applyBorder="1" applyAlignment="1"/>
    <xf numFmtId="0" fontId="1" fillId="0" borderId="0" xfId="0" applyFont="1" applyFill="1" applyBorder="1" applyAlignment="1"/>
    <xf numFmtId="0" fontId="2" fillId="0" borderId="15" xfId="0" applyFont="1" applyFill="1" applyBorder="1" applyAlignment="1">
      <alignment horizontal="center"/>
    </xf>
    <xf numFmtId="22" fontId="1" fillId="0" borderId="0" xfId="0" applyNumberFormat="1" applyFont="1" applyAlignment="1" applyProtection="1">
      <alignment horizontal="center"/>
      <protection locked="0"/>
    </xf>
    <xf numFmtId="164" fontId="0" fillId="0" borderId="0" xfId="0" applyNumberFormat="1" applyProtection="1">
      <protection hidden="1"/>
    </xf>
    <xf numFmtId="0" fontId="0" fillId="2" borderId="12" xfId="0" applyFill="1" applyBorder="1"/>
    <xf numFmtId="0" fontId="0" fillId="2" borderId="22" xfId="0" applyFill="1" applyBorder="1"/>
    <xf numFmtId="2" fontId="2" fillId="2" borderId="36" xfId="0" applyNumberFormat="1" applyFont="1" applyFill="1" applyBorder="1" applyAlignment="1"/>
    <xf numFmtId="2" fontId="0" fillId="0" borderId="29" xfId="0" applyNumberFormat="1" applyBorder="1" applyAlignment="1">
      <alignment horizontal="center"/>
    </xf>
    <xf numFmtId="1" fontId="0" fillId="0" borderId="32" xfId="0" applyNumberFormat="1" applyBorder="1" applyAlignment="1">
      <alignment horizontal="center"/>
    </xf>
    <xf numFmtId="2" fontId="0" fillId="0" borderId="30" xfId="0" applyNumberFormat="1" applyBorder="1" applyAlignment="1">
      <alignment horizontal="center"/>
    </xf>
    <xf numFmtId="1" fontId="0" fillId="0" borderId="33" xfId="0" applyNumberFormat="1" applyBorder="1" applyAlignment="1">
      <alignment horizontal="center"/>
    </xf>
    <xf numFmtId="2" fontId="0" fillId="0" borderId="31" xfId="0" applyNumberFormat="1" applyBorder="1" applyAlignment="1">
      <alignment horizontal="center"/>
    </xf>
    <xf numFmtId="1" fontId="0" fillId="0" borderId="34" xfId="0" applyNumberFormat="1" applyBorder="1" applyAlignment="1">
      <alignment horizontal="center"/>
    </xf>
    <xf numFmtId="0" fontId="1" fillId="0" borderId="0" xfId="0" applyNumberFormat="1" applyFont="1" applyAlignment="1" applyProtection="1"/>
    <xf numFmtId="0" fontId="0" fillId="0" borderId="0" xfId="0" applyNumberFormat="1" applyBorder="1" applyProtection="1"/>
    <xf numFmtId="0" fontId="0" fillId="0" borderId="0" xfId="0" applyNumberFormat="1" applyProtection="1"/>
    <xf numFmtId="0" fontId="1" fillId="0" borderId="0" xfId="0" applyNumberFormat="1" applyFont="1" applyAlignment="1" applyProtection="1">
      <alignment horizontal="center"/>
    </xf>
    <xf numFmtId="0" fontId="1" fillId="0" borderId="0" xfId="0" applyNumberFormat="1" applyFont="1" applyBorder="1" applyAlignment="1" applyProtection="1"/>
    <xf numFmtId="2" fontId="5" fillId="3" borderId="29" xfId="0" applyNumberFormat="1" applyFont="1" applyFill="1" applyBorder="1" applyAlignment="1" applyProtection="1">
      <alignment horizontal="center"/>
    </xf>
    <xf numFmtId="2" fontId="5" fillId="3" borderId="30" xfId="0" applyNumberFormat="1" applyFont="1" applyFill="1" applyBorder="1" applyAlignment="1" applyProtection="1">
      <alignment horizontal="center"/>
      <protection locked="0"/>
    </xf>
    <xf numFmtId="2" fontId="5" fillId="3" borderId="31" xfId="0" applyNumberFormat="1" applyFont="1" applyFill="1" applyBorder="1" applyAlignment="1">
      <alignment horizontal="center"/>
    </xf>
    <xf numFmtId="1" fontId="5" fillId="3" borderId="32" xfId="0" applyNumberFormat="1" applyFont="1" applyFill="1" applyBorder="1" applyAlignment="1" applyProtection="1">
      <alignment horizontal="center"/>
      <protection locked="0"/>
    </xf>
    <xf numFmtId="1" fontId="5" fillId="3" borderId="33" xfId="0" applyNumberFormat="1" applyFont="1" applyFill="1" applyBorder="1" applyAlignment="1" applyProtection="1">
      <alignment horizontal="center"/>
      <protection locked="0"/>
    </xf>
    <xf numFmtId="1" fontId="5" fillId="3" borderId="34" xfId="0" applyNumberFormat="1" applyFont="1" applyFill="1" applyBorder="1" applyAlignment="1" applyProtection="1">
      <alignment horizontal="center"/>
      <protection locked="0"/>
    </xf>
    <xf numFmtId="2" fontId="5" fillId="3" borderId="29" xfId="0" applyNumberFormat="1" applyFont="1" applyFill="1" applyBorder="1" applyAlignment="1">
      <alignment horizontal="center"/>
    </xf>
    <xf numFmtId="2" fontId="2" fillId="3" borderId="16" xfId="0" applyNumberFormat="1" applyFont="1" applyFill="1" applyBorder="1" applyAlignment="1" applyProtection="1">
      <alignment horizontal="right"/>
      <protection locked="0"/>
    </xf>
    <xf numFmtId="2" fontId="2" fillId="3" borderId="23" xfId="0" applyNumberFormat="1" applyFont="1" applyFill="1" applyBorder="1" applyAlignment="1" applyProtection="1">
      <alignment horizontal="right"/>
      <protection locked="0"/>
    </xf>
    <xf numFmtId="2" fontId="2" fillId="3" borderId="35" xfId="0" applyNumberFormat="1" applyFont="1" applyFill="1" applyBorder="1" applyAlignment="1" applyProtection="1">
      <alignment horizontal="right"/>
      <protection locked="0"/>
    </xf>
    <xf numFmtId="0" fontId="0" fillId="0" borderId="0" xfId="0" applyBorder="1" applyAlignment="1">
      <alignment horizontal="center"/>
    </xf>
    <xf numFmtId="0" fontId="0" fillId="0" borderId="0" xfId="0" applyAlignment="1">
      <alignment horizontal="left"/>
    </xf>
    <xf numFmtId="0" fontId="1" fillId="0" borderId="0" xfId="0" applyFont="1" applyBorder="1" applyAlignment="1">
      <alignment horizontal="center"/>
    </xf>
    <xf numFmtId="0" fontId="0" fillId="0" borderId="0" xfId="0" applyNumberFormat="1" applyBorder="1" applyAlignment="1" applyProtection="1">
      <alignment horizontal="center"/>
    </xf>
    <xf numFmtId="0" fontId="6" fillId="0" borderId="0" xfId="0" applyFont="1" applyAlignment="1">
      <alignment horizontal="center"/>
    </xf>
    <xf numFmtId="1" fontId="2" fillId="3" borderId="7" xfId="0" applyNumberFormat="1" applyFont="1" applyFill="1" applyBorder="1" applyAlignment="1" applyProtection="1">
      <protection locked="0"/>
    </xf>
    <xf numFmtId="0" fontId="0" fillId="0" borderId="0" xfId="0" applyFill="1" applyBorder="1" applyAlignment="1">
      <alignment horizontal="center"/>
    </xf>
    <xf numFmtId="165" fontId="5" fillId="0" borderId="0" xfId="0" applyNumberFormat="1" applyFont="1" applyFill="1" applyBorder="1" applyAlignment="1" applyProtection="1">
      <protection locked="0"/>
    </xf>
    <xf numFmtId="1" fontId="5" fillId="0" borderId="0" xfId="0" applyNumberFormat="1" applyFont="1" applyFill="1" applyBorder="1" applyAlignment="1" applyProtection="1">
      <alignment horizontal="center"/>
      <protection locked="0"/>
    </xf>
    <xf numFmtId="2" fontId="5" fillId="0" borderId="0" xfId="0" applyNumberFormat="1" applyFont="1" applyFill="1" applyBorder="1" applyAlignment="1">
      <alignment horizontal="center"/>
    </xf>
    <xf numFmtId="2" fontId="5" fillId="0" borderId="0" xfId="0" applyNumberFormat="1" applyFont="1" applyFill="1" applyBorder="1" applyAlignment="1" applyProtection="1">
      <alignment horizontal="center"/>
      <protection locked="0"/>
    </xf>
    <xf numFmtId="49" fontId="0" fillId="0" borderId="0" xfId="0" applyNumberFormat="1" applyFill="1" applyBorder="1" applyAlignment="1" applyProtection="1">
      <alignment horizontal="right"/>
      <protection locked="0"/>
    </xf>
    <xf numFmtId="165" fontId="0" fillId="0" borderId="0" xfId="0" applyNumberFormat="1" applyBorder="1" applyAlignment="1">
      <alignment horizontal="center"/>
    </xf>
    <xf numFmtId="0" fontId="0" fillId="0" borderId="0" xfId="0" applyAlignment="1"/>
    <xf numFmtId="0" fontId="0" fillId="0" borderId="0" xfId="0" applyProtection="1"/>
    <xf numFmtId="164" fontId="0" fillId="0" borderId="0" xfId="0" applyNumberFormat="1" applyProtection="1"/>
    <xf numFmtId="164" fontId="1" fillId="0" borderId="0" xfId="0" applyNumberFormat="1" applyFont="1" applyAlignment="1" applyProtection="1">
      <alignment horizontal="center"/>
    </xf>
    <xf numFmtId="164" fontId="1" fillId="0" borderId="0" xfId="0" applyNumberFormat="1" applyFont="1" applyAlignment="1" applyProtection="1"/>
    <xf numFmtId="164" fontId="0" fillId="0" borderId="0" xfId="0" applyNumberFormat="1" applyBorder="1" applyProtection="1"/>
    <xf numFmtId="164" fontId="1" fillId="0" borderId="0" xfId="0" applyNumberFormat="1" applyFont="1" applyBorder="1" applyAlignment="1" applyProtection="1"/>
    <xf numFmtId="164" fontId="0" fillId="0" borderId="0" xfId="0" applyNumberFormat="1" applyBorder="1" applyAlignment="1" applyProtection="1">
      <alignment horizontal="center"/>
    </xf>
    <xf numFmtId="0" fontId="2" fillId="0" borderId="28" xfId="0" applyFont="1" applyBorder="1" applyAlignment="1">
      <alignment horizontal="center"/>
    </xf>
    <xf numFmtId="1" fontId="5" fillId="0" borderId="0" xfId="0" applyNumberFormat="1" applyFont="1" applyFill="1" applyBorder="1" applyAlignment="1" applyProtection="1">
      <protection locked="0"/>
    </xf>
    <xf numFmtId="0" fontId="0" fillId="0" borderId="0" xfId="0" applyProtection="1">
      <protection locked="0"/>
    </xf>
    <xf numFmtId="164" fontId="0" fillId="0" borderId="0" xfId="0" applyNumberFormat="1" applyProtection="1">
      <protection locked="0"/>
    </xf>
    <xf numFmtId="164" fontId="0" fillId="0" borderId="0" xfId="0" applyNumberFormat="1" applyBorder="1" applyAlignment="1" applyProtection="1">
      <alignment horizontal="center"/>
      <protection locked="0"/>
    </xf>
    <xf numFmtId="0" fontId="0" fillId="0" borderId="0" xfId="0" applyNumberFormat="1" applyProtection="1">
      <protection locked="0"/>
    </xf>
    <xf numFmtId="0" fontId="0" fillId="0" borderId="0" xfId="0" applyBorder="1" applyAlignment="1" applyProtection="1">
      <alignment horizontal="center"/>
      <protection locked="0"/>
    </xf>
    <xf numFmtId="0" fontId="0" fillId="0" borderId="0" xfId="0" applyAlignment="1" applyProtection="1">
      <alignment horizontal="center"/>
      <protection locked="0"/>
    </xf>
    <xf numFmtId="0" fontId="0" fillId="0" borderId="0" xfId="0" applyFill="1" applyProtection="1">
      <protection locked="0"/>
    </xf>
    <xf numFmtId="0" fontId="1" fillId="0" borderId="0" xfId="0" applyFont="1" applyAlignment="1" applyProtection="1">
      <protection locked="0"/>
    </xf>
    <xf numFmtId="0" fontId="1" fillId="0" borderId="0" xfId="0" applyFont="1" applyAlignment="1" applyProtection="1">
      <alignment horizontal="center"/>
      <protection locked="0"/>
    </xf>
    <xf numFmtId="0" fontId="1" fillId="0" borderId="13" xfId="0" applyFont="1" applyBorder="1" applyAlignment="1" applyProtection="1">
      <alignment horizontal="center"/>
      <protection locked="0"/>
    </xf>
    <xf numFmtId="164" fontId="1" fillId="0" borderId="0" xfId="0" applyNumberFormat="1" applyFont="1" applyAlignment="1" applyProtection="1">
      <protection locked="0"/>
    </xf>
    <xf numFmtId="0" fontId="1" fillId="0" borderId="0" xfId="0" applyNumberFormat="1" applyFont="1" applyAlignment="1" applyProtection="1">
      <protection locked="0"/>
    </xf>
    <xf numFmtId="164" fontId="1" fillId="0" borderId="0" xfId="0" applyNumberFormat="1" applyFont="1" applyAlignment="1" applyProtection="1">
      <alignment horizontal="center"/>
      <protection locked="0"/>
    </xf>
    <xf numFmtId="0" fontId="1" fillId="0" borderId="0" xfId="0" applyFont="1" applyBorder="1" applyAlignment="1" applyProtection="1">
      <protection locked="0"/>
    </xf>
    <xf numFmtId="0" fontId="0" fillId="0" borderId="0" xfId="0" applyBorder="1" applyProtection="1">
      <protection locked="0"/>
    </xf>
    <xf numFmtId="0" fontId="1" fillId="0" borderId="0" xfId="0" applyFont="1" applyBorder="1" applyAlignment="1" applyProtection="1">
      <alignment horizontal="center"/>
      <protection locked="0"/>
    </xf>
    <xf numFmtId="0" fontId="1" fillId="0" borderId="0" xfId="0" applyFont="1" applyFill="1" applyAlignment="1" applyProtection="1">
      <alignment horizontal="center"/>
      <protection locked="0"/>
    </xf>
    <xf numFmtId="1" fontId="0" fillId="0" borderId="0" xfId="0" applyNumberFormat="1" applyBorder="1" applyAlignment="1" applyProtection="1">
      <alignment horizontal="center"/>
      <protection locked="0"/>
    </xf>
    <xf numFmtId="2" fontId="0" fillId="0" borderId="0" xfId="0" applyNumberFormat="1" applyBorder="1" applyAlignment="1" applyProtection="1">
      <alignment horizontal="center"/>
      <protection locked="0"/>
    </xf>
    <xf numFmtId="0" fontId="0" fillId="0" borderId="0" xfId="0" applyFill="1" applyBorder="1" applyProtection="1">
      <protection locked="0"/>
    </xf>
    <xf numFmtId="164" fontId="0" fillId="0" borderId="0" xfId="0" applyNumberFormat="1" applyBorder="1" applyProtection="1">
      <protection locked="0"/>
    </xf>
    <xf numFmtId="0" fontId="0" fillId="0" borderId="0" xfId="0" applyNumberFormat="1" applyBorder="1" applyProtection="1">
      <protection locked="0"/>
    </xf>
    <xf numFmtId="0" fontId="1" fillId="0" borderId="1" xfId="0" applyFont="1" applyBorder="1" applyAlignment="1" applyProtection="1">
      <protection locked="0"/>
    </xf>
    <xf numFmtId="0" fontId="2" fillId="0" borderId="0" xfId="0" applyFont="1" applyBorder="1" applyAlignment="1" applyProtection="1">
      <protection locked="0"/>
    </xf>
    <xf numFmtId="0" fontId="1" fillId="0" borderId="0" xfId="0" applyFont="1" applyFill="1" applyBorder="1" applyAlignment="1" applyProtection="1">
      <protection locked="0"/>
    </xf>
    <xf numFmtId="164" fontId="1" fillId="0" borderId="0" xfId="0" applyNumberFormat="1" applyFont="1" applyBorder="1" applyAlignment="1" applyProtection="1">
      <protection locked="0"/>
    </xf>
    <xf numFmtId="0" fontId="0" fillId="0" borderId="1" xfId="0" applyBorder="1" applyProtection="1">
      <protection locked="0"/>
    </xf>
    <xf numFmtId="0" fontId="0" fillId="0" borderId="0" xfId="0" applyBorder="1" applyAlignment="1" applyProtection="1">
      <protection locked="0"/>
    </xf>
    <xf numFmtId="0" fontId="0" fillId="0" borderId="0" xfId="0" applyBorder="1" applyAlignment="1">
      <alignment horizontal="center"/>
    </xf>
    <xf numFmtId="0" fontId="1" fillId="0" borderId="18" xfId="0" applyFont="1" applyBorder="1" applyAlignment="1">
      <alignment horizontal="center"/>
    </xf>
    <xf numFmtId="0" fontId="0" fillId="4" borderId="0" xfId="0" applyFill="1"/>
    <xf numFmtId="0" fontId="1" fillId="0" borderId="0" xfId="0" applyFont="1" applyBorder="1" applyAlignment="1">
      <alignment horizontal="center"/>
    </xf>
    <xf numFmtId="0" fontId="0" fillId="0" borderId="0" xfId="0" applyBorder="1" applyAlignment="1">
      <alignment horizontal="center"/>
    </xf>
    <xf numFmtId="0" fontId="1" fillId="0" borderId="0" xfId="0" applyFont="1" applyAlignment="1" applyProtection="1">
      <alignment horizontal="center"/>
      <protection locked="0"/>
    </xf>
    <xf numFmtId="0" fontId="2" fillId="0" borderId="13" xfId="0" applyFont="1" applyBorder="1" applyAlignment="1" applyProtection="1">
      <alignment horizontal="center"/>
      <protection locked="0"/>
    </xf>
    <xf numFmtId="0" fontId="1" fillId="0" borderId="18" xfId="0" applyFont="1" applyBorder="1" applyAlignment="1">
      <alignment horizontal="center"/>
    </xf>
    <xf numFmtId="0" fontId="0" fillId="0" borderId="0" xfId="0" applyAlignment="1">
      <alignment horizontal="left"/>
    </xf>
    <xf numFmtId="0" fontId="1" fillId="0" borderId="18" xfId="0" applyFont="1" applyFill="1" applyBorder="1" applyAlignment="1">
      <alignment horizontal="center"/>
    </xf>
    <xf numFmtId="0" fontId="1" fillId="0" borderId="19" xfId="0" applyFont="1" applyFill="1" applyBorder="1" applyAlignment="1">
      <alignment horizontal="center"/>
    </xf>
    <xf numFmtId="2" fontId="5" fillId="0" borderId="30" xfId="0" applyNumberFormat="1" applyFont="1" applyFill="1" applyBorder="1" applyAlignment="1">
      <alignment horizontal="center"/>
    </xf>
    <xf numFmtId="0" fontId="5" fillId="0" borderId="0" xfId="0" applyFont="1" applyFill="1" applyBorder="1" applyAlignment="1">
      <alignment horizontal="center"/>
    </xf>
    <xf numFmtId="0" fontId="5" fillId="0" borderId="0" xfId="0" applyFont="1" applyFill="1"/>
    <xf numFmtId="1" fontId="0" fillId="0" borderId="33" xfId="0" applyNumberFormat="1" applyFill="1" applyBorder="1" applyAlignment="1">
      <alignment horizontal="center"/>
    </xf>
    <xf numFmtId="2" fontId="0" fillId="0" borderId="30" xfId="0" applyNumberFormat="1" applyFill="1" applyBorder="1" applyAlignment="1">
      <alignment horizontal="center"/>
    </xf>
    <xf numFmtId="1" fontId="5" fillId="0" borderId="33" xfId="0" applyNumberFormat="1" applyFont="1" applyFill="1" applyBorder="1" applyAlignment="1">
      <alignment horizontal="center"/>
    </xf>
    <xf numFmtId="2" fontId="5" fillId="0" borderId="31" xfId="0" applyNumberFormat="1" applyFont="1" applyFill="1" applyBorder="1" applyAlignment="1">
      <alignment horizontal="center"/>
    </xf>
    <xf numFmtId="1" fontId="5" fillId="0" borderId="34" xfId="0" applyNumberFormat="1" applyFont="1" applyFill="1" applyBorder="1" applyAlignment="1">
      <alignment horizontal="center"/>
    </xf>
    <xf numFmtId="0" fontId="5" fillId="0" borderId="0" xfId="0" applyFont="1" applyFill="1" applyAlignment="1">
      <alignment horizontal="center"/>
    </xf>
    <xf numFmtId="0" fontId="7" fillId="0" borderId="18" xfId="0" applyFont="1" applyFill="1" applyBorder="1" applyAlignment="1">
      <alignment horizontal="center"/>
    </xf>
    <xf numFmtId="0" fontId="0" fillId="0" borderId="0" xfId="0" applyFill="1"/>
    <xf numFmtId="2" fontId="2" fillId="0" borderId="29" xfId="0" applyNumberFormat="1" applyFont="1" applyFill="1" applyBorder="1" applyAlignment="1">
      <alignment horizontal="center"/>
    </xf>
    <xf numFmtId="1" fontId="2" fillId="0" borderId="32" xfId="0" applyNumberFormat="1" applyFont="1" applyFill="1" applyBorder="1" applyAlignment="1">
      <alignment horizontal="center"/>
    </xf>
    <xf numFmtId="1" fontId="0" fillId="0" borderId="34" xfId="0" applyNumberFormat="1" applyFill="1" applyBorder="1" applyAlignment="1">
      <alignment horizontal="center"/>
    </xf>
    <xf numFmtId="0" fontId="2" fillId="0" borderId="0" xfId="0" applyFont="1" applyFill="1"/>
    <xf numFmtId="2" fontId="2" fillId="0" borderId="30" xfId="0" applyNumberFormat="1" applyFont="1" applyFill="1" applyBorder="1" applyAlignment="1">
      <alignment horizontal="center"/>
    </xf>
    <xf numFmtId="1" fontId="2" fillId="0" borderId="33" xfId="0" applyNumberFormat="1" applyFont="1" applyFill="1" applyBorder="1" applyAlignment="1">
      <alignment horizontal="center"/>
    </xf>
    <xf numFmtId="2" fontId="2" fillId="0" borderId="31" xfId="0" applyNumberFormat="1" applyFont="1" applyFill="1" applyBorder="1" applyAlignment="1">
      <alignment horizontal="center"/>
    </xf>
    <xf numFmtId="1" fontId="2" fillId="0" borderId="34" xfId="0" applyNumberFormat="1" applyFont="1" applyFill="1" applyBorder="1" applyAlignment="1">
      <alignment horizontal="center"/>
    </xf>
    <xf numFmtId="0" fontId="1" fillId="0" borderId="0" xfId="0" applyFont="1" applyBorder="1" applyProtection="1">
      <protection locked="0"/>
    </xf>
    <xf numFmtId="0" fontId="0" fillId="0" borderId="0" xfId="0" applyFill="1" applyBorder="1" applyAlignment="1" applyProtection="1">
      <alignment horizontal="center"/>
      <protection locked="0"/>
    </xf>
    <xf numFmtId="0" fontId="1" fillId="0" borderId="0" xfId="0" applyFont="1" applyFill="1" applyBorder="1" applyAlignment="1" applyProtection="1">
      <alignment horizontal="center"/>
      <protection locked="0"/>
    </xf>
    <xf numFmtId="0" fontId="6" fillId="0" borderId="0" xfId="0" applyFont="1" applyAlignment="1" applyProtection="1">
      <alignment horizontal="center"/>
      <protection locked="0"/>
    </xf>
    <xf numFmtId="2" fontId="2" fillId="2" borderId="36" xfId="0" applyNumberFormat="1" applyFont="1" applyFill="1" applyBorder="1" applyAlignment="1" applyProtection="1">
      <protection locked="0"/>
    </xf>
    <xf numFmtId="0" fontId="7" fillId="0" borderId="0" xfId="0" applyFont="1" applyFill="1" applyBorder="1" applyAlignment="1"/>
    <xf numFmtId="0" fontId="7" fillId="0" borderId="0" xfId="0" applyFont="1" applyFill="1" applyBorder="1" applyAlignment="1">
      <alignment horizontal="left"/>
    </xf>
    <xf numFmtId="2" fontId="0" fillId="5" borderId="53" xfId="0" applyNumberFormat="1" applyFill="1" applyBorder="1" applyAlignment="1" applyProtection="1">
      <alignment horizontal="center"/>
    </xf>
    <xf numFmtId="1" fontId="0" fillId="5" borderId="27" xfId="0" applyNumberFormat="1" applyFill="1" applyBorder="1" applyAlignment="1" applyProtection="1">
      <alignment horizontal="center"/>
    </xf>
    <xf numFmtId="2" fontId="0" fillId="5" borderId="29" xfId="0" applyNumberFormat="1" applyFill="1" applyBorder="1" applyAlignment="1" applyProtection="1">
      <alignment horizontal="center"/>
    </xf>
    <xf numFmtId="1" fontId="0" fillId="5" borderId="15" xfId="0" applyNumberFormat="1" applyFill="1" applyBorder="1" applyAlignment="1" applyProtection="1">
      <alignment horizontal="center"/>
    </xf>
    <xf numFmtId="0" fontId="0" fillId="5" borderId="39" xfId="0" applyNumberFormat="1" applyFill="1" applyBorder="1" applyAlignment="1" applyProtection="1">
      <alignment horizontal="center"/>
    </xf>
    <xf numFmtId="2" fontId="0" fillId="5" borderId="47" xfId="0" applyNumberFormat="1" applyFill="1" applyBorder="1" applyAlignment="1" applyProtection="1">
      <alignment horizontal="center"/>
    </xf>
    <xf numFmtId="1" fontId="0" fillId="5" borderId="26" xfId="0" applyNumberFormat="1" applyFill="1" applyBorder="1" applyAlignment="1" applyProtection="1">
      <alignment horizontal="center"/>
    </xf>
    <xf numFmtId="2" fontId="0" fillId="5" borderId="30" xfId="0" applyNumberFormat="1" applyFill="1" applyBorder="1" applyAlignment="1" applyProtection="1">
      <alignment horizontal="center"/>
    </xf>
    <xf numFmtId="1" fontId="0" fillId="5" borderId="7" xfId="0" applyNumberFormat="1" applyFill="1" applyBorder="1" applyAlignment="1" applyProtection="1">
      <alignment horizontal="center"/>
    </xf>
    <xf numFmtId="2" fontId="0" fillId="5" borderId="48" xfId="0" applyNumberFormat="1" applyFill="1" applyBorder="1" applyAlignment="1" applyProtection="1">
      <alignment horizontal="center"/>
    </xf>
    <xf numFmtId="1" fontId="0" fillId="5" borderId="28" xfId="0" applyNumberFormat="1" applyFill="1" applyBorder="1" applyAlignment="1" applyProtection="1">
      <alignment horizontal="center"/>
    </xf>
    <xf numFmtId="2" fontId="0" fillId="5" borderId="31" xfId="0" applyNumberFormat="1" applyFill="1" applyBorder="1" applyAlignment="1" applyProtection="1">
      <alignment horizontal="center"/>
    </xf>
    <xf numFmtId="1" fontId="0" fillId="5" borderId="23" xfId="0" applyNumberFormat="1" applyFill="1" applyBorder="1" applyAlignment="1" applyProtection="1">
      <alignment horizontal="center"/>
    </xf>
    <xf numFmtId="0" fontId="0" fillId="5" borderId="3" xfId="0" applyNumberFormat="1" applyFill="1" applyBorder="1" applyAlignment="1" applyProtection="1">
      <alignment horizontal="center"/>
    </xf>
    <xf numFmtId="2" fontId="0" fillId="5" borderId="52" xfId="0" applyNumberFormat="1" applyFill="1" applyBorder="1" applyAlignment="1" applyProtection="1">
      <alignment horizontal="center"/>
    </xf>
    <xf numFmtId="1" fontId="0" fillId="5" borderId="16" xfId="0" applyNumberFormat="1" applyFill="1" applyBorder="1" applyAlignment="1" applyProtection="1">
      <alignment horizontal="center"/>
    </xf>
    <xf numFmtId="2" fontId="0" fillId="5" borderId="55" xfId="0" applyNumberFormat="1" applyFill="1" applyBorder="1" applyAlignment="1" applyProtection="1">
      <alignment horizontal="center"/>
    </xf>
    <xf numFmtId="1" fontId="0" fillId="5" borderId="21" xfId="0" applyNumberFormat="1" applyFill="1" applyBorder="1" applyAlignment="1" applyProtection="1">
      <alignment horizontal="center"/>
    </xf>
    <xf numFmtId="2" fontId="0" fillId="5" borderId="46" xfId="0" applyNumberFormat="1" applyFill="1" applyBorder="1" applyAlignment="1" applyProtection="1">
      <alignment horizontal="center"/>
    </xf>
    <xf numFmtId="1" fontId="0" fillId="5" borderId="8" xfId="0" applyNumberFormat="1" applyFill="1" applyBorder="1" applyAlignment="1" applyProtection="1">
      <alignment horizontal="center"/>
    </xf>
    <xf numFmtId="2" fontId="0" fillId="5" borderId="54" xfId="0" applyNumberFormat="1" applyFill="1" applyBorder="1" applyAlignment="1" applyProtection="1">
      <alignment horizontal="center"/>
    </xf>
    <xf numFmtId="1" fontId="0" fillId="5" borderId="5" xfId="0" applyNumberFormat="1" applyFill="1" applyBorder="1" applyAlignment="1" applyProtection="1">
      <alignment horizontal="center"/>
    </xf>
    <xf numFmtId="2" fontId="0" fillId="5" borderId="56" xfId="0" applyNumberFormat="1" applyFill="1" applyBorder="1" applyAlignment="1" applyProtection="1">
      <alignment horizontal="center"/>
    </xf>
    <xf numFmtId="1" fontId="0" fillId="5" borderId="1" xfId="0" applyNumberFormat="1" applyFill="1" applyBorder="1" applyAlignment="1" applyProtection="1">
      <alignment horizontal="center"/>
    </xf>
    <xf numFmtId="2" fontId="0" fillId="5" borderId="51" xfId="0" applyNumberFormat="1" applyFill="1" applyBorder="1" applyAlignment="1" applyProtection="1">
      <alignment horizontal="center"/>
    </xf>
    <xf numFmtId="1" fontId="0" fillId="5" borderId="14" xfId="0" applyNumberFormat="1" applyFill="1" applyBorder="1" applyAlignment="1" applyProtection="1">
      <alignment horizontal="center"/>
    </xf>
    <xf numFmtId="2" fontId="0" fillId="6" borderId="53" xfId="0" applyNumberFormat="1" applyFill="1" applyBorder="1" applyAlignment="1" applyProtection="1">
      <alignment horizontal="center"/>
    </xf>
    <xf numFmtId="1" fontId="0" fillId="6" borderId="27" xfId="0" applyNumberFormat="1" applyFill="1" applyBorder="1" applyAlignment="1" applyProtection="1">
      <alignment horizontal="center"/>
    </xf>
    <xf numFmtId="2" fontId="0" fillId="6" borderId="29" xfId="0" applyNumberFormat="1" applyFill="1" applyBorder="1" applyAlignment="1" applyProtection="1">
      <alignment horizontal="center"/>
    </xf>
    <xf numFmtId="1" fontId="0" fillId="6" borderId="15" xfId="0" applyNumberFormat="1" applyFill="1" applyBorder="1" applyAlignment="1" applyProtection="1">
      <alignment horizontal="center"/>
    </xf>
    <xf numFmtId="2" fontId="0" fillId="6" borderId="54" xfId="0" applyNumberFormat="1" applyFill="1" applyBorder="1" applyAlignment="1" applyProtection="1">
      <alignment horizontal="center"/>
    </xf>
    <xf numFmtId="1" fontId="0" fillId="6" borderId="5" xfId="0" applyNumberFormat="1" applyFill="1" applyBorder="1" applyAlignment="1" applyProtection="1">
      <alignment horizontal="center"/>
    </xf>
    <xf numFmtId="2" fontId="0" fillId="6" borderId="46" xfId="0" applyNumberFormat="1" applyFill="1" applyBorder="1" applyAlignment="1" applyProtection="1">
      <alignment horizontal="center"/>
    </xf>
    <xf numFmtId="1" fontId="0" fillId="6" borderId="8" xfId="0" applyNumberFormat="1" applyFill="1" applyBorder="1" applyAlignment="1" applyProtection="1">
      <alignment horizontal="center"/>
    </xf>
    <xf numFmtId="2" fontId="0" fillId="6" borderId="52" xfId="0" applyNumberFormat="1" applyFill="1" applyBorder="1" applyAlignment="1" applyProtection="1">
      <alignment horizontal="center"/>
    </xf>
    <xf numFmtId="2" fontId="0" fillId="6" borderId="47" xfId="0" applyNumberFormat="1" applyFill="1" applyBorder="1" applyAlignment="1" applyProtection="1">
      <alignment horizontal="center"/>
    </xf>
    <xf numFmtId="1" fontId="0" fillId="6" borderId="7" xfId="0" applyNumberFormat="1" applyFill="1" applyBorder="1" applyAlignment="1" applyProtection="1">
      <alignment horizontal="center"/>
    </xf>
    <xf numFmtId="2" fontId="0" fillId="6" borderId="57" xfId="0" applyNumberFormat="1" applyFill="1" applyBorder="1" applyAlignment="1" applyProtection="1">
      <alignment horizontal="center"/>
    </xf>
    <xf numFmtId="1" fontId="0" fillId="6" borderId="21" xfId="0" applyNumberFormat="1" applyFill="1" applyBorder="1" applyAlignment="1" applyProtection="1">
      <alignment horizontal="center"/>
    </xf>
    <xf numFmtId="1" fontId="0" fillId="5" borderId="39" xfId="0" applyNumberFormat="1" applyFill="1" applyBorder="1" applyAlignment="1" applyProtection="1">
      <alignment horizontal="center"/>
    </xf>
    <xf numFmtId="1" fontId="0" fillId="5" borderId="50" xfId="0" applyNumberFormat="1" applyFill="1" applyBorder="1" applyAlignment="1" applyProtection="1">
      <alignment horizontal="center"/>
    </xf>
    <xf numFmtId="1" fontId="0" fillId="6" borderId="50" xfId="0" applyNumberFormat="1" applyFill="1" applyBorder="1" applyAlignment="1" applyProtection="1">
      <alignment horizontal="center"/>
    </xf>
    <xf numFmtId="0" fontId="3" fillId="0" borderId="0" xfId="0" applyFont="1" applyFill="1" applyBorder="1" applyAlignment="1" applyProtection="1">
      <protection locked="0"/>
    </xf>
    <xf numFmtId="0" fontId="1" fillId="0" borderId="0" xfId="0" applyFont="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1" fillId="0" borderId="0" xfId="0" applyFont="1" applyFill="1" applyBorder="1" applyAlignment="1">
      <alignment horizontal="center"/>
    </xf>
    <xf numFmtId="0" fontId="2" fillId="0" borderId="17" xfId="0" applyFont="1" applyBorder="1" applyAlignment="1">
      <alignment horizontal="center"/>
    </xf>
    <xf numFmtId="0" fontId="1" fillId="0" borderId="18" xfId="0" applyFont="1" applyBorder="1" applyAlignment="1">
      <alignment horizontal="center"/>
    </xf>
    <xf numFmtId="0" fontId="2" fillId="0" borderId="13" xfId="0" applyFont="1" applyBorder="1" applyAlignment="1">
      <alignment horizontal="center"/>
    </xf>
    <xf numFmtId="0" fontId="1" fillId="0" borderId="0" xfId="0" applyNumberFormat="1" applyFont="1" applyBorder="1" applyAlignment="1" applyProtection="1">
      <alignment horizontal="center"/>
    </xf>
    <xf numFmtId="0" fontId="0" fillId="0" borderId="0" xfId="0" applyNumberFormat="1" applyBorder="1" applyAlignment="1" applyProtection="1">
      <alignment horizontal="center"/>
    </xf>
    <xf numFmtId="0" fontId="0" fillId="0" borderId="0" xfId="0" applyAlignment="1">
      <alignment horizontal="left"/>
    </xf>
    <xf numFmtId="2" fontId="0" fillId="0" borderId="29" xfId="0" applyNumberFormat="1" applyFill="1" applyBorder="1" applyAlignment="1">
      <alignment horizontal="center"/>
    </xf>
    <xf numFmtId="1" fontId="0" fillId="0" borderId="32" xfId="0" applyNumberFormat="1" applyFill="1" applyBorder="1" applyAlignment="1">
      <alignment horizontal="center"/>
    </xf>
    <xf numFmtId="1" fontId="0" fillId="5" borderId="58" xfId="0" applyNumberFormat="1" applyFill="1" applyBorder="1" applyAlignment="1" applyProtection="1">
      <alignment horizontal="center"/>
    </xf>
    <xf numFmtId="164" fontId="0" fillId="0" borderId="0" xfId="0" applyNumberFormat="1" applyBorder="1" applyProtection="1">
      <protection hidden="1"/>
    </xf>
    <xf numFmtId="164" fontId="1" fillId="0" borderId="0" xfId="0" applyNumberFormat="1" applyFont="1" applyBorder="1" applyAlignment="1" applyProtection="1">
      <alignment horizontal="center"/>
      <protection hidden="1"/>
    </xf>
    <xf numFmtId="0" fontId="1" fillId="0" borderId="0" xfId="0" applyFont="1" applyBorder="1"/>
    <xf numFmtId="0" fontId="8" fillId="0" borderId="0" xfId="0" applyFont="1" applyBorder="1" applyAlignment="1"/>
    <xf numFmtId="0" fontId="2" fillId="0" borderId="1" xfId="0" applyFont="1" applyFill="1" applyBorder="1" applyAlignment="1">
      <alignment horizontal="center"/>
    </xf>
    <xf numFmtId="0" fontId="1" fillId="0" borderId="18" xfId="0" applyFont="1" applyBorder="1" applyAlignment="1">
      <alignment horizontal="center"/>
    </xf>
    <xf numFmtId="0" fontId="0" fillId="0" borderId="0" xfId="0" applyNumberFormat="1" applyBorder="1" applyAlignment="1" applyProtection="1">
      <alignment horizontal="center"/>
    </xf>
    <xf numFmtId="1" fontId="0" fillId="3" borderId="19" xfId="0" applyNumberFormat="1" applyFill="1" applyBorder="1" applyAlignment="1" applyProtection="1">
      <alignment horizontal="center"/>
      <protection locked="0"/>
    </xf>
    <xf numFmtId="1" fontId="5" fillId="3" borderId="19" xfId="0" applyNumberFormat="1" applyFont="1" applyFill="1" applyBorder="1" applyAlignment="1" applyProtection="1">
      <alignment horizontal="center"/>
      <protection locked="0"/>
    </xf>
    <xf numFmtId="0" fontId="1" fillId="5" borderId="9" xfId="0" applyFont="1" applyFill="1" applyBorder="1" applyProtection="1"/>
    <xf numFmtId="0" fontId="0" fillId="5" borderId="50" xfId="0" applyFill="1" applyBorder="1" applyProtection="1"/>
    <xf numFmtId="0" fontId="1" fillId="6" borderId="9" xfId="0" applyFont="1" applyFill="1" applyBorder="1" applyProtection="1"/>
    <xf numFmtId="0" fontId="0" fillId="6" borderId="50" xfId="0" applyFill="1" applyBorder="1" applyProtection="1"/>
    <xf numFmtId="0" fontId="0" fillId="5" borderId="6" xfId="0" applyFill="1" applyBorder="1" applyProtection="1"/>
    <xf numFmtId="0" fontId="0" fillId="5" borderId="39" xfId="0" applyFill="1" applyBorder="1" applyProtection="1"/>
    <xf numFmtId="0" fontId="0" fillId="5" borderId="0" xfId="0" applyFill="1" applyBorder="1" applyProtection="1"/>
    <xf numFmtId="0" fontId="0" fillId="6" borderId="6" xfId="0" applyFill="1" applyBorder="1" applyProtection="1"/>
    <xf numFmtId="0" fontId="0" fillId="6" borderId="39" xfId="0" applyFill="1" applyBorder="1" applyProtection="1"/>
    <xf numFmtId="0" fontId="0" fillId="6" borderId="0" xfId="0" applyFill="1" applyBorder="1" applyProtection="1"/>
    <xf numFmtId="0" fontId="1" fillId="5" borderId="2" xfId="0" applyFont="1" applyFill="1" applyBorder="1" applyAlignment="1" applyProtection="1">
      <alignment horizontal="center"/>
    </xf>
    <xf numFmtId="0" fontId="1" fillId="5" borderId="3" xfId="0" applyFont="1" applyFill="1" applyBorder="1" applyAlignment="1" applyProtection="1">
      <alignment horizontal="center"/>
    </xf>
    <xf numFmtId="0" fontId="1" fillId="5" borderId="17" xfId="0" applyFont="1" applyFill="1" applyBorder="1" applyAlignment="1" applyProtection="1">
      <alignment horizontal="center"/>
    </xf>
    <xf numFmtId="0" fontId="1" fillId="5" borderId="5" xfId="0" applyFont="1" applyFill="1" applyBorder="1" applyAlignment="1" applyProtection="1">
      <alignment horizontal="center"/>
    </xf>
    <xf numFmtId="0" fontId="1" fillId="5" borderId="14" xfId="0" applyFont="1" applyFill="1" applyBorder="1" applyAlignment="1" applyProtection="1">
      <alignment horizontal="center"/>
    </xf>
    <xf numFmtId="0" fontId="1" fillId="5" borderId="51" xfId="0" applyFont="1" applyFill="1" applyBorder="1" applyAlignment="1" applyProtection="1">
      <alignment horizontal="center"/>
    </xf>
    <xf numFmtId="0" fontId="1" fillId="6" borderId="2" xfId="0" applyFont="1" applyFill="1" applyBorder="1" applyAlignment="1" applyProtection="1">
      <alignment horizontal="center"/>
    </xf>
    <xf numFmtId="0" fontId="1" fillId="6" borderId="3" xfId="0" applyFont="1" applyFill="1" applyBorder="1" applyAlignment="1" applyProtection="1">
      <alignment horizontal="center"/>
    </xf>
    <xf numFmtId="0" fontId="1" fillId="6" borderId="17" xfId="0" applyFont="1" applyFill="1" applyBorder="1" applyAlignment="1" applyProtection="1">
      <alignment horizontal="center"/>
    </xf>
    <xf numFmtId="0" fontId="1" fillId="6" borderId="5" xfId="0" applyFont="1" applyFill="1" applyBorder="1" applyAlignment="1" applyProtection="1">
      <alignment horizontal="center"/>
    </xf>
    <xf numFmtId="0" fontId="0" fillId="5" borderId="6" xfId="0" applyFill="1" applyBorder="1" applyAlignment="1" applyProtection="1">
      <alignment horizontal="center"/>
    </xf>
    <xf numFmtId="0" fontId="2" fillId="5" borderId="39" xfId="0" applyNumberFormat="1" applyFont="1" applyFill="1" applyBorder="1" applyAlignment="1" applyProtection="1">
      <alignment horizontal="center"/>
    </xf>
    <xf numFmtId="0" fontId="0" fillId="6" borderId="6" xfId="0" applyFill="1" applyBorder="1" applyAlignment="1" applyProtection="1">
      <alignment horizontal="center"/>
    </xf>
    <xf numFmtId="0" fontId="2" fillId="6" borderId="39" xfId="0" applyNumberFormat="1" applyFont="1" applyFill="1" applyBorder="1" applyAlignment="1" applyProtection="1">
      <alignment horizontal="center"/>
    </xf>
    <xf numFmtId="0" fontId="0" fillId="5" borderId="39" xfId="0" applyFill="1" applyBorder="1" applyAlignment="1" applyProtection="1">
      <alignment horizontal="center"/>
    </xf>
    <xf numFmtId="0" fontId="0" fillId="5" borderId="1" xfId="0" applyFill="1" applyBorder="1" applyAlignment="1" applyProtection="1">
      <alignment horizontal="center"/>
    </xf>
    <xf numFmtId="0" fontId="0" fillId="6" borderId="39" xfId="0" applyFill="1" applyBorder="1" applyAlignment="1" applyProtection="1">
      <alignment horizontal="center"/>
    </xf>
    <xf numFmtId="0" fontId="0" fillId="5" borderId="2" xfId="0" applyFill="1" applyBorder="1" applyAlignment="1" applyProtection="1">
      <alignment horizontal="center"/>
    </xf>
    <xf numFmtId="0" fontId="0" fillId="5" borderId="3" xfId="0" applyFill="1" applyBorder="1" applyAlignment="1" applyProtection="1">
      <alignment horizontal="center"/>
    </xf>
    <xf numFmtId="0" fontId="0" fillId="5" borderId="14" xfId="0" applyFill="1" applyBorder="1" applyAlignment="1" applyProtection="1">
      <alignment horizontal="center"/>
    </xf>
    <xf numFmtId="0" fontId="0" fillId="6" borderId="2" xfId="0" applyFill="1" applyBorder="1" applyAlignment="1" applyProtection="1">
      <alignment horizontal="center"/>
    </xf>
    <xf numFmtId="0" fontId="0" fillId="6" borderId="3" xfId="0" applyFill="1" applyBorder="1" applyAlignment="1" applyProtection="1">
      <alignment horizontal="center"/>
    </xf>
    <xf numFmtId="0" fontId="2" fillId="5" borderId="50" xfId="0" applyNumberFormat="1" applyFont="1" applyFill="1" applyBorder="1" applyAlignment="1" applyProtection="1">
      <alignment horizontal="center"/>
    </xf>
    <xf numFmtId="1" fontId="0" fillId="5" borderId="20" xfId="0" applyNumberFormat="1" applyFill="1" applyBorder="1" applyAlignment="1" applyProtection="1">
      <alignment horizontal="center"/>
    </xf>
    <xf numFmtId="1" fontId="0" fillId="5" borderId="25" xfId="0" applyNumberFormat="1" applyFill="1" applyBorder="1" applyAlignment="1" applyProtection="1">
      <alignment horizontal="center"/>
    </xf>
    <xf numFmtId="0" fontId="0" fillId="5" borderId="0" xfId="0" applyFill="1" applyBorder="1" applyAlignment="1" applyProtection="1">
      <alignment horizontal="center"/>
    </xf>
    <xf numFmtId="0" fontId="0" fillId="5" borderId="17" xfId="0" applyFill="1" applyBorder="1" applyAlignment="1" applyProtection="1">
      <alignment horizontal="center"/>
    </xf>
    <xf numFmtId="0" fontId="5" fillId="5" borderId="6" xfId="0" applyFont="1" applyFill="1" applyBorder="1" applyAlignment="1" applyProtection="1">
      <alignment horizontal="center"/>
    </xf>
    <xf numFmtId="0" fontId="5" fillId="5" borderId="39" xfId="0" applyFont="1" applyFill="1" applyBorder="1" applyAlignment="1" applyProtection="1">
      <alignment horizontal="center"/>
    </xf>
    <xf numFmtId="0" fontId="5" fillId="5" borderId="2" xfId="0" applyFont="1" applyFill="1" applyBorder="1" applyAlignment="1" applyProtection="1">
      <alignment horizontal="center"/>
    </xf>
    <xf numFmtId="0" fontId="5" fillId="5" borderId="3" xfId="0" applyFont="1" applyFill="1" applyBorder="1" applyAlignment="1" applyProtection="1">
      <alignment horizontal="center"/>
    </xf>
    <xf numFmtId="1" fontId="0" fillId="6" borderId="44" xfId="0" applyNumberFormat="1" applyFill="1" applyBorder="1" applyAlignment="1" applyProtection="1">
      <alignment horizontal="center"/>
    </xf>
    <xf numFmtId="0" fontId="0" fillId="6" borderId="10" xfId="0" applyFill="1" applyBorder="1" applyAlignment="1" applyProtection="1">
      <alignment horizontal="center"/>
    </xf>
    <xf numFmtId="0" fontId="0" fillId="6" borderId="49" xfId="0" applyFill="1" applyBorder="1" applyAlignment="1" applyProtection="1">
      <alignment horizontal="center"/>
    </xf>
    <xf numFmtId="0" fontId="0" fillId="0" borderId="0" xfId="0" applyBorder="1" applyAlignment="1" applyProtection="1">
      <alignment horizontal="center"/>
    </xf>
    <xf numFmtId="0" fontId="2" fillId="0" borderId="15" xfId="0" applyFont="1" applyFill="1" applyBorder="1" applyAlignment="1" applyProtection="1">
      <alignment horizontal="center"/>
    </xf>
    <xf numFmtId="0" fontId="0" fillId="0" borderId="0" xfId="0" applyBorder="1" applyProtection="1"/>
    <xf numFmtId="0" fontId="0" fillId="5" borderId="10" xfId="0" applyFill="1" applyBorder="1" applyProtection="1"/>
    <xf numFmtId="0" fontId="1" fillId="0" borderId="0" xfId="0" applyFont="1" applyBorder="1" applyAlignment="1" applyProtection="1">
      <alignment horizontal="center"/>
    </xf>
    <xf numFmtId="0" fontId="0" fillId="6" borderId="10" xfId="0" applyFill="1" applyBorder="1" applyProtection="1"/>
    <xf numFmtId="2" fontId="0" fillId="0" borderId="0"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6" borderId="10" xfId="0" applyNumberFormat="1" applyFill="1" applyBorder="1" applyAlignment="1" applyProtection="1">
      <alignment horizontal="center"/>
    </xf>
    <xf numFmtId="1" fontId="0" fillId="5" borderId="10" xfId="0" applyNumberFormat="1" applyFill="1" applyBorder="1" applyAlignment="1" applyProtection="1">
      <alignment horizontal="center"/>
    </xf>
    <xf numFmtId="0" fontId="0" fillId="5" borderId="10" xfId="0" applyFill="1" applyBorder="1" applyAlignment="1" applyProtection="1">
      <alignment horizontal="center"/>
    </xf>
    <xf numFmtId="0" fontId="0" fillId="5" borderId="49" xfId="0" applyFill="1" applyBorder="1" applyAlignment="1" applyProtection="1">
      <alignment horizontal="center"/>
    </xf>
    <xf numFmtId="1" fontId="0" fillId="5" borderId="44" xfId="0" applyNumberFormat="1" applyFill="1" applyBorder="1" applyAlignment="1" applyProtection="1">
      <alignment horizontal="center"/>
    </xf>
    <xf numFmtId="0" fontId="0" fillId="0" borderId="0" xfId="0" applyFill="1" applyBorder="1" applyAlignment="1" applyProtection="1">
      <alignment horizontal="center"/>
    </xf>
    <xf numFmtId="0" fontId="0" fillId="0" borderId="0" xfId="0" applyFill="1" applyProtection="1"/>
    <xf numFmtId="0" fontId="3" fillId="0" borderId="0" xfId="0" applyFont="1" applyFill="1" applyBorder="1" applyAlignment="1" applyProtection="1"/>
    <xf numFmtId="0" fontId="8" fillId="0" borderId="0" xfId="0" applyFont="1" applyBorder="1" applyProtection="1"/>
    <xf numFmtId="0" fontId="6" fillId="0" borderId="0" xfId="0" applyFont="1" applyBorder="1" applyAlignment="1" applyProtection="1">
      <alignment horizontal="center"/>
    </xf>
    <xf numFmtId="2" fontId="8" fillId="0" borderId="0" xfId="0" applyNumberFormat="1" applyFont="1" applyFill="1" applyBorder="1" applyAlignment="1" applyProtection="1">
      <alignment horizontal="center"/>
    </xf>
    <xf numFmtId="0" fontId="3" fillId="0" borderId="0" xfId="0" applyFont="1" applyFill="1" applyBorder="1" applyAlignment="1" applyProtection="1">
      <alignment horizontal="left"/>
    </xf>
    <xf numFmtId="1" fontId="2" fillId="0" borderId="0" xfId="0" applyNumberFormat="1" applyFont="1" applyFill="1" applyBorder="1" applyAlignment="1" applyProtection="1">
      <alignment horizontal="center"/>
    </xf>
    <xf numFmtId="0" fontId="0" fillId="0" borderId="0" xfId="0" applyNumberFormat="1" applyBorder="1" applyAlignment="1" applyProtection="1">
      <alignment horizontal="center"/>
    </xf>
    <xf numFmtId="0" fontId="2" fillId="5" borderId="6" xfId="0" applyFont="1" applyFill="1" applyBorder="1" applyAlignment="1" applyProtection="1">
      <alignment horizontal="center"/>
    </xf>
    <xf numFmtId="0" fontId="2" fillId="5" borderId="9" xfId="0" applyFont="1" applyFill="1" applyBorder="1" applyAlignment="1" applyProtection="1">
      <alignment horizontal="center"/>
    </xf>
    <xf numFmtId="164" fontId="0" fillId="0" borderId="0" xfId="0" applyNumberFormat="1" applyFill="1" applyBorder="1" applyProtection="1"/>
    <xf numFmtId="0" fontId="2" fillId="0" borderId="0" xfId="0" applyNumberFormat="1" applyFont="1" applyFill="1" applyBorder="1" applyAlignment="1" applyProtection="1">
      <alignment horizontal="center"/>
    </xf>
    <xf numFmtId="1" fontId="5" fillId="0" borderId="0" xfId="0" applyNumberFormat="1" applyFont="1" applyFill="1" applyBorder="1" applyAlignment="1" applyProtection="1">
      <alignment horizontal="center"/>
    </xf>
    <xf numFmtId="164" fontId="5" fillId="0" borderId="0" xfId="0" applyNumberFormat="1" applyFont="1" applyFill="1" applyBorder="1" applyProtection="1"/>
    <xf numFmtId="0" fontId="1" fillId="0" borderId="18" xfId="0" applyFont="1" applyBorder="1" applyAlignment="1">
      <alignment horizontal="center"/>
    </xf>
    <xf numFmtId="1" fontId="0" fillId="5" borderId="0" xfId="0" applyNumberFormat="1" applyFill="1" applyBorder="1" applyAlignment="1" applyProtection="1">
      <alignment horizontal="center"/>
    </xf>
    <xf numFmtId="164" fontId="0" fillId="5" borderId="39" xfId="0" applyNumberFormat="1" applyFill="1" applyBorder="1" applyProtection="1"/>
    <xf numFmtId="2" fontId="0" fillId="5" borderId="60" xfId="0" applyNumberFormat="1" applyFill="1" applyBorder="1" applyAlignment="1" applyProtection="1">
      <alignment horizontal="center"/>
    </xf>
    <xf numFmtId="164" fontId="0" fillId="5" borderId="3" xfId="0" applyNumberFormat="1" applyFill="1" applyBorder="1" applyProtection="1"/>
    <xf numFmtId="1" fontId="0" fillId="5" borderId="61" xfId="0" applyNumberFormat="1" applyFill="1" applyBorder="1" applyAlignment="1" applyProtection="1">
      <alignment horizontal="center"/>
    </xf>
    <xf numFmtId="0" fontId="0" fillId="2" borderId="10" xfId="0" applyFill="1" applyBorder="1"/>
    <xf numFmtId="0" fontId="2" fillId="0" borderId="16" xfId="0" applyFont="1" applyFill="1" applyBorder="1" applyAlignment="1">
      <alignment horizontal="center"/>
    </xf>
    <xf numFmtId="1" fontId="2" fillId="3" borderId="16" xfId="0" applyNumberFormat="1" applyFont="1" applyFill="1" applyBorder="1" applyAlignment="1" applyProtection="1">
      <protection locked="0"/>
    </xf>
    <xf numFmtId="0" fontId="2" fillId="2" borderId="11" xfId="0" applyFont="1" applyFill="1" applyBorder="1" applyAlignment="1"/>
    <xf numFmtId="0" fontId="2" fillId="0" borderId="14" xfId="0" applyFont="1" applyFill="1" applyBorder="1" applyAlignment="1">
      <alignment horizontal="center"/>
    </xf>
    <xf numFmtId="1" fontId="2" fillId="3" borderId="23" xfId="0" applyNumberFormat="1" applyFont="1" applyFill="1" applyBorder="1" applyAlignment="1" applyProtection="1">
      <protection locked="0"/>
    </xf>
    <xf numFmtId="0" fontId="0" fillId="2" borderId="24" xfId="0" applyFill="1" applyBorder="1"/>
    <xf numFmtId="1" fontId="2" fillId="3" borderId="1" xfId="0" applyNumberFormat="1" applyFont="1" applyFill="1" applyBorder="1" applyAlignment="1" applyProtection="1">
      <protection locked="0"/>
    </xf>
    <xf numFmtId="0" fontId="0" fillId="2" borderId="44" xfId="0" applyFill="1" applyBorder="1"/>
    <xf numFmtId="1" fontId="2" fillId="3" borderId="14" xfId="0" applyNumberFormat="1" applyFont="1" applyFill="1" applyBorder="1" applyAlignment="1" applyProtection="1">
      <protection locked="0"/>
    </xf>
    <xf numFmtId="0" fontId="0" fillId="2" borderId="11" xfId="0" applyFill="1" applyBorder="1"/>
    <xf numFmtId="2" fontId="0" fillId="5" borderId="57" xfId="0" applyNumberFormat="1" applyFill="1" applyBorder="1" applyAlignment="1" applyProtection="1">
      <alignment horizontal="center"/>
    </xf>
    <xf numFmtId="0" fontId="5" fillId="5" borderId="1" xfId="0" applyFont="1" applyFill="1" applyBorder="1" applyAlignment="1" applyProtection="1">
      <alignment horizontal="center"/>
    </xf>
    <xf numFmtId="0" fontId="5" fillId="5" borderId="14" xfId="0" applyFont="1" applyFill="1" applyBorder="1" applyAlignment="1" applyProtection="1">
      <alignment horizontal="center"/>
    </xf>
    <xf numFmtId="0" fontId="1" fillId="3" borderId="18" xfId="0" applyFont="1" applyFill="1" applyBorder="1" applyAlignment="1">
      <alignment horizontal="center"/>
    </xf>
    <xf numFmtId="0" fontId="1" fillId="3" borderId="19" xfId="0" applyFont="1" applyFill="1" applyBorder="1" applyAlignment="1">
      <alignment horizontal="center"/>
    </xf>
    <xf numFmtId="0" fontId="5" fillId="0" borderId="0" xfId="0" applyFont="1" applyFill="1" applyBorder="1"/>
    <xf numFmtId="0" fontId="7" fillId="0" borderId="0" xfId="0" applyFont="1" applyFill="1" applyBorder="1" applyAlignment="1">
      <alignment horizontal="center"/>
    </xf>
    <xf numFmtId="1" fontId="5" fillId="0" borderId="0" xfId="0" applyNumberFormat="1" applyFont="1" applyFill="1" applyBorder="1" applyAlignment="1">
      <alignment horizontal="center"/>
    </xf>
    <xf numFmtId="0" fontId="0" fillId="0" borderId="0" xfId="0" applyNumberFormat="1" applyFill="1" applyProtection="1"/>
    <xf numFmtId="0" fontId="5" fillId="0" borderId="0" xfId="0" applyNumberFormat="1" applyFont="1" applyFill="1" applyProtection="1"/>
    <xf numFmtId="0" fontId="5" fillId="0" borderId="17" xfId="0" applyFont="1" applyFill="1" applyBorder="1" applyAlignment="1">
      <alignment horizontal="center"/>
    </xf>
    <xf numFmtId="0" fontId="5" fillId="0" borderId="2" xfId="0" applyFont="1" applyFill="1" applyBorder="1" applyAlignment="1">
      <alignment horizontal="center"/>
    </xf>
    <xf numFmtId="0" fontId="5" fillId="0" borderId="0" xfId="0" applyFont="1" applyFill="1" applyAlignment="1"/>
    <xf numFmtId="164" fontId="0" fillId="6" borderId="10" xfId="0" applyNumberFormat="1" applyFill="1" applyBorder="1" applyProtection="1"/>
    <xf numFmtId="0" fontId="1" fillId="6" borderId="14" xfId="0" applyFont="1" applyFill="1" applyBorder="1" applyAlignment="1" applyProtection="1">
      <alignment horizontal="center"/>
    </xf>
    <xf numFmtId="1" fontId="0" fillId="6" borderId="39" xfId="0" applyNumberFormat="1" applyFill="1" applyBorder="1" applyAlignment="1" applyProtection="1">
      <alignment horizontal="center"/>
    </xf>
    <xf numFmtId="164" fontId="0" fillId="6" borderId="39" xfId="0" applyNumberFormat="1" applyFill="1" applyBorder="1" applyProtection="1"/>
    <xf numFmtId="0" fontId="0" fillId="6" borderId="1" xfId="0" applyFill="1" applyBorder="1" applyAlignment="1" applyProtection="1">
      <alignment horizontal="center"/>
    </xf>
    <xf numFmtId="0" fontId="0" fillId="6" borderId="14" xfId="0" applyFill="1" applyBorder="1" applyAlignment="1" applyProtection="1">
      <alignment horizontal="center"/>
    </xf>
    <xf numFmtId="164" fontId="0" fillId="6" borderId="3" xfId="0" applyNumberFormat="1" applyFill="1" applyBorder="1" applyProtection="1"/>
    <xf numFmtId="164" fontId="5" fillId="6" borderId="39" xfId="0" applyNumberFormat="1" applyFont="1" applyFill="1" applyBorder="1" applyProtection="1"/>
    <xf numFmtId="0" fontId="2" fillId="6" borderId="6" xfId="0" applyFont="1" applyFill="1" applyBorder="1" applyAlignment="1" applyProtection="1">
      <alignment horizontal="center"/>
    </xf>
    <xf numFmtId="0" fontId="2" fillId="6" borderId="1" xfId="0" applyNumberFormat="1" applyFont="1" applyFill="1" applyBorder="1" applyAlignment="1" applyProtection="1">
      <alignment horizontal="center"/>
    </xf>
    <xf numFmtId="1" fontId="0" fillId="6" borderId="26" xfId="0" applyNumberFormat="1" applyFill="1" applyBorder="1" applyAlignment="1" applyProtection="1">
      <alignment horizontal="center"/>
    </xf>
    <xf numFmtId="0" fontId="0" fillId="6" borderId="20" xfId="0" applyFill="1" applyBorder="1" applyProtection="1"/>
    <xf numFmtId="0" fontId="0" fillId="6" borderId="1" xfId="0" applyFill="1" applyBorder="1" applyProtection="1"/>
    <xf numFmtId="2" fontId="0" fillId="6" borderId="30" xfId="0" applyNumberFormat="1" applyFill="1" applyBorder="1" applyAlignment="1" applyProtection="1">
      <alignment horizontal="center"/>
    </xf>
    <xf numFmtId="0" fontId="0" fillId="6" borderId="33" xfId="0" applyFill="1" applyBorder="1" applyAlignment="1" applyProtection="1">
      <alignment horizontal="center"/>
    </xf>
    <xf numFmtId="2" fontId="0" fillId="6" borderId="31" xfId="0" applyNumberFormat="1" applyFill="1" applyBorder="1" applyAlignment="1" applyProtection="1">
      <alignment horizontal="center"/>
    </xf>
    <xf numFmtId="1" fontId="0" fillId="6" borderId="28" xfId="0" applyNumberFormat="1" applyFill="1" applyBorder="1" applyAlignment="1" applyProtection="1">
      <alignment horizontal="center"/>
    </xf>
    <xf numFmtId="0" fontId="0" fillId="6" borderId="34" xfId="0" applyFill="1" applyBorder="1" applyAlignment="1" applyProtection="1">
      <alignment horizontal="center"/>
    </xf>
    <xf numFmtId="1" fontId="0" fillId="6" borderId="32" xfId="0" applyNumberFormat="1" applyFill="1" applyBorder="1" applyAlignment="1" applyProtection="1">
      <alignment horizontal="center"/>
    </xf>
    <xf numFmtId="2" fontId="0" fillId="6" borderId="48" xfId="0" applyNumberFormat="1" applyFill="1" applyBorder="1" applyAlignment="1" applyProtection="1">
      <alignment horizontal="center"/>
    </xf>
    <xf numFmtId="2" fontId="0" fillId="6" borderId="55" xfId="0" applyNumberFormat="1" applyFill="1" applyBorder="1" applyAlignment="1" applyProtection="1">
      <alignment horizontal="center"/>
    </xf>
    <xf numFmtId="1" fontId="0" fillId="6" borderId="58" xfId="0" applyNumberFormat="1" applyFill="1" applyBorder="1" applyAlignment="1" applyProtection="1">
      <alignment horizontal="center"/>
    </xf>
    <xf numFmtId="0" fontId="0" fillId="6" borderId="59" xfId="0" applyFill="1" applyBorder="1" applyAlignment="1" applyProtection="1">
      <alignment horizontal="center"/>
    </xf>
    <xf numFmtId="0" fontId="2" fillId="6" borderId="9" xfId="0" applyFont="1" applyFill="1" applyBorder="1" applyAlignment="1" applyProtection="1">
      <alignment horizontal="center"/>
    </xf>
    <xf numFmtId="0" fontId="2" fillId="6" borderId="20" xfId="0" applyNumberFormat="1" applyFont="1" applyFill="1" applyBorder="1" applyAlignment="1" applyProtection="1">
      <alignment horizontal="center"/>
    </xf>
    <xf numFmtId="1" fontId="0" fillId="6" borderId="62" xfId="0" applyNumberFormat="1" applyFill="1" applyBorder="1" applyAlignment="1" applyProtection="1">
      <alignment horizontal="center"/>
    </xf>
    <xf numFmtId="164" fontId="5" fillId="6" borderId="3" xfId="0" applyNumberFormat="1" applyFont="1" applyFill="1" applyBorder="1" applyProtection="1"/>
    <xf numFmtId="0" fontId="0" fillId="5" borderId="0" xfId="0" applyNumberFormat="1" applyFill="1" applyBorder="1" applyProtection="1"/>
    <xf numFmtId="0" fontId="1" fillId="6" borderId="54" xfId="0" applyFont="1" applyFill="1" applyBorder="1" applyAlignment="1" applyProtection="1">
      <alignment horizontal="center"/>
    </xf>
    <xf numFmtId="0" fontId="1" fillId="0" borderId="18" xfId="0" applyFont="1" applyBorder="1" applyAlignment="1">
      <alignment horizontal="center"/>
    </xf>
    <xf numFmtId="1" fontId="0" fillId="5" borderId="46" xfId="0" applyNumberFormat="1" applyFill="1" applyBorder="1" applyAlignment="1" applyProtection="1">
      <alignment horizontal="center"/>
    </xf>
    <xf numFmtId="1" fontId="0" fillId="5" borderId="53" xfId="0" applyNumberFormat="1" applyFill="1" applyBorder="1" applyAlignment="1" applyProtection="1">
      <alignment horizontal="center"/>
    </xf>
    <xf numFmtId="1" fontId="0" fillId="5" borderId="54" xfId="0" applyNumberFormat="1" applyFill="1" applyBorder="1" applyAlignment="1" applyProtection="1">
      <alignment horizontal="center"/>
    </xf>
    <xf numFmtId="0" fontId="0" fillId="2" borderId="49" xfId="0" applyFill="1" applyBorder="1"/>
    <xf numFmtId="0" fontId="2" fillId="0" borderId="2" xfId="0" applyFont="1" applyBorder="1" applyAlignment="1">
      <alignment horizontal="center"/>
    </xf>
    <xf numFmtId="0" fontId="1" fillId="0" borderId="0" xfId="0" applyFont="1" applyAlignment="1">
      <alignment horizontal="center"/>
    </xf>
    <xf numFmtId="0" fontId="0" fillId="0" borderId="0" xfId="0" applyBorder="1" applyAlignment="1" applyProtection="1">
      <alignment horizontal="center"/>
      <protection locked="0"/>
    </xf>
    <xf numFmtId="0" fontId="1" fillId="0" borderId="0" xfId="0" applyFont="1" applyAlignment="1" applyProtection="1">
      <alignment horizontal="center"/>
      <protection locked="0"/>
    </xf>
    <xf numFmtId="0" fontId="6" fillId="0" borderId="0" xfId="0" applyFont="1" applyBorder="1" applyAlignment="1">
      <alignment horizontal="center"/>
    </xf>
    <xf numFmtId="0" fontId="2" fillId="0" borderId="16" xfId="0" applyFont="1" applyFill="1" applyBorder="1" applyAlignment="1" applyProtection="1">
      <alignment horizontal="center"/>
    </xf>
    <xf numFmtId="0" fontId="2" fillId="0" borderId="14" xfId="0" applyFont="1" applyFill="1" applyBorder="1" applyAlignment="1" applyProtection="1">
      <alignment horizontal="center"/>
    </xf>
    <xf numFmtId="2" fontId="0" fillId="6" borderId="56" xfId="0" applyNumberFormat="1" applyFill="1" applyBorder="1" applyAlignment="1" applyProtection="1">
      <alignment horizontal="center"/>
    </xf>
    <xf numFmtId="1" fontId="0" fillId="6" borderId="61" xfId="0" applyNumberFormat="1" applyFill="1" applyBorder="1" applyAlignment="1" applyProtection="1">
      <alignment horizontal="center"/>
    </xf>
    <xf numFmtId="0" fontId="2" fillId="6" borderId="50" xfId="0" applyNumberFormat="1" applyFont="1" applyFill="1" applyBorder="1" applyAlignment="1" applyProtection="1">
      <alignment horizontal="center"/>
    </xf>
    <xf numFmtId="1" fontId="0" fillId="6" borderId="16" xfId="0" applyNumberFormat="1" applyFill="1" applyBorder="1" applyAlignment="1" applyProtection="1">
      <alignment horizontal="center"/>
    </xf>
    <xf numFmtId="1" fontId="0" fillId="6" borderId="23" xfId="0" applyNumberFormat="1" applyFill="1" applyBorder="1" applyAlignment="1" applyProtection="1">
      <alignment horizontal="center"/>
    </xf>
    <xf numFmtId="0" fontId="1" fillId="6" borderId="25" xfId="0" applyFont="1" applyFill="1" applyBorder="1" applyAlignment="1" applyProtection="1">
      <alignment horizontal="center"/>
    </xf>
    <xf numFmtId="0" fontId="1" fillId="6" borderId="44" xfId="0" applyFont="1" applyFill="1" applyBorder="1" applyAlignment="1" applyProtection="1">
      <alignment horizontal="center"/>
    </xf>
    <xf numFmtId="0" fontId="1" fillId="0" borderId="0" xfId="0" applyFont="1" applyFill="1" applyBorder="1" applyAlignment="1">
      <alignment horizontal="center"/>
    </xf>
    <xf numFmtId="0" fontId="3" fillId="0" borderId="0" xfId="0" applyFont="1" applyBorder="1" applyAlignment="1">
      <alignment horizontal="center"/>
    </xf>
    <xf numFmtId="0" fontId="2" fillId="0" borderId="0" xfId="0" applyFont="1" applyBorder="1" applyAlignment="1" applyProtection="1">
      <alignment horizontal="left"/>
    </xf>
    <xf numFmtId="0" fontId="9"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protection locked="0"/>
    </xf>
    <xf numFmtId="0" fontId="0" fillId="0" borderId="0" xfId="0" applyBorder="1" applyAlignment="1">
      <alignment horizontal="center"/>
    </xf>
    <xf numFmtId="0" fontId="1" fillId="5" borderId="25" xfId="0" applyFont="1" applyFill="1" applyBorder="1" applyAlignment="1" applyProtection="1">
      <alignment horizontal="center"/>
    </xf>
    <xf numFmtId="0" fontId="1" fillId="5" borderId="9" xfId="0" applyFont="1" applyFill="1" applyBorder="1" applyAlignment="1" applyProtection="1">
      <alignment horizontal="center"/>
    </xf>
    <xf numFmtId="0" fontId="1" fillId="6" borderId="9" xfId="0" applyFont="1" applyFill="1" applyBorder="1" applyAlignment="1" applyProtection="1">
      <alignment horizontal="center"/>
    </xf>
    <xf numFmtId="0" fontId="1" fillId="0" borderId="20" xfId="0" applyFont="1" applyBorder="1" applyAlignment="1">
      <alignment horizontal="center"/>
    </xf>
    <xf numFmtId="0" fontId="1" fillId="0" borderId="44" xfId="0" applyFont="1" applyBorder="1" applyAlignment="1">
      <alignment horizontal="center"/>
    </xf>
    <xf numFmtId="0" fontId="2" fillId="0" borderId="38" xfId="0" applyFont="1" applyBorder="1" applyAlignment="1">
      <alignment horizontal="center"/>
    </xf>
    <xf numFmtId="0" fontId="2" fillId="0" borderId="42" xfId="0" applyFont="1" applyBorder="1" applyAlignment="1">
      <alignment horizontal="center"/>
    </xf>
    <xf numFmtId="0" fontId="2" fillId="0" borderId="37" xfId="0" applyFont="1" applyBorder="1" applyAlignment="1">
      <alignment horizontal="center"/>
    </xf>
    <xf numFmtId="0" fontId="1" fillId="0" borderId="41" xfId="0" applyFont="1" applyBorder="1" applyAlignment="1">
      <alignment horizontal="center"/>
    </xf>
    <xf numFmtId="0" fontId="1" fillId="0" borderId="0" xfId="0" applyFont="1" applyBorder="1" applyAlignment="1">
      <alignment horizontal="center"/>
    </xf>
    <xf numFmtId="0" fontId="2" fillId="0" borderId="16" xfId="0" applyFont="1" applyBorder="1" applyAlignment="1">
      <alignment horizontal="center"/>
    </xf>
    <xf numFmtId="0" fontId="2" fillId="0" borderId="11" xfId="0" applyFont="1" applyBorder="1" applyAlignment="1">
      <alignment horizontal="center"/>
    </xf>
    <xf numFmtId="0" fontId="2" fillId="0" borderId="0" xfId="0" applyFont="1" applyBorder="1" applyAlignment="1">
      <alignment horizontal="left"/>
    </xf>
    <xf numFmtId="0" fontId="2" fillId="0" borderId="40" xfId="0" applyFont="1" applyBorder="1" applyAlignment="1">
      <alignment horizontal="center"/>
    </xf>
    <xf numFmtId="0" fontId="2" fillId="0" borderId="45" xfId="0" applyFont="1" applyBorder="1" applyAlignment="1">
      <alignment horizontal="center"/>
    </xf>
    <xf numFmtId="0" fontId="2" fillId="0" borderId="2" xfId="0" applyFont="1" applyBorder="1" applyAlignment="1">
      <alignment horizontal="center"/>
    </xf>
    <xf numFmtId="0" fontId="1" fillId="0" borderId="17" xfId="0" applyFont="1" applyBorder="1" applyAlignment="1">
      <alignment horizontal="center"/>
    </xf>
    <xf numFmtId="0" fontId="1" fillId="0" borderId="45" xfId="0" applyFont="1" applyBorder="1" applyAlignment="1">
      <alignment horizontal="center"/>
    </xf>
    <xf numFmtId="0" fontId="1" fillId="0" borderId="0" xfId="0" applyFont="1" applyAlignment="1">
      <alignment horizontal="center"/>
    </xf>
    <xf numFmtId="0" fontId="1" fillId="0" borderId="9" xfId="0" applyFont="1" applyBorder="1" applyAlignment="1">
      <alignment horizontal="center"/>
    </xf>
    <xf numFmtId="0" fontId="1" fillId="0" borderId="25" xfId="0" applyFont="1" applyBorder="1" applyAlignment="1">
      <alignment horizontal="center"/>
    </xf>
    <xf numFmtId="0" fontId="2" fillId="0" borderId="17" xfId="0" applyFont="1" applyBorder="1" applyAlignment="1">
      <alignment horizontal="center"/>
    </xf>
    <xf numFmtId="0" fontId="2" fillId="0" borderId="14" xfId="0" applyFont="1" applyBorder="1" applyAlignment="1">
      <alignment horizontal="center"/>
    </xf>
    <xf numFmtId="0" fontId="2" fillId="0" borderId="49" xfId="0" applyFont="1" applyBorder="1" applyAlignment="1">
      <alignment horizontal="center"/>
    </xf>
    <xf numFmtId="0" fontId="2" fillId="0" borderId="46" xfId="0" applyFont="1" applyBorder="1" applyAlignment="1">
      <alignment horizontal="center"/>
    </xf>
    <xf numFmtId="0" fontId="2" fillId="0" borderId="48" xfId="0" applyFont="1" applyBorder="1" applyAlignment="1">
      <alignment horizontal="center"/>
    </xf>
    <xf numFmtId="1" fontId="2" fillId="0" borderId="26" xfId="0" applyNumberFormat="1" applyFont="1" applyFill="1" applyBorder="1" applyAlignment="1" applyProtection="1">
      <alignment horizontal="left"/>
    </xf>
    <xf numFmtId="1" fontId="2" fillId="0" borderId="33" xfId="0" applyNumberFormat="1" applyFont="1" applyFill="1" applyBorder="1" applyAlignment="1" applyProtection="1">
      <alignment horizontal="left"/>
    </xf>
    <xf numFmtId="0" fontId="3" fillId="0" borderId="0" xfId="0" applyNumberFormat="1" applyFont="1" applyBorder="1" applyAlignment="1" applyProtection="1">
      <alignment horizontal="left"/>
      <protection locked="0"/>
    </xf>
    <xf numFmtId="0" fontId="2" fillId="0" borderId="6" xfId="0" applyFont="1" applyBorder="1" applyAlignment="1">
      <alignment horizontal="center"/>
    </xf>
    <xf numFmtId="0" fontId="1" fillId="5" borderId="44" xfId="0" applyFont="1" applyFill="1" applyBorder="1" applyAlignment="1" applyProtection="1">
      <alignment horizontal="center"/>
    </xf>
    <xf numFmtId="0" fontId="2" fillId="0" borderId="41" xfId="0" applyFont="1" applyBorder="1" applyAlignment="1">
      <alignment horizontal="center"/>
    </xf>
    <xf numFmtId="0" fontId="2" fillId="0" borderId="53" xfId="0" applyFont="1" applyBorder="1" applyAlignment="1">
      <alignment horizontal="center"/>
    </xf>
    <xf numFmtId="0" fontId="2" fillId="0" borderId="63" xfId="0" applyFont="1" applyBorder="1" applyAlignment="1">
      <alignment horizontal="center"/>
    </xf>
    <xf numFmtId="0" fontId="2" fillId="0" borderId="64" xfId="0" applyFont="1" applyBorder="1" applyAlignment="1">
      <alignment horizontal="center"/>
    </xf>
    <xf numFmtId="0" fontId="2" fillId="0" borderId="57" xfId="0" applyFont="1" applyBorder="1" applyAlignment="1">
      <alignment horizontal="center"/>
    </xf>
    <xf numFmtId="1" fontId="2" fillId="0" borderId="5" xfId="0" applyNumberFormat="1" applyFont="1" applyFill="1" applyBorder="1" applyAlignment="1" applyProtection="1">
      <alignment horizontal="left"/>
    </xf>
    <xf numFmtId="1" fontId="2" fillId="0" borderId="3" xfId="0" applyNumberFormat="1" applyFont="1" applyFill="1" applyBorder="1" applyAlignment="1" applyProtection="1">
      <alignment horizontal="left"/>
    </xf>
    <xf numFmtId="1" fontId="2" fillId="0" borderId="8" xfId="0" applyNumberFormat="1" applyFont="1" applyFill="1" applyBorder="1" applyAlignment="1" applyProtection="1">
      <alignment horizontal="left"/>
    </xf>
    <xf numFmtId="1" fontId="2" fillId="0" borderId="62" xfId="0" applyNumberFormat="1" applyFont="1" applyFill="1" applyBorder="1" applyAlignment="1" applyProtection="1">
      <alignment horizontal="left"/>
    </xf>
    <xf numFmtId="1" fontId="2" fillId="0" borderId="61" xfId="0" applyNumberFormat="1" applyFont="1" applyFill="1" applyBorder="1" applyAlignment="1" applyProtection="1">
      <alignment horizontal="left"/>
    </xf>
    <xf numFmtId="1" fontId="2" fillId="0" borderId="39" xfId="0" applyNumberFormat="1" applyFont="1" applyFill="1" applyBorder="1" applyAlignment="1" applyProtection="1">
      <alignment horizontal="left"/>
    </xf>
    <xf numFmtId="0" fontId="1" fillId="0" borderId="35" xfId="0" applyFont="1" applyBorder="1" applyAlignment="1" applyProtection="1">
      <alignment horizontal="center"/>
      <protection locked="0"/>
    </xf>
    <xf numFmtId="0" fontId="1" fillId="0" borderId="3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43" xfId="0" applyFont="1" applyBorder="1" applyAlignment="1" applyProtection="1">
      <alignment horizontal="center"/>
      <protection locked="0"/>
    </xf>
    <xf numFmtId="0" fontId="2" fillId="0" borderId="18" xfId="0" applyFont="1" applyBorder="1" applyAlignment="1" applyProtection="1">
      <alignment horizontal="center"/>
      <protection locked="0"/>
    </xf>
    <xf numFmtId="0" fontId="2" fillId="0" borderId="43" xfId="0" applyFont="1" applyBorder="1" applyAlignment="1" applyProtection="1">
      <alignment horizontal="center"/>
      <protection locked="0"/>
    </xf>
    <xf numFmtId="0" fontId="1" fillId="0" borderId="0" xfId="0" applyFont="1" applyAlignment="1" applyProtection="1">
      <alignment horizontal="center"/>
      <protection locked="0"/>
    </xf>
    <xf numFmtId="1" fontId="2" fillId="0" borderId="27" xfId="0" applyNumberFormat="1" applyFont="1" applyFill="1" applyBorder="1" applyAlignment="1" applyProtection="1">
      <alignment horizontal="left"/>
    </xf>
    <xf numFmtId="1" fontId="2" fillId="0" borderId="32" xfId="0" applyNumberFormat="1" applyFont="1" applyFill="1" applyBorder="1" applyAlignment="1" applyProtection="1">
      <alignment horizontal="left"/>
    </xf>
    <xf numFmtId="1" fontId="2" fillId="0" borderId="28" xfId="0" applyNumberFormat="1" applyFont="1" applyFill="1" applyBorder="1" applyAlignment="1" applyProtection="1">
      <alignment horizontal="left"/>
    </xf>
    <xf numFmtId="1" fontId="2" fillId="0" borderId="34" xfId="0" applyNumberFormat="1" applyFont="1" applyFill="1" applyBorder="1" applyAlignment="1" applyProtection="1">
      <alignment horizontal="left"/>
    </xf>
    <xf numFmtId="0" fontId="3" fillId="0" borderId="0" xfId="0" applyFont="1" applyFill="1" applyBorder="1" applyAlignment="1" applyProtection="1">
      <alignment horizontal="center"/>
    </xf>
    <xf numFmtId="0" fontId="8" fillId="0" borderId="0" xfId="0" applyFont="1" applyBorder="1" applyAlignment="1">
      <alignment horizontal="left"/>
    </xf>
    <xf numFmtId="1" fontId="2" fillId="0" borderId="0" xfId="0" applyNumberFormat="1" applyFont="1" applyFill="1" applyBorder="1" applyAlignment="1" applyProtection="1">
      <alignment horizontal="center"/>
    </xf>
    <xf numFmtId="164" fontId="1" fillId="0" borderId="0" xfId="0" applyNumberFormat="1" applyFont="1" applyBorder="1" applyAlignment="1" applyProtection="1">
      <alignment horizontal="center"/>
      <protection locked="0"/>
    </xf>
    <xf numFmtId="164" fontId="2" fillId="0" borderId="0" xfId="0" applyNumberFormat="1" applyFont="1" applyBorder="1" applyAlignment="1" applyProtection="1">
      <alignment horizontal="center"/>
      <protection locked="0"/>
    </xf>
    <xf numFmtId="164" fontId="0" fillId="0" borderId="0" xfId="0" applyNumberFormat="1" applyBorder="1" applyAlignment="1" applyProtection="1">
      <alignment horizontal="center"/>
      <protection locked="0"/>
    </xf>
    <xf numFmtId="1" fontId="2" fillId="0" borderId="58" xfId="0" applyNumberFormat="1" applyFont="1" applyFill="1" applyBorder="1" applyAlignment="1" applyProtection="1">
      <alignment horizontal="left"/>
    </xf>
    <xf numFmtId="1" fontId="2" fillId="0" borderId="59" xfId="0" applyNumberFormat="1" applyFont="1" applyFill="1" applyBorder="1" applyAlignment="1" applyProtection="1">
      <alignment horizontal="left"/>
    </xf>
    <xf numFmtId="0" fontId="3" fillId="0" borderId="0" xfId="0" applyFont="1" applyFill="1" applyBorder="1" applyAlignment="1">
      <alignment horizontal="center"/>
    </xf>
    <xf numFmtId="0" fontId="2" fillId="0" borderId="0" xfId="0" applyNumberFormat="1" applyFont="1" applyBorder="1" applyAlignment="1" applyProtection="1">
      <alignment horizontal="center"/>
    </xf>
    <xf numFmtId="0" fontId="1" fillId="0" borderId="0" xfId="0" applyNumberFormat="1" applyFont="1" applyBorder="1" applyAlignment="1" applyProtection="1">
      <alignment horizontal="center"/>
    </xf>
    <xf numFmtId="0" fontId="0" fillId="0" borderId="0" xfId="0" applyNumberFormat="1" applyBorder="1" applyAlignment="1" applyProtection="1">
      <alignment horizontal="center"/>
    </xf>
    <xf numFmtId="0" fontId="6" fillId="0" borderId="0" xfId="0" applyFont="1" applyBorder="1" applyAlignment="1">
      <alignment horizontal="center"/>
    </xf>
    <xf numFmtId="0" fontId="2" fillId="0" borderId="0" xfId="0" applyFont="1" applyFill="1" applyBorder="1" applyAlignment="1">
      <alignment horizontal="left"/>
    </xf>
    <xf numFmtId="0" fontId="1" fillId="0" borderId="35" xfId="0" applyFont="1" applyBorder="1" applyAlignment="1">
      <alignment horizontal="center"/>
    </xf>
    <xf numFmtId="0" fontId="1" fillId="0" borderId="36" xfId="0" applyFont="1" applyBorder="1" applyAlignment="1">
      <alignment horizontal="center"/>
    </xf>
    <xf numFmtId="0" fontId="1" fillId="0" borderId="18" xfId="0" applyFont="1" applyBorder="1" applyAlignment="1">
      <alignment horizontal="center"/>
    </xf>
    <xf numFmtId="0" fontId="1" fillId="0" borderId="43" xfId="0" applyFont="1" applyBorder="1" applyAlignment="1">
      <alignment horizontal="center"/>
    </xf>
    <xf numFmtId="0" fontId="2" fillId="0" borderId="18" xfId="0" applyFont="1" applyBorder="1" applyAlignment="1">
      <alignment horizontal="center"/>
    </xf>
    <xf numFmtId="0" fontId="2" fillId="0" borderId="43"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12.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3.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4.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themeOverride" Target="../theme/themeOverride15.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themeOverride" Target="../theme/themeOverride16.xml"/><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themeOverride" Target="../theme/themeOverride17.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themeOverride" Target="../theme/themeOverride18.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themeOverride" Target="../theme/themeOverride19.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themeOverride" Target="../theme/themeOverride20.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themeOverride" Target="../theme/themeOverride21.xml"/><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themeOverride" Target="../theme/themeOverride22.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3" Type="http://schemas.openxmlformats.org/officeDocument/2006/relationships/themeOverride" Target="../theme/themeOverride23.xml"/><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4.xml"/><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3" Type="http://schemas.openxmlformats.org/officeDocument/2006/relationships/themeOverride" Target="../theme/themeOverride25.xml"/><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themeOverride" Target="../theme/themeOverride26.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3" Type="http://schemas.openxmlformats.org/officeDocument/2006/relationships/themeOverride" Target="../theme/themeOverride27.xml"/><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3" Type="http://schemas.openxmlformats.org/officeDocument/2006/relationships/themeOverride" Target="../theme/themeOverride28.xml"/><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3" Type="http://schemas.openxmlformats.org/officeDocument/2006/relationships/themeOverride" Target="../theme/themeOverride29.xml"/><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3" Type="http://schemas.openxmlformats.org/officeDocument/2006/relationships/themeOverride" Target="../theme/themeOverride30.xml"/><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3" Type="http://schemas.openxmlformats.org/officeDocument/2006/relationships/themeOverride" Target="../theme/themeOverride31.xml"/><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3" Type="http://schemas.openxmlformats.org/officeDocument/2006/relationships/themeOverride" Target="../theme/themeOverride32.xml"/><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3" Type="http://schemas.openxmlformats.org/officeDocument/2006/relationships/themeOverride" Target="../theme/themeOverride33.xml"/><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3" Type="http://schemas.openxmlformats.org/officeDocument/2006/relationships/themeOverride" Target="../theme/themeOverride34.xml"/><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3" Type="http://schemas.openxmlformats.org/officeDocument/2006/relationships/themeOverride" Target="../theme/themeOverride35.xml"/><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3" Type="http://schemas.openxmlformats.org/officeDocument/2006/relationships/themeOverride" Target="../theme/themeOverride36.xml"/><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3" Type="http://schemas.openxmlformats.org/officeDocument/2006/relationships/themeOverride" Target="../theme/themeOverride37.xml"/><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3" Type="http://schemas.openxmlformats.org/officeDocument/2006/relationships/themeOverride" Target="../theme/themeOverride38.xml"/><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3" Type="http://schemas.openxmlformats.org/officeDocument/2006/relationships/themeOverride" Target="../theme/themeOverride39.xml"/><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3" Type="http://schemas.openxmlformats.org/officeDocument/2006/relationships/themeOverride" Target="../theme/themeOverride40.xml"/><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3" Type="http://schemas.openxmlformats.org/officeDocument/2006/relationships/themeOverride" Target="../theme/themeOverride41.xml"/><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3" Type="http://schemas.openxmlformats.org/officeDocument/2006/relationships/themeOverride" Target="../theme/themeOverride42.xml"/><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3" Type="http://schemas.openxmlformats.org/officeDocument/2006/relationships/themeOverride" Target="../theme/themeOverride43.xml"/><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3" Type="http://schemas.openxmlformats.org/officeDocument/2006/relationships/themeOverride" Target="../theme/themeOverride44.xml"/><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3" Type="http://schemas.openxmlformats.org/officeDocument/2006/relationships/themeOverride" Target="../theme/themeOverride45.xml"/><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3" Type="http://schemas.openxmlformats.org/officeDocument/2006/relationships/themeOverride" Target="../theme/themeOverride46.xml"/><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3" Type="http://schemas.openxmlformats.org/officeDocument/2006/relationships/themeOverride" Target="../theme/themeOverride47.xml"/><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3" Type="http://schemas.openxmlformats.org/officeDocument/2006/relationships/themeOverride" Target="../theme/themeOverride48.xml"/><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3" Type="http://schemas.openxmlformats.org/officeDocument/2006/relationships/themeOverride" Target="../theme/themeOverride49.xml"/><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3" Type="http://schemas.openxmlformats.org/officeDocument/2006/relationships/themeOverride" Target="../theme/themeOverride50.xml"/><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3" Type="http://schemas.openxmlformats.org/officeDocument/2006/relationships/themeOverride" Target="../theme/themeOverride51.xml"/><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3" Type="http://schemas.openxmlformats.org/officeDocument/2006/relationships/themeOverride" Target="../theme/themeOverride52.xml"/><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3" Type="http://schemas.openxmlformats.org/officeDocument/2006/relationships/themeOverride" Target="../theme/themeOverride53.xml"/><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3" Type="http://schemas.openxmlformats.org/officeDocument/2006/relationships/themeOverride" Target="../theme/themeOverride54.xml"/><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3" Type="http://schemas.openxmlformats.org/officeDocument/2006/relationships/themeOverride" Target="../theme/themeOverride55.xml"/><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3" Type="http://schemas.openxmlformats.org/officeDocument/2006/relationships/themeOverride" Target="../theme/themeOverride56.xml"/><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3" Type="http://schemas.openxmlformats.org/officeDocument/2006/relationships/themeOverride" Target="../theme/themeOverride57.xml"/><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3" Type="http://schemas.openxmlformats.org/officeDocument/2006/relationships/themeOverride" Target="../theme/themeOverride58.xml"/><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3" Type="http://schemas.openxmlformats.org/officeDocument/2006/relationships/themeOverride" Target="../theme/themeOverride59.xml"/><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3" Type="http://schemas.openxmlformats.org/officeDocument/2006/relationships/themeOverride" Target="../theme/themeOverride60.xml"/><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3" Type="http://schemas.openxmlformats.org/officeDocument/2006/relationships/themeOverride" Target="../theme/themeOverride61.xml"/><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3" Type="http://schemas.openxmlformats.org/officeDocument/2006/relationships/themeOverride" Target="../theme/themeOverride62.xml"/><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3" Type="http://schemas.openxmlformats.org/officeDocument/2006/relationships/themeOverride" Target="../theme/themeOverride63.xml"/><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3" Type="http://schemas.openxmlformats.org/officeDocument/2006/relationships/themeOverride" Target="../theme/themeOverride64.xml"/><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3" Type="http://schemas.openxmlformats.org/officeDocument/2006/relationships/themeOverride" Target="../theme/themeOverride65.xml"/><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3" Type="http://schemas.openxmlformats.org/officeDocument/2006/relationships/themeOverride" Target="../theme/themeOverride66.xml"/><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3" Type="http://schemas.openxmlformats.org/officeDocument/2006/relationships/themeOverride" Target="../theme/themeOverride67.xml"/><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3" Type="http://schemas.openxmlformats.org/officeDocument/2006/relationships/themeOverride" Target="../theme/themeOverride68.xml"/><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3" Type="http://schemas.openxmlformats.org/officeDocument/2006/relationships/themeOverride" Target="../theme/themeOverride69.xml"/><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3" Type="http://schemas.openxmlformats.org/officeDocument/2006/relationships/themeOverride" Target="../theme/themeOverride70.xml"/><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3" Type="http://schemas.openxmlformats.org/officeDocument/2006/relationships/themeOverride" Target="../theme/themeOverride71.xml"/><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3" Type="http://schemas.openxmlformats.org/officeDocument/2006/relationships/themeOverride" Target="../theme/themeOverride72.xml"/><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3" Type="http://schemas.openxmlformats.org/officeDocument/2006/relationships/themeOverride" Target="../theme/themeOverride73.xml"/><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3" Type="http://schemas.openxmlformats.org/officeDocument/2006/relationships/themeOverride" Target="../theme/themeOverride74.xml"/><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3" Type="http://schemas.openxmlformats.org/officeDocument/2006/relationships/themeOverride" Target="../theme/themeOverride75.xml"/><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3" Type="http://schemas.openxmlformats.org/officeDocument/2006/relationships/themeOverride" Target="../theme/themeOverride76.xml"/><Relationship Id="rId2" Type="http://schemas.microsoft.com/office/2011/relationships/chartColorStyle" Target="colors80.xml"/><Relationship Id="rId1" Type="http://schemas.microsoft.com/office/2011/relationships/chartStyle" Target="style80.xml"/></Relationships>
</file>

<file path=xl/charts/_rels/chart81.xml.rels><?xml version="1.0" encoding="UTF-8" standalone="yes"?>
<Relationships xmlns="http://schemas.openxmlformats.org/package/2006/relationships"><Relationship Id="rId3" Type="http://schemas.openxmlformats.org/officeDocument/2006/relationships/themeOverride" Target="../theme/themeOverride77.xml"/><Relationship Id="rId2" Type="http://schemas.microsoft.com/office/2011/relationships/chartColorStyle" Target="colors81.xml"/><Relationship Id="rId1" Type="http://schemas.microsoft.com/office/2011/relationships/chartStyle" Target="style81.xml"/></Relationships>
</file>

<file path=xl/charts/_rels/chart82.xml.rels><?xml version="1.0" encoding="UTF-8" standalone="yes"?>
<Relationships xmlns="http://schemas.openxmlformats.org/package/2006/relationships"><Relationship Id="rId3" Type="http://schemas.openxmlformats.org/officeDocument/2006/relationships/themeOverride" Target="../theme/themeOverride78.xml"/><Relationship Id="rId2" Type="http://schemas.microsoft.com/office/2011/relationships/chartColorStyle" Target="colors82.xml"/><Relationship Id="rId1" Type="http://schemas.microsoft.com/office/2011/relationships/chartStyle" Target="style82.xml"/></Relationships>
</file>

<file path=xl/charts/_rels/chart83.xml.rels><?xml version="1.0" encoding="UTF-8" standalone="yes"?>
<Relationships xmlns="http://schemas.openxmlformats.org/package/2006/relationships"><Relationship Id="rId3" Type="http://schemas.openxmlformats.org/officeDocument/2006/relationships/themeOverride" Target="../theme/themeOverride79.xml"/><Relationship Id="rId2" Type="http://schemas.microsoft.com/office/2011/relationships/chartColorStyle" Target="colors83.xml"/><Relationship Id="rId1" Type="http://schemas.microsoft.com/office/2011/relationships/chartStyle" Target="style83.xml"/></Relationships>
</file>

<file path=xl/charts/_rels/chart84.xml.rels><?xml version="1.0" encoding="UTF-8" standalone="yes"?>
<Relationships xmlns="http://schemas.openxmlformats.org/package/2006/relationships"><Relationship Id="rId3" Type="http://schemas.openxmlformats.org/officeDocument/2006/relationships/themeOverride" Target="../theme/themeOverride80.xml"/><Relationship Id="rId2" Type="http://schemas.microsoft.com/office/2011/relationships/chartColorStyle" Target="colors84.xml"/><Relationship Id="rId1" Type="http://schemas.microsoft.com/office/2011/relationships/chartStyle" Target="style84.xml"/></Relationships>
</file>

<file path=xl/charts/_rels/chart85.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86.xml.rels><?xml version="1.0" encoding="UTF-8" standalone="yes"?>
<Relationships xmlns="http://schemas.openxmlformats.org/package/2006/relationships"><Relationship Id="rId3" Type="http://schemas.openxmlformats.org/officeDocument/2006/relationships/themeOverride" Target="../theme/themeOverride81.xml"/><Relationship Id="rId2" Type="http://schemas.microsoft.com/office/2011/relationships/chartColorStyle" Target="colors86.xml"/><Relationship Id="rId1" Type="http://schemas.microsoft.com/office/2011/relationships/chartStyle" Target="style86.xml"/></Relationships>
</file>

<file path=xl/charts/_rels/chart87.xml.rels><?xml version="1.0" encoding="UTF-8" standalone="yes"?>
<Relationships xmlns="http://schemas.openxmlformats.org/package/2006/relationships"><Relationship Id="rId3" Type="http://schemas.openxmlformats.org/officeDocument/2006/relationships/themeOverride" Target="../theme/themeOverride82.xml"/><Relationship Id="rId2" Type="http://schemas.microsoft.com/office/2011/relationships/chartColorStyle" Target="colors87.xml"/><Relationship Id="rId1" Type="http://schemas.microsoft.com/office/2011/relationships/chartStyle" Target="style87.xml"/></Relationships>
</file>

<file path=xl/charts/_rels/chart88.xml.rels><?xml version="1.0" encoding="UTF-8" standalone="yes"?>
<Relationships xmlns="http://schemas.openxmlformats.org/package/2006/relationships"><Relationship Id="rId3" Type="http://schemas.openxmlformats.org/officeDocument/2006/relationships/themeOverride" Target="../theme/themeOverride83.xml"/><Relationship Id="rId2" Type="http://schemas.microsoft.com/office/2011/relationships/chartColorStyle" Target="colors88.xml"/><Relationship Id="rId1" Type="http://schemas.microsoft.com/office/2011/relationships/chartStyle" Target="style88.xml"/></Relationships>
</file>

<file path=xl/charts/_rels/chart89.xml.rels><?xml version="1.0" encoding="UTF-8" standalone="yes"?>
<Relationships xmlns="http://schemas.openxmlformats.org/package/2006/relationships"><Relationship Id="rId3" Type="http://schemas.openxmlformats.org/officeDocument/2006/relationships/themeOverride" Target="../theme/themeOverride84.xml"/><Relationship Id="rId2" Type="http://schemas.microsoft.com/office/2011/relationships/chartColorStyle" Target="colors89.xml"/><Relationship Id="rId1" Type="http://schemas.microsoft.com/office/2011/relationships/chartStyle" Target="style89.xml"/></Relationships>
</file>

<file path=xl/charts/_rels/chart90.xml.rels><?xml version="1.0" encoding="UTF-8" standalone="yes"?>
<Relationships xmlns="http://schemas.openxmlformats.org/package/2006/relationships"><Relationship Id="rId3" Type="http://schemas.openxmlformats.org/officeDocument/2006/relationships/themeOverride" Target="../theme/themeOverride85.xml"/><Relationship Id="rId2" Type="http://schemas.microsoft.com/office/2011/relationships/chartColorStyle" Target="colors90.xml"/><Relationship Id="rId1" Type="http://schemas.microsoft.com/office/2011/relationships/chartStyle" Target="style90.xml"/></Relationships>
</file>

<file path=xl/charts/_rels/chart91.xml.rels><?xml version="1.0" encoding="UTF-8" standalone="yes"?>
<Relationships xmlns="http://schemas.openxmlformats.org/package/2006/relationships"><Relationship Id="rId3" Type="http://schemas.openxmlformats.org/officeDocument/2006/relationships/themeOverride" Target="../theme/themeOverride86.xml"/><Relationship Id="rId2" Type="http://schemas.microsoft.com/office/2011/relationships/chartColorStyle" Target="colors91.xml"/><Relationship Id="rId1" Type="http://schemas.microsoft.com/office/2011/relationships/chartStyle" Target="style91.xml"/></Relationships>
</file>

<file path=xl/charts/_rels/chart92.xml.rels><?xml version="1.0" encoding="UTF-8" standalone="yes"?>
<Relationships xmlns="http://schemas.openxmlformats.org/package/2006/relationships"><Relationship Id="rId3" Type="http://schemas.openxmlformats.org/officeDocument/2006/relationships/themeOverride" Target="../theme/themeOverride87.xml"/><Relationship Id="rId2" Type="http://schemas.microsoft.com/office/2011/relationships/chartColorStyle" Target="colors92.xml"/><Relationship Id="rId1" Type="http://schemas.microsoft.com/office/2011/relationships/chartStyle" Target="style92.xml"/></Relationships>
</file>

<file path=xl/charts/_rels/chart93.xml.rels><?xml version="1.0" encoding="UTF-8" standalone="yes"?>
<Relationships xmlns="http://schemas.openxmlformats.org/package/2006/relationships"><Relationship Id="rId3" Type="http://schemas.openxmlformats.org/officeDocument/2006/relationships/themeOverride" Target="../theme/themeOverride88.xml"/><Relationship Id="rId2" Type="http://schemas.microsoft.com/office/2011/relationships/chartColorStyle" Target="colors93.xml"/><Relationship Id="rId1" Type="http://schemas.microsoft.com/office/2011/relationships/chartStyle" Target="style93.xml"/></Relationships>
</file>

<file path=xl/charts/_rels/chart94.xml.rels><?xml version="1.0" encoding="UTF-8" standalone="yes"?>
<Relationships xmlns="http://schemas.openxmlformats.org/package/2006/relationships"><Relationship Id="rId3" Type="http://schemas.openxmlformats.org/officeDocument/2006/relationships/themeOverride" Target="../theme/themeOverride89.xml"/><Relationship Id="rId2" Type="http://schemas.microsoft.com/office/2011/relationships/chartColorStyle" Target="colors94.xml"/><Relationship Id="rId1" Type="http://schemas.microsoft.com/office/2011/relationships/chartStyle" Target="style94.xml"/></Relationships>
</file>

<file path=xl/charts/_rels/chart95.xml.rels><?xml version="1.0" encoding="UTF-8" standalone="yes"?>
<Relationships xmlns="http://schemas.openxmlformats.org/package/2006/relationships"><Relationship Id="rId3" Type="http://schemas.openxmlformats.org/officeDocument/2006/relationships/themeOverride" Target="../theme/themeOverride90.xml"/><Relationship Id="rId2" Type="http://schemas.microsoft.com/office/2011/relationships/chartColorStyle" Target="colors95.xml"/><Relationship Id="rId1" Type="http://schemas.microsoft.com/office/2011/relationships/chartStyle" Target="style95.xml"/></Relationships>
</file>

<file path=xl/charts/_rels/chart96.xml.rels><?xml version="1.0" encoding="UTF-8" standalone="yes"?>
<Relationships xmlns="http://schemas.openxmlformats.org/package/2006/relationships"><Relationship Id="rId3" Type="http://schemas.openxmlformats.org/officeDocument/2006/relationships/themeOverride" Target="../theme/themeOverride91.xml"/><Relationship Id="rId2" Type="http://schemas.microsoft.com/office/2011/relationships/chartColorStyle" Target="colors96.xml"/><Relationship Id="rId1" Type="http://schemas.microsoft.com/office/2011/relationships/chartStyle" Target="style9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Walk!$B$46</c:f>
          <c:strCache>
            <c:ptCount val="1"/>
            <c:pt idx="0">
              <c:v>Muscle 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Walk!$A$184:$A$191</c:f>
              <c:numCache>
                <c:formatCode>0.00</c:formatCode>
                <c:ptCount val="8"/>
                <c:pt idx="0">
                  <c:v>0</c:v>
                </c:pt>
                <c:pt idx="1">
                  <c:v>10</c:v>
                </c:pt>
                <c:pt idx="2">
                  <c:v>17.36</c:v>
                </c:pt>
                <c:pt idx="3">
                  <c:v>19.79</c:v>
                </c:pt>
                <c:pt idx="4">
                  <c:v>64.239999999999995</c:v>
                </c:pt>
                <c:pt idx="5">
                  <c:v>75.349999999999994</c:v>
                </c:pt>
                <c:pt idx="6">
                  <c:v>92.01</c:v>
                </c:pt>
                <c:pt idx="7">
                  <c:v>100</c:v>
                </c:pt>
              </c:numCache>
            </c:numRef>
          </c:xVal>
          <c:yVal>
            <c:numRef>
              <c:f>Walk!$B$184:$B$191</c:f>
              <c:numCache>
                <c:formatCode>0</c:formatCode>
                <c:ptCount val="8"/>
                <c:pt idx="0">
                  <c:v>100</c:v>
                </c:pt>
                <c:pt idx="1">
                  <c:v>100</c:v>
                </c:pt>
                <c:pt idx="2">
                  <c:v>100</c:v>
                </c:pt>
                <c:pt idx="3">
                  <c:v>0</c:v>
                </c:pt>
                <c:pt idx="4">
                  <c:v>0</c:v>
                </c:pt>
                <c:pt idx="5">
                  <c:v>150</c:v>
                </c:pt>
                <c:pt idx="6">
                  <c:v>131</c:v>
                </c:pt>
                <c:pt idx="7">
                  <c:v>131</c:v>
                </c:pt>
              </c:numCache>
            </c:numRef>
          </c:yVal>
          <c:smooth val="0"/>
          <c:extLst>
            <c:ext xmlns:c16="http://schemas.microsoft.com/office/drawing/2014/chart" uri="{C3380CC4-5D6E-409C-BE32-E72D297353CC}">
              <c16:uniqueId val="{00000000-54AB-444A-810F-825CB79DBB0F}"/>
            </c:ext>
          </c:extLst>
        </c:ser>
        <c:dLbls>
          <c:showLegendKey val="0"/>
          <c:showVal val="0"/>
          <c:showCatName val="0"/>
          <c:showSerName val="0"/>
          <c:showPercent val="0"/>
          <c:showBubbleSize val="0"/>
        </c:dLbls>
        <c:axId val="193651424"/>
        <c:axId val="192935520"/>
      </c:scatterChart>
      <c:valAx>
        <c:axId val="1936514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935520"/>
        <c:crosses val="autoZero"/>
        <c:crossBetween val="midCat"/>
        <c:minorUnit val="2"/>
      </c:valAx>
      <c:valAx>
        <c:axId val="19293552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6514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Walk!$B$46</c:f>
          <c:strCache>
            <c:ptCount val="1"/>
            <c:pt idx="0">
              <c:v>Muscle 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Walk!$O$184:$O$191</c:f>
              <c:numCache>
                <c:formatCode>0.00</c:formatCode>
                <c:ptCount val="8"/>
                <c:pt idx="0">
                  <c:v>0</c:v>
                </c:pt>
                <c:pt idx="1">
                  <c:v>4.51</c:v>
                </c:pt>
                <c:pt idx="2">
                  <c:v>14.93</c:v>
                </c:pt>
                <c:pt idx="3">
                  <c:v>57</c:v>
                </c:pt>
                <c:pt idx="4">
                  <c:v>79</c:v>
                </c:pt>
                <c:pt idx="5">
                  <c:v>85</c:v>
                </c:pt>
                <c:pt idx="6">
                  <c:v>95</c:v>
                </c:pt>
                <c:pt idx="7">
                  <c:v>100</c:v>
                </c:pt>
              </c:numCache>
            </c:numRef>
          </c:xVal>
          <c:yVal>
            <c:numRef>
              <c:f>Walk!$P$184:$P$191</c:f>
              <c:numCache>
                <c:formatCode>0</c:formatCode>
                <c:ptCount val="8"/>
                <c:pt idx="0">
                  <c:v>131</c:v>
                </c:pt>
                <c:pt idx="1">
                  <c:v>120</c:v>
                </c:pt>
                <c:pt idx="2">
                  <c:v>100</c:v>
                </c:pt>
                <c:pt idx="3">
                  <c:v>100</c:v>
                </c:pt>
                <c:pt idx="4">
                  <c:v>100</c:v>
                </c:pt>
                <c:pt idx="5">
                  <c:v>100</c:v>
                </c:pt>
                <c:pt idx="6">
                  <c:v>100</c:v>
                </c:pt>
                <c:pt idx="7">
                  <c:v>100</c:v>
                </c:pt>
              </c:numCache>
            </c:numRef>
          </c:yVal>
          <c:smooth val="0"/>
          <c:extLst>
            <c:ext xmlns:c16="http://schemas.microsoft.com/office/drawing/2014/chart" uri="{C3380CC4-5D6E-409C-BE32-E72D297353CC}">
              <c16:uniqueId val="{00000000-9649-43E1-8D3A-243465B6ADC1}"/>
            </c:ext>
          </c:extLst>
        </c:ser>
        <c:dLbls>
          <c:showLegendKey val="0"/>
          <c:showVal val="0"/>
          <c:showCatName val="0"/>
          <c:showSerName val="0"/>
          <c:showPercent val="0"/>
          <c:showBubbleSize val="0"/>
        </c:dLbls>
        <c:axId val="193199376"/>
        <c:axId val="193199760"/>
      </c:scatterChart>
      <c:valAx>
        <c:axId val="1931993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199760"/>
        <c:crosses val="autoZero"/>
        <c:crossBetween val="midCat"/>
        <c:minorUnit val="2"/>
      </c:valAx>
      <c:valAx>
        <c:axId val="1931997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1993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Walk!$B$54</c:f>
          <c:strCache>
            <c:ptCount val="1"/>
            <c:pt idx="0">
              <c:v>Muscle 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Walk!$A$208:$A$215</c:f>
              <c:numCache>
                <c:formatCode>0.00</c:formatCode>
                <c:ptCount val="8"/>
                <c:pt idx="0">
                  <c:v>0</c:v>
                </c:pt>
                <c:pt idx="1">
                  <c:v>10</c:v>
                </c:pt>
                <c:pt idx="2">
                  <c:v>17.36</c:v>
                </c:pt>
                <c:pt idx="3">
                  <c:v>19.79</c:v>
                </c:pt>
                <c:pt idx="4">
                  <c:v>69.790000000000006</c:v>
                </c:pt>
                <c:pt idx="5">
                  <c:v>92.01</c:v>
                </c:pt>
                <c:pt idx="6">
                  <c:v>95</c:v>
                </c:pt>
                <c:pt idx="7">
                  <c:v>100</c:v>
                </c:pt>
              </c:numCache>
            </c:numRef>
          </c:xVal>
          <c:yVal>
            <c:numRef>
              <c:f>Walk!$B$208:$B$215</c:f>
              <c:numCache>
                <c:formatCode>0</c:formatCode>
                <c:ptCount val="8"/>
                <c:pt idx="0">
                  <c:v>0</c:v>
                </c:pt>
                <c:pt idx="1">
                  <c:v>0</c:v>
                </c:pt>
                <c:pt idx="2">
                  <c:v>0</c:v>
                </c:pt>
                <c:pt idx="3">
                  <c:v>60</c:v>
                </c:pt>
                <c:pt idx="4">
                  <c:v>60</c:v>
                </c:pt>
                <c:pt idx="5">
                  <c:v>0</c:v>
                </c:pt>
                <c:pt idx="6">
                  <c:v>0</c:v>
                </c:pt>
                <c:pt idx="7">
                  <c:v>0</c:v>
                </c:pt>
              </c:numCache>
            </c:numRef>
          </c:yVal>
          <c:smooth val="0"/>
          <c:extLst>
            <c:ext xmlns:c16="http://schemas.microsoft.com/office/drawing/2014/chart" uri="{C3380CC4-5D6E-409C-BE32-E72D297353CC}">
              <c16:uniqueId val="{00000000-EFCE-4A1D-BEFC-179A61851E56}"/>
            </c:ext>
          </c:extLst>
        </c:ser>
        <c:dLbls>
          <c:showLegendKey val="0"/>
          <c:showVal val="0"/>
          <c:showCatName val="0"/>
          <c:showSerName val="0"/>
          <c:showPercent val="0"/>
          <c:showBubbleSize val="0"/>
        </c:dLbls>
        <c:axId val="194747976"/>
        <c:axId val="194309488"/>
      </c:scatterChart>
      <c:valAx>
        <c:axId val="1947479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309488"/>
        <c:crosses val="autoZero"/>
        <c:crossBetween val="midCat"/>
        <c:minorUnit val="2"/>
      </c:valAx>
      <c:valAx>
        <c:axId val="1943094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7479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Walk!$B$54</c:f>
          <c:strCache>
            <c:ptCount val="1"/>
            <c:pt idx="0">
              <c:v>Muscle 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Walk!$O$208:$O$215</c:f>
              <c:numCache>
                <c:formatCode>0.00</c:formatCode>
                <c:ptCount val="8"/>
                <c:pt idx="0">
                  <c:v>0</c:v>
                </c:pt>
                <c:pt idx="1">
                  <c:v>10</c:v>
                </c:pt>
                <c:pt idx="2">
                  <c:v>50</c:v>
                </c:pt>
                <c:pt idx="3">
                  <c:v>75</c:v>
                </c:pt>
                <c:pt idx="4">
                  <c:v>88</c:v>
                </c:pt>
                <c:pt idx="5">
                  <c:v>94</c:v>
                </c:pt>
                <c:pt idx="6">
                  <c:v>95</c:v>
                </c:pt>
                <c:pt idx="7">
                  <c:v>100</c:v>
                </c:pt>
              </c:numCache>
            </c:numRef>
          </c:xVal>
          <c:yVal>
            <c:numRef>
              <c:f>Walk!$P$208:$P$215</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39F8-4AAD-AEF2-AA539065E113}"/>
            </c:ext>
          </c:extLst>
        </c:ser>
        <c:dLbls>
          <c:showLegendKey val="0"/>
          <c:showVal val="0"/>
          <c:showCatName val="0"/>
          <c:showSerName val="0"/>
          <c:showPercent val="0"/>
          <c:showBubbleSize val="0"/>
        </c:dLbls>
        <c:axId val="194784824"/>
        <c:axId val="194313176"/>
      </c:scatterChart>
      <c:valAx>
        <c:axId val="1947848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313176"/>
        <c:crosses val="autoZero"/>
        <c:crossBetween val="midCat"/>
        <c:minorUnit val="2"/>
      </c:valAx>
      <c:valAx>
        <c:axId val="1943131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7848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Walk!$B$62</c:f>
          <c:strCache>
            <c:ptCount val="1"/>
            <c:pt idx="0">
              <c:v>Muscle 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Walk!$A$232:$A$239</c:f>
              <c:numCache>
                <c:formatCode>0.00</c:formatCode>
                <c:ptCount val="8"/>
                <c:pt idx="0">
                  <c:v>0</c:v>
                </c:pt>
                <c:pt idx="1">
                  <c:v>10</c:v>
                </c:pt>
                <c:pt idx="2">
                  <c:v>17.36</c:v>
                </c:pt>
                <c:pt idx="3">
                  <c:v>19.79</c:v>
                </c:pt>
                <c:pt idx="4">
                  <c:v>67.010000000000005</c:v>
                </c:pt>
                <c:pt idx="5">
                  <c:v>80.900000000000006</c:v>
                </c:pt>
                <c:pt idx="6">
                  <c:v>90</c:v>
                </c:pt>
                <c:pt idx="7">
                  <c:v>100</c:v>
                </c:pt>
              </c:numCache>
            </c:numRef>
          </c:xVal>
          <c:yVal>
            <c:numRef>
              <c:f>Walk!$B$232:$B$239</c:f>
              <c:numCache>
                <c:formatCode>0</c:formatCode>
                <c:ptCount val="8"/>
                <c:pt idx="0">
                  <c:v>60</c:v>
                </c:pt>
                <c:pt idx="1">
                  <c:v>60</c:v>
                </c:pt>
                <c:pt idx="2">
                  <c:v>60</c:v>
                </c:pt>
                <c:pt idx="3">
                  <c:v>0</c:v>
                </c:pt>
                <c:pt idx="4">
                  <c:v>0</c:v>
                </c:pt>
                <c:pt idx="5">
                  <c:v>60</c:v>
                </c:pt>
                <c:pt idx="6">
                  <c:v>60</c:v>
                </c:pt>
                <c:pt idx="7">
                  <c:v>60</c:v>
                </c:pt>
              </c:numCache>
            </c:numRef>
          </c:yVal>
          <c:smooth val="0"/>
          <c:extLst>
            <c:ext xmlns:c16="http://schemas.microsoft.com/office/drawing/2014/chart" uri="{C3380CC4-5D6E-409C-BE32-E72D297353CC}">
              <c16:uniqueId val="{00000000-CCFB-4F3A-AFF9-EB7F2C5AFD97}"/>
            </c:ext>
          </c:extLst>
        </c:ser>
        <c:dLbls>
          <c:showLegendKey val="0"/>
          <c:showVal val="0"/>
          <c:showCatName val="0"/>
          <c:showSerName val="0"/>
          <c:showPercent val="0"/>
          <c:showBubbleSize val="0"/>
        </c:dLbls>
        <c:axId val="194274848"/>
        <c:axId val="192002832"/>
      </c:scatterChart>
      <c:valAx>
        <c:axId val="1942748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002832"/>
        <c:crosses val="autoZero"/>
        <c:crossBetween val="midCat"/>
        <c:minorUnit val="2"/>
      </c:valAx>
      <c:valAx>
        <c:axId val="1920028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2748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Walk!$B$62</c:f>
          <c:strCache>
            <c:ptCount val="1"/>
            <c:pt idx="0">
              <c:v>Muscle 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Walk!$O$232:$O$239</c:f>
              <c:numCache>
                <c:formatCode>0.00</c:formatCode>
                <c:ptCount val="8"/>
                <c:pt idx="0">
                  <c:v>0</c:v>
                </c:pt>
                <c:pt idx="1">
                  <c:v>10</c:v>
                </c:pt>
                <c:pt idx="2">
                  <c:v>20</c:v>
                </c:pt>
                <c:pt idx="3">
                  <c:v>50</c:v>
                </c:pt>
                <c:pt idx="4">
                  <c:v>93.06</c:v>
                </c:pt>
                <c:pt idx="5">
                  <c:v>97</c:v>
                </c:pt>
                <c:pt idx="6">
                  <c:v>99</c:v>
                </c:pt>
                <c:pt idx="7">
                  <c:v>100</c:v>
                </c:pt>
              </c:numCache>
            </c:numRef>
          </c:xVal>
          <c:yVal>
            <c:numRef>
              <c:f>Walk!$P$232:$P$239</c:f>
              <c:numCache>
                <c:formatCode>0</c:formatCode>
                <c:ptCount val="8"/>
                <c:pt idx="0">
                  <c:v>60</c:v>
                </c:pt>
                <c:pt idx="1">
                  <c:v>60</c:v>
                </c:pt>
                <c:pt idx="2">
                  <c:v>60</c:v>
                </c:pt>
                <c:pt idx="3">
                  <c:v>60</c:v>
                </c:pt>
                <c:pt idx="4">
                  <c:v>60</c:v>
                </c:pt>
                <c:pt idx="5">
                  <c:v>60</c:v>
                </c:pt>
                <c:pt idx="6">
                  <c:v>60</c:v>
                </c:pt>
                <c:pt idx="7">
                  <c:v>60</c:v>
                </c:pt>
              </c:numCache>
            </c:numRef>
          </c:yVal>
          <c:smooth val="0"/>
          <c:extLst>
            <c:ext xmlns:c16="http://schemas.microsoft.com/office/drawing/2014/chart" uri="{C3380CC4-5D6E-409C-BE32-E72D297353CC}">
              <c16:uniqueId val="{00000000-ADE2-4E12-9933-12FCB6B6047D}"/>
            </c:ext>
          </c:extLst>
        </c:ser>
        <c:dLbls>
          <c:showLegendKey val="0"/>
          <c:showVal val="0"/>
          <c:showCatName val="0"/>
          <c:showSerName val="0"/>
          <c:showPercent val="0"/>
          <c:showBubbleSize val="0"/>
        </c:dLbls>
        <c:axId val="192003616"/>
        <c:axId val="192004008"/>
      </c:scatterChart>
      <c:valAx>
        <c:axId val="1920036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004008"/>
        <c:crosses val="autoZero"/>
        <c:crossBetween val="midCat"/>
        <c:minorUnit val="2"/>
      </c:valAx>
      <c:valAx>
        <c:axId val="1920040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0036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Walk!$B$70</c:f>
          <c:strCache>
            <c:ptCount val="1"/>
            <c:pt idx="0">
              <c:v>Muscle 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Walk!$A$256:$A$263</c:f>
              <c:numCache>
                <c:formatCode>0.00</c:formatCode>
                <c:ptCount val="8"/>
                <c:pt idx="0">
                  <c:v>0</c:v>
                </c:pt>
                <c:pt idx="1">
                  <c:v>17.36</c:v>
                </c:pt>
                <c:pt idx="2">
                  <c:v>19.79</c:v>
                </c:pt>
                <c:pt idx="3">
                  <c:v>89.24</c:v>
                </c:pt>
                <c:pt idx="4">
                  <c:v>92.01</c:v>
                </c:pt>
                <c:pt idx="5">
                  <c:v>94</c:v>
                </c:pt>
                <c:pt idx="6">
                  <c:v>96</c:v>
                </c:pt>
                <c:pt idx="7">
                  <c:v>100</c:v>
                </c:pt>
              </c:numCache>
            </c:numRef>
          </c:xVal>
          <c:yVal>
            <c:numRef>
              <c:f>Walk!$B$256:$B$263</c:f>
              <c:numCache>
                <c:formatCode>0</c:formatCode>
                <c:ptCount val="8"/>
                <c:pt idx="0">
                  <c:v>150</c:v>
                </c:pt>
                <c:pt idx="1">
                  <c:v>100</c:v>
                </c:pt>
                <c:pt idx="2">
                  <c:v>0</c:v>
                </c:pt>
                <c:pt idx="3">
                  <c:v>0</c:v>
                </c:pt>
                <c:pt idx="4">
                  <c:v>150</c:v>
                </c:pt>
                <c:pt idx="5">
                  <c:v>150</c:v>
                </c:pt>
                <c:pt idx="6">
                  <c:v>150</c:v>
                </c:pt>
                <c:pt idx="7">
                  <c:v>150</c:v>
                </c:pt>
              </c:numCache>
            </c:numRef>
          </c:yVal>
          <c:smooth val="0"/>
          <c:extLst>
            <c:ext xmlns:c16="http://schemas.microsoft.com/office/drawing/2014/chart" uri="{C3380CC4-5D6E-409C-BE32-E72D297353CC}">
              <c16:uniqueId val="{00000000-D58E-4350-852E-D251B4213143}"/>
            </c:ext>
          </c:extLst>
        </c:ser>
        <c:dLbls>
          <c:showLegendKey val="0"/>
          <c:showVal val="0"/>
          <c:showCatName val="0"/>
          <c:showSerName val="0"/>
          <c:showPercent val="0"/>
          <c:showBubbleSize val="0"/>
        </c:dLbls>
        <c:axId val="194580808"/>
        <c:axId val="194581200"/>
      </c:scatterChart>
      <c:valAx>
        <c:axId val="1945808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581200"/>
        <c:crosses val="autoZero"/>
        <c:crossBetween val="midCat"/>
        <c:minorUnit val="2"/>
      </c:valAx>
      <c:valAx>
        <c:axId val="1945812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5808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Walk!$B$70</c:f>
          <c:strCache>
            <c:ptCount val="1"/>
            <c:pt idx="0">
              <c:v>Muscle 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Walk!$O$256:$O$263</c:f>
              <c:numCache>
                <c:formatCode>0.00</c:formatCode>
                <c:ptCount val="8"/>
                <c:pt idx="0">
                  <c:v>0</c:v>
                </c:pt>
                <c:pt idx="1">
                  <c:v>10</c:v>
                </c:pt>
                <c:pt idx="2">
                  <c:v>50</c:v>
                </c:pt>
                <c:pt idx="3">
                  <c:v>89.93</c:v>
                </c:pt>
                <c:pt idx="4">
                  <c:v>95</c:v>
                </c:pt>
                <c:pt idx="5">
                  <c:v>98</c:v>
                </c:pt>
                <c:pt idx="6">
                  <c:v>99</c:v>
                </c:pt>
                <c:pt idx="7">
                  <c:v>100</c:v>
                </c:pt>
              </c:numCache>
            </c:numRef>
          </c:xVal>
          <c:yVal>
            <c:numRef>
              <c:f>Walk!$P$256:$P$263</c:f>
              <c:numCache>
                <c:formatCode>0</c:formatCode>
                <c:ptCount val="8"/>
                <c:pt idx="0">
                  <c:v>150</c:v>
                </c:pt>
                <c:pt idx="1">
                  <c:v>150</c:v>
                </c:pt>
                <c:pt idx="2">
                  <c:v>150</c:v>
                </c:pt>
                <c:pt idx="3">
                  <c:v>150</c:v>
                </c:pt>
                <c:pt idx="4">
                  <c:v>150</c:v>
                </c:pt>
                <c:pt idx="5">
                  <c:v>150</c:v>
                </c:pt>
                <c:pt idx="6">
                  <c:v>150</c:v>
                </c:pt>
                <c:pt idx="7">
                  <c:v>150</c:v>
                </c:pt>
              </c:numCache>
            </c:numRef>
          </c:yVal>
          <c:smooth val="0"/>
          <c:extLst>
            <c:ext xmlns:c16="http://schemas.microsoft.com/office/drawing/2014/chart" uri="{C3380CC4-5D6E-409C-BE32-E72D297353CC}">
              <c16:uniqueId val="{00000000-6A72-47FC-BF76-D1576D0645A2}"/>
            </c:ext>
          </c:extLst>
        </c:ser>
        <c:dLbls>
          <c:showLegendKey val="0"/>
          <c:showVal val="0"/>
          <c:showCatName val="0"/>
          <c:showSerName val="0"/>
          <c:showPercent val="0"/>
          <c:showBubbleSize val="0"/>
        </c:dLbls>
        <c:axId val="192002440"/>
        <c:axId val="192002048"/>
      </c:scatterChart>
      <c:valAx>
        <c:axId val="1920024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002048"/>
        <c:crosses val="autoZero"/>
        <c:crossBetween val="midCat"/>
        <c:minorUnit val="2"/>
      </c:valAx>
      <c:valAx>
        <c:axId val="1920020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0024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Walk!$B$78</c:f>
          <c:strCache>
            <c:ptCount val="1"/>
            <c:pt idx="0">
              <c:v>Muscle 4</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Walk!$A$280:$A$287</c:f>
              <c:numCache>
                <c:formatCode>0.00</c:formatCode>
                <c:ptCount val="8"/>
                <c:pt idx="0">
                  <c:v>0</c:v>
                </c:pt>
                <c:pt idx="1">
                  <c:v>17.36</c:v>
                </c:pt>
                <c:pt idx="2">
                  <c:v>19.79</c:v>
                </c:pt>
                <c:pt idx="3">
                  <c:v>86.46</c:v>
                </c:pt>
                <c:pt idx="4">
                  <c:v>92.01</c:v>
                </c:pt>
                <c:pt idx="5">
                  <c:v>96</c:v>
                </c:pt>
                <c:pt idx="6">
                  <c:v>98</c:v>
                </c:pt>
                <c:pt idx="7">
                  <c:v>100</c:v>
                </c:pt>
              </c:numCache>
            </c:numRef>
          </c:xVal>
          <c:yVal>
            <c:numRef>
              <c:f>Walk!$B$280:$B$287</c:f>
              <c:numCache>
                <c:formatCode>0</c:formatCode>
                <c:ptCount val="8"/>
                <c:pt idx="0">
                  <c:v>150</c:v>
                </c:pt>
                <c:pt idx="1">
                  <c:v>100</c:v>
                </c:pt>
                <c:pt idx="2">
                  <c:v>0</c:v>
                </c:pt>
                <c:pt idx="3">
                  <c:v>0</c:v>
                </c:pt>
                <c:pt idx="4">
                  <c:v>150</c:v>
                </c:pt>
                <c:pt idx="5">
                  <c:v>150</c:v>
                </c:pt>
                <c:pt idx="6">
                  <c:v>150</c:v>
                </c:pt>
                <c:pt idx="7">
                  <c:v>150</c:v>
                </c:pt>
              </c:numCache>
            </c:numRef>
          </c:yVal>
          <c:smooth val="0"/>
          <c:extLst>
            <c:ext xmlns:c16="http://schemas.microsoft.com/office/drawing/2014/chart" uri="{C3380CC4-5D6E-409C-BE32-E72D297353CC}">
              <c16:uniqueId val="{00000000-66A0-4B2B-8967-938E5B6B8B93}"/>
            </c:ext>
          </c:extLst>
        </c:ser>
        <c:dLbls>
          <c:showLegendKey val="0"/>
          <c:showVal val="0"/>
          <c:showCatName val="0"/>
          <c:showSerName val="0"/>
          <c:showPercent val="0"/>
          <c:showBubbleSize val="0"/>
        </c:dLbls>
        <c:axId val="192000872"/>
        <c:axId val="194581984"/>
      </c:scatterChart>
      <c:valAx>
        <c:axId val="1920008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581984"/>
        <c:crosses val="autoZero"/>
        <c:crossBetween val="midCat"/>
        <c:minorUnit val="2"/>
      </c:valAx>
      <c:valAx>
        <c:axId val="1945819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0008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Walk!$B$78</c:f>
          <c:strCache>
            <c:ptCount val="1"/>
            <c:pt idx="0">
              <c:v>Muscle 4</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Walk!$O$280:$O$287</c:f>
              <c:numCache>
                <c:formatCode>0.00</c:formatCode>
                <c:ptCount val="8"/>
                <c:pt idx="0">
                  <c:v>0</c:v>
                </c:pt>
                <c:pt idx="1">
                  <c:v>10</c:v>
                </c:pt>
                <c:pt idx="2">
                  <c:v>50</c:v>
                </c:pt>
                <c:pt idx="3">
                  <c:v>93.06</c:v>
                </c:pt>
                <c:pt idx="4">
                  <c:v>96.53</c:v>
                </c:pt>
                <c:pt idx="5">
                  <c:v>98</c:v>
                </c:pt>
                <c:pt idx="6">
                  <c:v>99</c:v>
                </c:pt>
                <c:pt idx="7">
                  <c:v>100</c:v>
                </c:pt>
              </c:numCache>
            </c:numRef>
          </c:xVal>
          <c:yVal>
            <c:numRef>
              <c:f>Walk!$P$280:$P$287</c:f>
              <c:numCache>
                <c:formatCode>0</c:formatCode>
                <c:ptCount val="8"/>
                <c:pt idx="0">
                  <c:v>150</c:v>
                </c:pt>
                <c:pt idx="1">
                  <c:v>150</c:v>
                </c:pt>
                <c:pt idx="2">
                  <c:v>150</c:v>
                </c:pt>
                <c:pt idx="3">
                  <c:v>150</c:v>
                </c:pt>
                <c:pt idx="4">
                  <c:v>150</c:v>
                </c:pt>
                <c:pt idx="5">
                  <c:v>150</c:v>
                </c:pt>
                <c:pt idx="6">
                  <c:v>150</c:v>
                </c:pt>
                <c:pt idx="7">
                  <c:v>150</c:v>
                </c:pt>
              </c:numCache>
            </c:numRef>
          </c:yVal>
          <c:smooth val="0"/>
          <c:extLst>
            <c:ext xmlns:c16="http://schemas.microsoft.com/office/drawing/2014/chart" uri="{C3380CC4-5D6E-409C-BE32-E72D297353CC}">
              <c16:uniqueId val="{00000000-DA2D-485A-BCD9-1B760174499D}"/>
            </c:ext>
          </c:extLst>
        </c:ser>
        <c:dLbls>
          <c:showLegendKey val="0"/>
          <c:showVal val="0"/>
          <c:showCatName val="0"/>
          <c:showSerName val="0"/>
          <c:showPercent val="0"/>
          <c:showBubbleSize val="0"/>
        </c:dLbls>
        <c:axId val="194582768"/>
        <c:axId val="194583160"/>
      </c:scatterChart>
      <c:valAx>
        <c:axId val="1945827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583160"/>
        <c:crosses val="autoZero"/>
        <c:crossBetween val="midCat"/>
        <c:minorUnit val="2"/>
      </c:valAx>
      <c:valAx>
        <c:axId val="1945831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5827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Walk!$B$86</c:f>
          <c:strCache>
            <c:ptCount val="1"/>
            <c:pt idx="0">
              <c:v>Muscle 5</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Walk!$A$304:$A$311</c:f>
              <c:numCache>
                <c:formatCode>0.00</c:formatCode>
                <c:ptCount val="8"/>
                <c:pt idx="0">
                  <c:v>0</c:v>
                </c:pt>
                <c:pt idx="1">
                  <c:v>10</c:v>
                </c:pt>
                <c:pt idx="2">
                  <c:v>17.36</c:v>
                </c:pt>
                <c:pt idx="3">
                  <c:v>19.79</c:v>
                </c:pt>
                <c:pt idx="4">
                  <c:v>69.790000000000006</c:v>
                </c:pt>
                <c:pt idx="5">
                  <c:v>92.01</c:v>
                </c:pt>
                <c:pt idx="6">
                  <c:v>95</c:v>
                </c:pt>
                <c:pt idx="7">
                  <c:v>100</c:v>
                </c:pt>
              </c:numCache>
            </c:numRef>
          </c:xVal>
          <c:yVal>
            <c:numRef>
              <c:f>Walk!$B$304:$B$311</c:f>
              <c:numCache>
                <c:formatCode>0</c:formatCode>
                <c:ptCount val="8"/>
                <c:pt idx="0">
                  <c:v>0</c:v>
                </c:pt>
                <c:pt idx="1">
                  <c:v>0</c:v>
                </c:pt>
                <c:pt idx="2">
                  <c:v>0</c:v>
                </c:pt>
                <c:pt idx="3">
                  <c:v>150</c:v>
                </c:pt>
                <c:pt idx="4">
                  <c:v>150</c:v>
                </c:pt>
                <c:pt idx="5">
                  <c:v>0</c:v>
                </c:pt>
                <c:pt idx="6">
                  <c:v>0</c:v>
                </c:pt>
                <c:pt idx="7">
                  <c:v>0</c:v>
                </c:pt>
              </c:numCache>
            </c:numRef>
          </c:yVal>
          <c:smooth val="0"/>
          <c:extLst>
            <c:ext xmlns:c16="http://schemas.microsoft.com/office/drawing/2014/chart" uri="{C3380CC4-5D6E-409C-BE32-E72D297353CC}">
              <c16:uniqueId val="{00000000-621D-4ABC-9A7E-660F9803F812}"/>
            </c:ext>
          </c:extLst>
        </c:ser>
        <c:dLbls>
          <c:showLegendKey val="0"/>
          <c:showVal val="0"/>
          <c:showCatName val="0"/>
          <c:showSerName val="0"/>
          <c:showPercent val="0"/>
          <c:showBubbleSize val="0"/>
        </c:dLbls>
        <c:axId val="194583944"/>
        <c:axId val="194961904"/>
      </c:scatterChart>
      <c:valAx>
        <c:axId val="1945839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961904"/>
        <c:crosses val="autoZero"/>
        <c:crossBetween val="midCat"/>
        <c:minorUnit val="2"/>
      </c:valAx>
      <c:valAx>
        <c:axId val="1949619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5839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Walk!$B$86</c:f>
          <c:strCache>
            <c:ptCount val="1"/>
            <c:pt idx="0">
              <c:v>Muscle 5</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Walk!$O$304:$O$311</c:f>
              <c:numCache>
                <c:formatCode>0.00</c:formatCode>
                <c:ptCount val="8"/>
                <c:pt idx="0">
                  <c:v>0</c:v>
                </c:pt>
                <c:pt idx="1">
                  <c:v>10</c:v>
                </c:pt>
                <c:pt idx="2">
                  <c:v>50</c:v>
                </c:pt>
                <c:pt idx="3">
                  <c:v>75</c:v>
                </c:pt>
                <c:pt idx="4">
                  <c:v>88</c:v>
                </c:pt>
                <c:pt idx="5">
                  <c:v>94</c:v>
                </c:pt>
                <c:pt idx="6">
                  <c:v>95</c:v>
                </c:pt>
                <c:pt idx="7">
                  <c:v>100</c:v>
                </c:pt>
              </c:numCache>
            </c:numRef>
          </c:xVal>
          <c:yVal>
            <c:numRef>
              <c:f>Walk!$P$304:$P$311</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F0B1-42A3-A9D3-4603D5F539C8}"/>
            </c:ext>
          </c:extLst>
        </c:ser>
        <c:dLbls>
          <c:showLegendKey val="0"/>
          <c:showVal val="0"/>
          <c:showCatName val="0"/>
          <c:showSerName val="0"/>
          <c:showPercent val="0"/>
          <c:showBubbleSize val="0"/>
        </c:dLbls>
        <c:axId val="194962688"/>
        <c:axId val="194963080"/>
      </c:scatterChart>
      <c:valAx>
        <c:axId val="1949626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963080"/>
        <c:crosses val="autoZero"/>
        <c:crossBetween val="midCat"/>
        <c:minorUnit val="2"/>
      </c:valAx>
      <c:valAx>
        <c:axId val="1949630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9626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Walk!$B$94</c:f>
          <c:strCache>
            <c:ptCount val="1"/>
            <c:pt idx="0">
              <c:v>Muscle 6</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Walk!$A$328:$A$335</c:f>
              <c:numCache>
                <c:formatCode>0.00</c:formatCode>
                <c:ptCount val="8"/>
                <c:pt idx="0">
                  <c:v>0</c:v>
                </c:pt>
                <c:pt idx="1">
                  <c:v>10</c:v>
                </c:pt>
                <c:pt idx="2">
                  <c:v>17.36</c:v>
                </c:pt>
                <c:pt idx="3">
                  <c:v>19.79</c:v>
                </c:pt>
                <c:pt idx="4">
                  <c:v>69.790000000000006</c:v>
                </c:pt>
                <c:pt idx="5">
                  <c:v>92.01</c:v>
                </c:pt>
                <c:pt idx="6">
                  <c:v>95</c:v>
                </c:pt>
                <c:pt idx="7">
                  <c:v>100</c:v>
                </c:pt>
              </c:numCache>
            </c:numRef>
          </c:xVal>
          <c:yVal>
            <c:numRef>
              <c:f>Walk!$B$328:$B$335</c:f>
              <c:numCache>
                <c:formatCode>0</c:formatCode>
                <c:ptCount val="8"/>
                <c:pt idx="0">
                  <c:v>0</c:v>
                </c:pt>
                <c:pt idx="1">
                  <c:v>0</c:v>
                </c:pt>
                <c:pt idx="2">
                  <c:v>0</c:v>
                </c:pt>
                <c:pt idx="3">
                  <c:v>60</c:v>
                </c:pt>
                <c:pt idx="4">
                  <c:v>60</c:v>
                </c:pt>
                <c:pt idx="5">
                  <c:v>0</c:v>
                </c:pt>
                <c:pt idx="6">
                  <c:v>0</c:v>
                </c:pt>
                <c:pt idx="7">
                  <c:v>0</c:v>
                </c:pt>
              </c:numCache>
            </c:numRef>
          </c:yVal>
          <c:smooth val="0"/>
          <c:extLst>
            <c:ext xmlns:c16="http://schemas.microsoft.com/office/drawing/2014/chart" uri="{C3380CC4-5D6E-409C-BE32-E72D297353CC}">
              <c16:uniqueId val="{00000000-45BF-4204-A8CF-9C6A08920B30}"/>
            </c:ext>
          </c:extLst>
        </c:ser>
        <c:dLbls>
          <c:showLegendKey val="0"/>
          <c:showVal val="0"/>
          <c:showCatName val="0"/>
          <c:showSerName val="0"/>
          <c:showPercent val="0"/>
          <c:showBubbleSize val="0"/>
        </c:dLbls>
        <c:axId val="194963864"/>
        <c:axId val="194964256"/>
      </c:scatterChart>
      <c:valAx>
        <c:axId val="1949638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964256"/>
        <c:crosses val="autoZero"/>
        <c:crossBetween val="midCat"/>
        <c:minorUnit val="2"/>
      </c:valAx>
      <c:valAx>
        <c:axId val="1949642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9638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Walk!$B$94</c:f>
          <c:strCache>
            <c:ptCount val="1"/>
            <c:pt idx="0">
              <c:v>Muscle 6</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Walk!$O$328:$O$335</c:f>
              <c:numCache>
                <c:formatCode>0.00</c:formatCode>
                <c:ptCount val="8"/>
                <c:pt idx="0">
                  <c:v>0</c:v>
                </c:pt>
                <c:pt idx="1">
                  <c:v>10</c:v>
                </c:pt>
                <c:pt idx="2">
                  <c:v>50</c:v>
                </c:pt>
                <c:pt idx="3">
                  <c:v>75</c:v>
                </c:pt>
                <c:pt idx="4">
                  <c:v>88</c:v>
                </c:pt>
                <c:pt idx="5">
                  <c:v>94</c:v>
                </c:pt>
                <c:pt idx="6">
                  <c:v>95</c:v>
                </c:pt>
                <c:pt idx="7">
                  <c:v>100</c:v>
                </c:pt>
              </c:numCache>
            </c:numRef>
          </c:xVal>
          <c:yVal>
            <c:numRef>
              <c:f>Walk!$P$328:$P$335</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884C-4EC8-BFBD-07EBEFE5485B}"/>
            </c:ext>
          </c:extLst>
        </c:ser>
        <c:dLbls>
          <c:showLegendKey val="0"/>
          <c:showVal val="0"/>
          <c:showCatName val="0"/>
          <c:showSerName val="0"/>
          <c:showPercent val="0"/>
          <c:showBubbleSize val="0"/>
        </c:dLbls>
        <c:axId val="194965040"/>
        <c:axId val="194965432"/>
      </c:scatterChart>
      <c:valAx>
        <c:axId val="1949650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965432"/>
        <c:crosses val="autoZero"/>
        <c:crossBetween val="midCat"/>
        <c:minorUnit val="2"/>
      </c:valAx>
      <c:valAx>
        <c:axId val="1949654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9650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Walk!$B$102</c:f>
          <c:strCache>
            <c:ptCount val="1"/>
            <c:pt idx="0">
              <c:v>Muscle 7</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Walk!$A$352:$A$359</c:f>
              <c:numCache>
                <c:formatCode>0.00</c:formatCode>
                <c:ptCount val="8"/>
                <c:pt idx="0">
                  <c:v>0</c:v>
                </c:pt>
                <c:pt idx="1">
                  <c:v>10</c:v>
                </c:pt>
                <c:pt idx="2">
                  <c:v>17.36</c:v>
                </c:pt>
                <c:pt idx="3">
                  <c:v>19.79</c:v>
                </c:pt>
                <c:pt idx="4">
                  <c:v>75.349999999999994</c:v>
                </c:pt>
                <c:pt idx="5">
                  <c:v>86.46</c:v>
                </c:pt>
                <c:pt idx="6">
                  <c:v>95</c:v>
                </c:pt>
                <c:pt idx="7">
                  <c:v>100</c:v>
                </c:pt>
              </c:numCache>
            </c:numRef>
          </c:xVal>
          <c:yVal>
            <c:numRef>
              <c:f>Walk!$B$352:$B$359</c:f>
              <c:numCache>
                <c:formatCode>0</c:formatCode>
                <c:ptCount val="8"/>
                <c:pt idx="0">
                  <c:v>0</c:v>
                </c:pt>
                <c:pt idx="1">
                  <c:v>0</c:v>
                </c:pt>
                <c:pt idx="2">
                  <c:v>0</c:v>
                </c:pt>
                <c:pt idx="3">
                  <c:v>150</c:v>
                </c:pt>
                <c:pt idx="4">
                  <c:v>150</c:v>
                </c:pt>
                <c:pt idx="5">
                  <c:v>0</c:v>
                </c:pt>
                <c:pt idx="6">
                  <c:v>0</c:v>
                </c:pt>
                <c:pt idx="7">
                  <c:v>0</c:v>
                </c:pt>
              </c:numCache>
            </c:numRef>
          </c:yVal>
          <c:smooth val="0"/>
          <c:extLst>
            <c:ext xmlns:c16="http://schemas.microsoft.com/office/drawing/2014/chart" uri="{C3380CC4-5D6E-409C-BE32-E72D297353CC}">
              <c16:uniqueId val="{00000000-9787-4232-93B5-67FF8A3953DE}"/>
            </c:ext>
          </c:extLst>
        </c:ser>
        <c:dLbls>
          <c:showLegendKey val="0"/>
          <c:showVal val="0"/>
          <c:showCatName val="0"/>
          <c:showSerName val="0"/>
          <c:showPercent val="0"/>
          <c:showBubbleSize val="0"/>
        </c:dLbls>
        <c:axId val="195217808"/>
        <c:axId val="195218200"/>
      </c:scatterChart>
      <c:valAx>
        <c:axId val="1952178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218200"/>
        <c:crosses val="autoZero"/>
        <c:crossBetween val="midCat"/>
        <c:minorUnit val="2"/>
      </c:valAx>
      <c:valAx>
        <c:axId val="1952182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2178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Walk!$B$102</c:f>
          <c:strCache>
            <c:ptCount val="1"/>
            <c:pt idx="0">
              <c:v>Muscle 7</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Walk!$O$352:$O$359</c:f>
              <c:numCache>
                <c:formatCode>0.00</c:formatCode>
                <c:ptCount val="8"/>
                <c:pt idx="0">
                  <c:v>0</c:v>
                </c:pt>
                <c:pt idx="1">
                  <c:v>10</c:v>
                </c:pt>
                <c:pt idx="2">
                  <c:v>50</c:v>
                </c:pt>
                <c:pt idx="3">
                  <c:v>75</c:v>
                </c:pt>
                <c:pt idx="4">
                  <c:v>88</c:v>
                </c:pt>
                <c:pt idx="5">
                  <c:v>94</c:v>
                </c:pt>
                <c:pt idx="6">
                  <c:v>95</c:v>
                </c:pt>
                <c:pt idx="7">
                  <c:v>100</c:v>
                </c:pt>
              </c:numCache>
            </c:numRef>
          </c:xVal>
          <c:yVal>
            <c:numRef>
              <c:f>Walk!$P$352:$P$359</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BAB9-4D86-A407-72CBA531EF73}"/>
            </c:ext>
          </c:extLst>
        </c:ser>
        <c:dLbls>
          <c:showLegendKey val="0"/>
          <c:showVal val="0"/>
          <c:showCatName val="0"/>
          <c:showSerName val="0"/>
          <c:showPercent val="0"/>
          <c:showBubbleSize val="0"/>
        </c:dLbls>
        <c:axId val="195218984"/>
        <c:axId val="195219376"/>
      </c:scatterChart>
      <c:valAx>
        <c:axId val="1952189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219376"/>
        <c:crosses val="autoZero"/>
        <c:crossBetween val="midCat"/>
        <c:minorUnit val="2"/>
      </c:valAx>
      <c:valAx>
        <c:axId val="1952193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2189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Walk!$B$110</c:f>
          <c:strCache>
            <c:ptCount val="1"/>
            <c:pt idx="0">
              <c:v>Muscle 8</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Walk!$A$376:$A$383</c:f>
              <c:numCache>
                <c:formatCode>0.00</c:formatCode>
                <c:ptCount val="8"/>
                <c:pt idx="0">
                  <c:v>0</c:v>
                </c:pt>
                <c:pt idx="1">
                  <c:v>7.89</c:v>
                </c:pt>
                <c:pt idx="2">
                  <c:v>20</c:v>
                </c:pt>
                <c:pt idx="3">
                  <c:v>55.26</c:v>
                </c:pt>
                <c:pt idx="4">
                  <c:v>60</c:v>
                </c:pt>
                <c:pt idx="5">
                  <c:v>65</c:v>
                </c:pt>
                <c:pt idx="6">
                  <c:v>71.05</c:v>
                </c:pt>
                <c:pt idx="7">
                  <c:v>100</c:v>
                </c:pt>
              </c:numCache>
            </c:numRef>
          </c:xVal>
          <c:yVal>
            <c:numRef>
              <c:f>Walk!$B$376:$B$383</c:f>
              <c:numCache>
                <c:formatCode>0</c:formatCode>
                <c:ptCount val="8"/>
                <c:pt idx="0">
                  <c:v>50</c:v>
                </c:pt>
                <c:pt idx="1">
                  <c:v>50</c:v>
                </c:pt>
                <c:pt idx="2">
                  <c:v>50</c:v>
                </c:pt>
                <c:pt idx="3">
                  <c:v>50</c:v>
                </c:pt>
                <c:pt idx="4">
                  <c:v>50</c:v>
                </c:pt>
                <c:pt idx="5">
                  <c:v>50</c:v>
                </c:pt>
                <c:pt idx="6">
                  <c:v>50</c:v>
                </c:pt>
                <c:pt idx="7">
                  <c:v>50</c:v>
                </c:pt>
              </c:numCache>
            </c:numRef>
          </c:yVal>
          <c:smooth val="0"/>
          <c:extLst>
            <c:ext xmlns:c16="http://schemas.microsoft.com/office/drawing/2014/chart" uri="{C3380CC4-5D6E-409C-BE32-E72D297353CC}">
              <c16:uniqueId val="{00000000-C2A5-4ED4-98AC-7A50C73DAAD2}"/>
            </c:ext>
          </c:extLst>
        </c:ser>
        <c:dLbls>
          <c:showLegendKey val="0"/>
          <c:showVal val="0"/>
          <c:showCatName val="0"/>
          <c:showSerName val="0"/>
          <c:showPercent val="0"/>
          <c:showBubbleSize val="0"/>
        </c:dLbls>
        <c:axId val="195220160"/>
        <c:axId val="195220552"/>
      </c:scatterChart>
      <c:valAx>
        <c:axId val="1952201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220552"/>
        <c:crosses val="autoZero"/>
        <c:crossBetween val="midCat"/>
        <c:minorUnit val="2"/>
      </c:valAx>
      <c:valAx>
        <c:axId val="1952205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2201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Walk!$B$110</c:f>
          <c:strCache>
            <c:ptCount val="1"/>
            <c:pt idx="0">
              <c:v>Muscle 8</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Walk!$O$376:$O$383</c:f>
              <c:numCache>
                <c:formatCode>0.00</c:formatCode>
                <c:ptCount val="8"/>
                <c:pt idx="0">
                  <c:v>0</c:v>
                </c:pt>
                <c:pt idx="1">
                  <c:v>10</c:v>
                </c:pt>
                <c:pt idx="2">
                  <c:v>20</c:v>
                </c:pt>
                <c:pt idx="3">
                  <c:v>30</c:v>
                </c:pt>
                <c:pt idx="4">
                  <c:v>40</c:v>
                </c:pt>
                <c:pt idx="5">
                  <c:v>50</c:v>
                </c:pt>
                <c:pt idx="6">
                  <c:v>66.7</c:v>
                </c:pt>
                <c:pt idx="7">
                  <c:v>100</c:v>
                </c:pt>
              </c:numCache>
            </c:numRef>
          </c:xVal>
          <c:yVal>
            <c:numRef>
              <c:f>Walk!$P$376:$P$383</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97FA-4EEC-AF1C-0418765BF839}"/>
            </c:ext>
          </c:extLst>
        </c:ser>
        <c:dLbls>
          <c:showLegendKey val="0"/>
          <c:showVal val="0"/>
          <c:showCatName val="0"/>
          <c:showSerName val="0"/>
          <c:showPercent val="0"/>
          <c:showBubbleSize val="0"/>
        </c:dLbls>
        <c:axId val="195396000"/>
        <c:axId val="195396392"/>
      </c:scatterChart>
      <c:valAx>
        <c:axId val="1953960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96392"/>
        <c:crosses val="autoZero"/>
        <c:crossBetween val="midCat"/>
        <c:minorUnit val="2"/>
      </c:valAx>
      <c:valAx>
        <c:axId val="1953963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960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Walk!$B$118</c:f>
          <c:strCache>
            <c:ptCount val="1"/>
            <c:pt idx="0">
              <c:v>Muscle 9</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Walk!$A$400:$A$407</c:f>
              <c:numCache>
                <c:formatCode>0.00</c:formatCode>
                <c:ptCount val="8"/>
                <c:pt idx="0">
                  <c:v>0</c:v>
                </c:pt>
                <c:pt idx="1">
                  <c:v>7.89</c:v>
                </c:pt>
                <c:pt idx="2">
                  <c:v>20</c:v>
                </c:pt>
                <c:pt idx="3">
                  <c:v>55.26</c:v>
                </c:pt>
                <c:pt idx="4">
                  <c:v>60</c:v>
                </c:pt>
                <c:pt idx="5">
                  <c:v>65</c:v>
                </c:pt>
                <c:pt idx="6">
                  <c:v>71.05</c:v>
                </c:pt>
                <c:pt idx="7">
                  <c:v>100</c:v>
                </c:pt>
              </c:numCache>
            </c:numRef>
          </c:xVal>
          <c:yVal>
            <c:numRef>
              <c:f>Walk!$B$400:$B$407</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6347-4237-8B1A-9A60F771AC84}"/>
            </c:ext>
          </c:extLst>
        </c:ser>
        <c:dLbls>
          <c:showLegendKey val="0"/>
          <c:showVal val="0"/>
          <c:showCatName val="0"/>
          <c:showSerName val="0"/>
          <c:showPercent val="0"/>
          <c:showBubbleSize val="0"/>
        </c:dLbls>
        <c:axId val="195396784"/>
        <c:axId val="195397176"/>
      </c:scatterChart>
      <c:valAx>
        <c:axId val="1953967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97176"/>
        <c:crosses val="autoZero"/>
        <c:crossBetween val="midCat"/>
        <c:minorUnit val="2"/>
      </c:valAx>
      <c:valAx>
        <c:axId val="1953971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967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Walk!$B$118</c:f>
          <c:strCache>
            <c:ptCount val="1"/>
            <c:pt idx="0">
              <c:v>Muscle 9</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Walk!$O$400:$O$407</c:f>
              <c:numCache>
                <c:formatCode>0.00</c:formatCode>
                <c:ptCount val="8"/>
                <c:pt idx="0">
                  <c:v>0</c:v>
                </c:pt>
                <c:pt idx="1">
                  <c:v>10</c:v>
                </c:pt>
                <c:pt idx="2">
                  <c:v>20</c:v>
                </c:pt>
                <c:pt idx="3">
                  <c:v>30</c:v>
                </c:pt>
                <c:pt idx="4">
                  <c:v>40</c:v>
                </c:pt>
                <c:pt idx="5">
                  <c:v>50</c:v>
                </c:pt>
                <c:pt idx="6">
                  <c:v>66.7</c:v>
                </c:pt>
                <c:pt idx="7">
                  <c:v>100</c:v>
                </c:pt>
              </c:numCache>
            </c:numRef>
          </c:xVal>
          <c:yVal>
            <c:numRef>
              <c:f>Walk!$P$400:$P$407</c:f>
              <c:numCache>
                <c:formatCode>0</c:formatCode>
                <c:ptCount val="8"/>
                <c:pt idx="0">
                  <c:v>75</c:v>
                </c:pt>
                <c:pt idx="1">
                  <c:v>75</c:v>
                </c:pt>
                <c:pt idx="2">
                  <c:v>75</c:v>
                </c:pt>
                <c:pt idx="3">
                  <c:v>75</c:v>
                </c:pt>
                <c:pt idx="4">
                  <c:v>75</c:v>
                </c:pt>
                <c:pt idx="5">
                  <c:v>75</c:v>
                </c:pt>
                <c:pt idx="6">
                  <c:v>75</c:v>
                </c:pt>
                <c:pt idx="7">
                  <c:v>75</c:v>
                </c:pt>
              </c:numCache>
            </c:numRef>
          </c:yVal>
          <c:smooth val="0"/>
          <c:extLst>
            <c:ext xmlns:c16="http://schemas.microsoft.com/office/drawing/2014/chart" uri="{C3380CC4-5D6E-409C-BE32-E72D297353CC}">
              <c16:uniqueId val="{00000000-6DFA-40CE-AF7F-1028B2CB8F7B}"/>
            </c:ext>
          </c:extLst>
        </c:ser>
        <c:dLbls>
          <c:showLegendKey val="0"/>
          <c:showVal val="0"/>
          <c:showCatName val="0"/>
          <c:showSerName val="0"/>
          <c:showPercent val="0"/>
          <c:showBubbleSize val="0"/>
        </c:dLbls>
        <c:axId val="195397960"/>
        <c:axId val="195398352"/>
      </c:scatterChart>
      <c:valAx>
        <c:axId val="1953979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98352"/>
        <c:crosses val="autoZero"/>
        <c:crossBetween val="midCat"/>
        <c:minorUnit val="2"/>
      </c:valAx>
      <c:valAx>
        <c:axId val="1953983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979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Walk!$B$126</c:f>
          <c:strCache>
            <c:ptCount val="1"/>
            <c:pt idx="0">
              <c:v>Muscle 10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Walk!$A$424:$A$431</c:f>
              <c:numCache>
                <c:formatCode>0.00</c:formatCode>
                <c:ptCount val="8"/>
                <c:pt idx="0">
                  <c:v>0</c:v>
                </c:pt>
                <c:pt idx="1">
                  <c:v>7.89</c:v>
                </c:pt>
                <c:pt idx="2">
                  <c:v>20</c:v>
                </c:pt>
                <c:pt idx="3">
                  <c:v>55.26</c:v>
                </c:pt>
                <c:pt idx="4">
                  <c:v>60</c:v>
                </c:pt>
                <c:pt idx="5">
                  <c:v>65</c:v>
                </c:pt>
                <c:pt idx="6">
                  <c:v>71.05</c:v>
                </c:pt>
                <c:pt idx="7">
                  <c:v>100</c:v>
                </c:pt>
              </c:numCache>
            </c:numRef>
          </c:xVal>
          <c:yVal>
            <c:numRef>
              <c:f>Walk!$B$424:$B$431</c:f>
              <c:numCache>
                <c:formatCode>0</c:formatCode>
                <c:ptCount val="8"/>
                <c:pt idx="0">
                  <c:v>100</c:v>
                </c:pt>
                <c:pt idx="1">
                  <c:v>100</c:v>
                </c:pt>
                <c:pt idx="2">
                  <c:v>100</c:v>
                </c:pt>
                <c:pt idx="3">
                  <c:v>100</c:v>
                </c:pt>
                <c:pt idx="4">
                  <c:v>100</c:v>
                </c:pt>
                <c:pt idx="5">
                  <c:v>100</c:v>
                </c:pt>
                <c:pt idx="6">
                  <c:v>100</c:v>
                </c:pt>
                <c:pt idx="7">
                  <c:v>100</c:v>
                </c:pt>
              </c:numCache>
            </c:numRef>
          </c:yVal>
          <c:smooth val="0"/>
          <c:extLst>
            <c:ext xmlns:c16="http://schemas.microsoft.com/office/drawing/2014/chart" uri="{C3380CC4-5D6E-409C-BE32-E72D297353CC}">
              <c16:uniqueId val="{00000000-7F31-45AD-902A-464AF3028B05}"/>
            </c:ext>
          </c:extLst>
        </c:ser>
        <c:dLbls>
          <c:showLegendKey val="0"/>
          <c:showVal val="0"/>
          <c:showCatName val="0"/>
          <c:showSerName val="0"/>
          <c:showPercent val="0"/>
          <c:showBubbleSize val="0"/>
        </c:dLbls>
        <c:axId val="195399136"/>
        <c:axId val="228039424"/>
      </c:scatterChart>
      <c:valAx>
        <c:axId val="1953991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039424"/>
        <c:crosses val="autoZero"/>
        <c:crossBetween val="midCat"/>
        <c:minorUnit val="2"/>
      </c:valAx>
      <c:valAx>
        <c:axId val="2280394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991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Walk!$B$126</c:f>
          <c:strCache>
            <c:ptCount val="1"/>
            <c:pt idx="0">
              <c:v>Muscle 10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Walk!$O$424:$O$431</c:f>
              <c:numCache>
                <c:formatCode>0.00</c:formatCode>
                <c:ptCount val="8"/>
                <c:pt idx="0">
                  <c:v>0</c:v>
                </c:pt>
                <c:pt idx="1">
                  <c:v>10</c:v>
                </c:pt>
                <c:pt idx="2">
                  <c:v>20</c:v>
                </c:pt>
                <c:pt idx="3">
                  <c:v>30</c:v>
                </c:pt>
                <c:pt idx="4">
                  <c:v>40</c:v>
                </c:pt>
                <c:pt idx="5">
                  <c:v>50</c:v>
                </c:pt>
                <c:pt idx="6">
                  <c:v>66.7</c:v>
                </c:pt>
                <c:pt idx="7">
                  <c:v>100</c:v>
                </c:pt>
              </c:numCache>
            </c:numRef>
          </c:xVal>
          <c:yVal>
            <c:numRef>
              <c:f>Walk!$P$424:$P$431</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9DE6-454D-BB6D-2307FD18A89C}"/>
            </c:ext>
          </c:extLst>
        </c:ser>
        <c:dLbls>
          <c:showLegendKey val="0"/>
          <c:showVal val="0"/>
          <c:showCatName val="0"/>
          <c:showSerName val="0"/>
          <c:showPercent val="0"/>
          <c:showBubbleSize val="0"/>
        </c:dLbls>
        <c:axId val="228040208"/>
        <c:axId val="228040600"/>
      </c:scatterChart>
      <c:valAx>
        <c:axId val="2280402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040600"/>
        <c:crosses val="autoZero"/>
        <c:crossBetween val="midCat"/>
        <c:minorUnit val="2"/>
      </c:valAx>
      <c:valAx>
        <c:axId val="2280406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0402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Walk!$B$134</c:f>
          <c:strCache>
            <c:ptCount val="1"/>
            <c:pt idx="0">
              <c:v>Muscle 11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Walk!$A$448:$A$455</c:f>
              <c:numCache>
                <c:formatCode>0.00</c:formatCode>
                <c:ptCount val="8"/>
                <c:pt idx="0">
                  <c:v>0</c:v>
                </c:pt>
                <c:pt idx="1">
                  <c:v>7.89</c:v>
                </c:pt>
                <c:pt idx="2">
                  <c:v>20</c:v>
                </c:pt>
                <c:pt idx="3">
                  <c:v>55.26</c:v>
                </c:pt>
                <c:pt idx="4">
                  <c:v>60</c:v>
                </c:pt>
                <c:pt idx="5">
                  <c:v>65</c:v>
                </c:pt>
                <c:pt idx="6">
                  <c:v>71.05</c:v>
                </c:pt>
                <c:pt idx="7">
                  <c:v>100</c:v>
                </c:pt>
              </c:numCache>
            </c:numRef>
          </c:xVal>
          <c:yVal>
            <c:numRef>
              <c:f>Walk!$B$448:$B$455</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3A38-4F01-9DC0-719459740226}"/>
            </c:ext>
          </c:extLst>
        </c:ser>
        <c:dLbls>
          <c:showLegendKey val="0"/>
          <c:showVal val="0"/>
          <c:showCatName val="0"/>
          <c:showSerName val="0"/>
          <c:showPercent val="0"/>
          <c:showBubbleSize val="0"/>
        </c:dLbls>
        <c:axId val="228041384"/>
        <c:axId val="228041776"/>
      </c:scatterChart>
      <c:valAx>
        <c:axId val="2280413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041776"/>
        <c:crosses val="autoZero"/>
        <c:crossBetween val="midCat"/>
        <c:minorUnit val="2"/>
      </c:valAx>
      <c:valAx>
        <c:axId val="2280417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0413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Walk!$B$134</c:f>
          <c:strCache>
            <c:ptCount val="1"/>
            <c:pt idx="0">
              <c:v>Muscle 11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Walk!$O$448:$O$455</c:f>
              <c:numCache>
                <c:formatCode>0.00</c:formatCode>
                <c:ptCount val="8"/>
                <c:pt idx="0">
                  <c:v>0</c:v>
                </c:pt>
                <c:pt idx="1">
                  <c:v>10</c:v>
                </c:pt>
                <c:pt idx="2">
                  <c:v>20</c:v>
                </c:pt>
                <c:pt idx="3">
                  <c:v>30</c:v>
                </c:pt>
                <c:pt idx="4">
                  <c:v>40</c:v>
                </c:pt>
                <c:pt idx="5">
                  <c:v>50</c:v>
                </c:pt>
                <c:pt idx="6">
                  <c:v>66.7</c:v>
                </c:pt>
                <c:pt idx="7">
                  <c:v>100</c:v>
                </c:pt>
              </c:numCache>
            </c:numRef>
          </c:xVal>
          <c:yVal>
            <c:numRef>
              <c:f>Walk!$P$448:$P$455</c:f>
              <c:numCache>
                <c:formatCode>0</c:formatCode>
                <c:ptCount val="8"/>
                <c:pt idx="0">
                  <c:v>125</c:v>
                </c:pt>
                <c:pt idx="1">
                  <c:v>125</c:v>
                </c:pt>
                <c:pt idx="2">
                  <c:v>125</c:v>
                </c:pt>
                <c:pt idx="3">
                  <c:v>125</c:v>
                </c:pt>
                <c:pt idx="4">
                  <c:v>125</c:v>
                </c:pt>
                <c:pt idx="5">
                  <c:v>125</c:v>
                </c:pt>
                <c:pt idx="6">
                  <c:v>125</c:v>
                </c:pt>
                <c:pt idx="7">
                  <c:v>125</c:v>
                </c:pt>
              </c:numCache>
            </c:numRef>
          </c:yVal>
          <c:smooth val="0"/>
          <c:extLst>
            <c:ext xmlns:c16="http://schemas.microsoft.com/office/drawing/2014/chart" uri="{C3380CC4-5D6E-409C-BE32-E72D297353CC}">
              <c16:uniqueId val="{00000000-A83C-4492-99FE-667DFA395B53}"/>
            </c:ext>
          </c:extLst>
        </c:ser>
        <c:dLbls>
          <c:showLegendKey val="0"/>
          <c:showVal val="0"/>
          <c:showCatName val="0"/>
          <c:showSerName val="0"/>
          <c:showPercent val="0"/>
          <c:showBubbleSize val="0"/>
        </c:dLbls>
        <c:axId val="228042560"/>
        <c:axId val="228042952"/>
      </c:scatterChart>
      <c:valAx>
        <c:axId val="2280425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042952"/>
        <c:crosses val="autoZero"/>
        <c:crossBetween val="midCat"/>
        <c:minorUnit val="2"/>
      </c:valAx>
      <c:valAx>
        <c:axId val="2280429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0425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Walk!$B$142</c:f>
          <c:strCache>
            <c:ptCount val="1"/>
            <c:pt idx="0">
              <c:v>Muscle 12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Walk!$A$473:$A$480</c:f>
              <c:numCache>
                <c:formatCode>0.00</c:formatCode>
                <c:ptCount val="8"/>
                <c:pt idx="0">
                  <c:v>0</c:v>
                </c:pt>
                <c:pt idx="1">
                  <c:v>25</c:v>
                </c:pt>
                <c:pt idx="2">
                  <c:v>50</c:v>
                </c:pt>
                <c:pt idx="3">
                  <c:v>75</c:v>
                </c:pt>
                <c:pt idx="4">
                  <c:v>88</c:v>
                </c:pt>
                <c:pt idx="5">
                  <c:v>94</c:v>
                </c:pt>
                <c:pt idx="6">
                  <c:v>95</c:v>
                </c:pt>
                <c:pt idx="7">
                  <c:v>100</c:v>
                </c:pt>
              </c:numCache>
            </c:numRef>
          </c:xVal>
          <c:yVal>
            <c:numRef>
              <c:f>Walk!$B$473:$B$480</c:f>
              <c:numCache>
                <c:formatCode>0</c:formatCode>
                <c:ptCount val="8"/>
                <c:pt idx="0">
                  <c:v>150</c:v>
                </c:pt>
                <c:pt idx="1">
                  <c:v>150</c:v>
                </c:pt>
                <c:pt idx="2">
                  <c:v>150</c:v>
                </c:pt>
                <c:pt idx="3">
                  <c:v>150</c:v>
                </c:pt>
                <c:pt idx="4">
                  <c:v>150</c:v>
                </c:pt>
                <c:pt idx="5">
                  <c:v>150</c:v>
                </c:pt>
                <c:pt idx="6">
                  <c:v>150</c:v>
                </c:pt>
                <c:pt idx="7">
                  <c:v>150</c:v>
                </c:pt>
              </c:numCache>
            </c:numRef>
          </c:yVal>
          <c:smooth val="0"/>
          <c:extLst>
            <c:ext xmlns:c16="http://schemas.microsoft.com/office/drawing/2014/chart" uri="{C3380CC4-5D6E-409C-BE32-E72D297353CC}">
              <c16:uniqueId val="{00000000-01D1-483C-9AAC-1D56E53F817D}"/>
            </c:ext>
          </c:extLst>
        </c:ser>
        <c:dLbls>
          <c:showLegendKey val="0"/>
          <c:showVal val="0"/>
          <c:showCatName val="0"/>
          <c:showSerName val="0"/>
          <c:showPercent val="0"/>
          <c:showBubbleSize val="0"/>
        </c:dLbls>
        <c:axId val="228544240"/>
        <c:axId val="228544632"/>
      </c:scatterChart>
      <c:valAx>
        <c:axId val="2285442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44632"/>
        <c:crosses val="autoZero"/>
        <c:crossBetween val="midCat"/>
        <c:minorUnit val="2"/>
      </c:valAx>
      <c:valAx>
        <c:axId val="2285446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442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Walk!$B$142</c:f>
          <c:strCache>
            <c:ptCount val="1"/>
            <c:pt idx="0">
              <c:v>Muscle 12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Walk!$O$473:$O$480</c:f>
              <c:numCache>
                <c:formatCode>0.00</c:formatCode>
                <c:ptCount val="8"/>
                <c:pt idx="0">
                  <c:v>0</c:v>
                </c:pt>
                <c:pt idx="1">
                  <c:v>5</c:v>
                </c:pt>
                <c:pt idx="2">
                  <c:v>9.3800000000000008</c:v>
                </c:pt>
                <c:pt idx="3">
                  <c:v>11.81</c:v>
                </c:pt>
                <c:pt idx="4">
                  <c:v>61.81</c:v>
                </c:pt>
                <c:pt idx="5">
                  <c:v>93.06</c:v>
                </c:pt>
                <c:pt idx="6">
                  <c:v>95</c:v>
                </c:pt>
                <c:pt idx="7">
                  <c:v>100</c:v>
                </c:pt>
              </c:numCache>
            </c:numRef>
          </c:xVal>
          <c:yVal>
            <c:numRef>
              <c:f>Walk!$P$473:$P$480</c:f>
              <c:numCache>
                <c:formatCode>0</c:formatCode>
                <c:ptCount val="8"/>
                <c:pt idx="0">
                  <c:v>150</c:v>
                </c:pt>
                <c:pt idx="1">
                  <c:v>150</c:v>
                </c:pt>
                <c:pt idx="2">
                  <c:v>150</c:v>
                </c:pt>
                <c:pt idx="3">
                  <c:v>0</c:v>
                </c:pt>
                <c:pt idx="4">
                  <c:v>0</c:v>
                </c:pt>
                <c:pt idx="5">
                  <c:v>150</c:v>
                </c:pt>
                <c:pt idx="6">
                  <c:v>150</c:v>
                </c:pt>
                <c:pt idx="7">
                  <c:v>150</c:v>
                </c:pt>
              </c:numCache>
            </c:numRef>
          </c:yVal>
          <c:smooth val="0"/>
          <c:extLst>
            <c:ext xmlns:c16="http://schemas.microsoft.com/office/drawing/2014/chart" uri="{C3380CC4-5D6E-409C-BE32-E72D297353CC}">
              <c16:uniqueId val="{00000000-0C60-485E-996D-DC56305AC02A}"/>
            </c:ext>
          </c:extLst>
        </c:ser>
        <c:dLbls>
          <c:showLegendKey val="0"/>
          <c:showVal val="0"/>
          <c:showCatName val="0"/>
          <c:showSerName val="0"/>
          <c:showPercent val="0"/>
          <c:showBubbleSize val="0"/>
        </c:dLbls>
        <c:axId val="228545416"/>
        <c:axId val="228545808"/>
      </c:scatterChart>
      <c:valAx>
        <c:axId val="2285454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45808"/>
        <c:crosses val="autoZero"/>
        <c:crossBetween val="midCat"/>
        <c:minorUnit val="2"/>
      </c:valAx>
      <c:valAx>
        <c:axId val="2285458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454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Walk!$B$150</c:f>
          <c:strCache>
            <c:ptCount val="1"/>
            <c:pt idx="0">
              <c:v>Muscle 13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Walk!$A$497:$A$504</c:f>
              <c:numCache>
                <c:formatCode>0.00</c:formatCode>
                <c:ptCount val="8"/>
                <c:pt idx="0">
                  <c:v>0</c:v>
                </c:pt>
                <c:pt idx="1">
                  <c:v>10</c:v>
                </c:pt>
                <c:pt idx="2">
                  <c:v>50</c:v>
                </c:pt>
                <c:pt idx="3">
                  <c:v>75</c:v>
                </c:pt>
                <c:pt idx="4">
                  <c:v>88</c:v>
                </c:pt>
                <c:pt idx="5">
                  <c:v>94</c:v>
                </c:pt>
                <c:pt idx="6">
                  <c:v>95</c:v>
                </c:pt>
                <c:pt idx="7">
                  <c:v>100</c:v>
                </c:pt>
              </c:numCache>
            </c:numRef>
          </c:xVal>
          <c:yVal>
            <c:numRef>
              <c:f>Walk!$B$497:$B$504</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83E4-41AA-95A0-FAAD30F97EC0}"/>
            </c:ext>
          </c:extLst>
        </c:ser>
        <c:dLbls>
          <c:showLegendKey val="0"/>
          <c:showVal val="0"/>
          <c:showCatName val="0"/>
          <c:showSerName val="0"/>
          <c:showPercent val="0"/>
          <c:showBubbleSize val="0"/>
        </c:dLbls>
        <c:axId val="228546592"/>
        <c:axId val="228546984"/>
      </c:scatterChart>
      <c:valAx>
        <c:axId val="2285465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46984"/>
        <c:crosses val="autoZero"/>
        <c:crossBetween val="midCat"/>
        <c:minorUnit val="2"/>
      </c:valAx>
      <c:valAx>
        <c:axId val="2285469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465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Walk!$B$150</c:f>
          <c:strCache>
            <c:ptCount val="1"/>
            <c:pt idx="0">
              <c:v>Muscle 13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Walk!$O$497:$O$504</c:f>
              <c:numCache>
                <c:formatCode>0.00</c:formatCode>
                <c:ptCount val="8"/>
                <c:pt idx="0">
                  <c:v>0</c:v>
                </c:pt>
                <c:pt idx="1">
                  <c:v>5</c:v>
                </c:pt>
                <c:pt idx="2">
                  <c:v>9.3800000000000008</c:v>
                </c:pt>
                <c:pt idx="3">
                  <c:v>11.81</c:v>
                </c:pt>
                <c:pt idx="4">
                  <c:v>77.430000000000007</c:v>
                </c:pt>
                <c:pt idx="5">
                  <c:v>93.06</c:v>
                </c:pt>
                <c:pt idx="6">
                  <c:v>95</c:v>
                </c:pt>
                <c:pt idx="7">
                  <c:v>100</c:v>
                </c:pt>
              </c:numCache>
            </c:numRef>
          </c:xVal>
          <c:yVal>
            <c:numRef>
              <c:f>Walk!$P$497:$P$504</c:f>
              <c:numCache>
                <c:formatCode>0</c:formatCode>
                <c:ptCount val="8"/>
                <c:pt idx="0">
                  <c:v>0</c:v>
                </c:pt>
                <c:pt idx="1">
                  <c:v>0</c:v>
                </c:pt>
                <c:pt idx="2">
                  <c:v>0</c:v>
                </c:pt>
                <c:pt idx="3">
                  <c:v>150</c:v>
                </c:pt>
                <c:pt idx="4">
                  <c:v>150</c:v>
                </c:pt>
                <c:pt idx="5">
                  <c:v>0</c:v>
                </c:pt>
                <c:pt idx="6">
                  <c:v>0</c:v>
                </c:pt>
                <c:pt idx="7">
                  <c:v>0</c:v>
                </c:pt>
              </c:numCache>
            </c:numRef>
          </c:yVal>
          <c:smooth val="0"/>
          <c:extLst>
            <c:ext xmlns:c16="http://schemas.microsoft.com/office/drawing/2014/chart" uri="{C3380CC4-5D6E-409C-BE32-E72D297353CC}">
              <c16:uniqueId val="{00000000-D3E4-428F-BE5D-6F278E2E8A5F}"/>
            </c:ext>
          </c:extLst>
        </c:ser>
        <c:dLbls>
          <c:showLegendKey val="0"/>
          <c:showVal val="0"/>
          <c:showCatName val="0"/>
          <c:showSerName val="0"/>
          <c:showPercent val="0"/>
          <c:showBubbleSize val="0"/>
        </c:dLbls>
        <c:axId val="228501720"/>
        <c:axId val="228502112"/>
      </c:scatterChart>
      <c:valAx>
        <c:axId val="2285017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02112"/>
        <c:crosses val="autoZero"/>
        <c:crossBetween val="midCat"/>
        <c:minorUnit val="2"/>
      </c:valAx>
      <c:valAx>
        <c:axId val="2285021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017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Walk!$B$158</c:f>
          <c:strCache>
            <c:ptCount val="1"/>
            <c:pt idx="0">
              <c:v>Muscle 14</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Walk!$A$521:$A$528</c:f>
              <c:numCache>
                <c:formatCode>0.00</c:formatCode>
                <c:ptCount val="8"/>
                <c:pt idx="0">
                  <c:v>0</c:v>
                </c:pt>
                <c:pt idx="1">
                  <c:v>10</c:v>
                </c:pt>
                <c:pt idx="2">
                  <c:v>50</c:v>
                </c:pt>
                <c:pt idx="3">
                  <c:v>75</c:v>
                </c:pt>
                <c:pt idx="4">
                  <c:v>88</c:v>
                </c:pt>
                <c:pt idx="5">
                  <c:v>94</c:v>
                </c:pt>
                <c:pt idx="6">
                  <c:v>95</c:v>
                </c:pt>
                <c:pt idx="7">
                  <c:v>100</c:v>
                </c:pt>
              </c:numCache>
            </c:numRef>
          </c:xVal>
          <c:yVal>
            <c:numRef>
              <c:f>Walk!$B$521:$B$528</c:f>
              <c:numCache>
                <c:formatCode>0</c:formatCode>
                <c:ptCount val="8"/>
                <c:pt idx="0">
                  <c:v>110</c:v>
                </c:pt>
                <c:pt idx="1">
                  <c:v>110</c:v>
                </c:pt>
                <c:pt idx="2">
                  <c:v>110</c:v>
                </c:pt>
                <c:pt idx="3">
                  <c:v>110</c:v>
                </c:pt>
                <c:pt idx="4">
                  <c:v>110</c:v>
                </c:pt>
                <c:pt idx="5">
                  <c:v>110</c:v>
                </c:pt>
                <c:pt idx="6">
                  <c:v>110</c:v>
                </c:pt>
                <c:pt idx="7">
                  <c:v>110</c:v>
                </c:pt>
              </c:numCache>
            </c:numRef>
          </c:yVal>
          <c:smooth val="0"/>
          <c:extLst>
            <c:ext xmlns:c16="http://schemas.microsoft.com/office/drawing/2014/chart" uri="{C3380CC4-5D6E-409C-BE32-E72D297353CC}">
              <c16:uniqueId val="{00000000-D2EC-4BFD-BDE4-5D89198A3489}"/>
            </c:ext>
          </c:extLst>
        </c:ser>
        <c:dLbls>
          <c:showLegendKey val="0"/>
          <c:showVal val="0"/>
          <c:showCatName val="0"/>
          <c:showSerName val="0"/>
          <c:showPercent val="0"/>
          <c:showBubbleSize val="0"/>
        </c:dLbls>
        <c:axId val="228502896"/>
        <c:axId val="228503288"/>
      </c:scatterChart>
      <c:valAx>
        <c:axId val="2285028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03288"/>
        <c:crosses val="autoZero"/>
        <c:crossBetween val="midCat"/>
        <c:minorUnit val="2"/>
      </c:valAx>
      <c:valAx>
        <c:axId val="2285032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028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Walk!$B$158</c:f>
          <c:strCache>
            <c:ptCount val="1"/>
            <c:pt idx="0">
              <c:v>Muscle 14</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Walk!$O$521:$O$528</c:f>
              <c:numCache>
                <c:formatCode>0.00</c:formatCode>
                <c:ptCount val="8"/>
                <c:pt idx="0">
                  <c:v>0</c:v>
                </c:pt>
                <c:pt idx="1">
                  <c:v>4</c:v>
                </c:pt>
                <c:pt idx="2">
                  <c:v>8</c:v>
                </c:pt>
                <c:pt idx="3">
                  <c:v>9.3800000000000008</c:v>
                </c:pt>
                <c:pt idx="4">
                  <c:v>11.81</c:v>
                </c:pt>
                <c:pt idx="5">
                  <c:v>86.81</c:v>
                </c:pt>
                <c:pt idx="6">
                  <c:v>93.06</c:v>
                </c:pt>
                <c:pt idx="7">
                  <c:v>100</c:v>
                </c:pt>
              </c:numCache>
            </c:numRef>
          </c:xVal>
          <c:yVal>
            <c:numRef>
              <c:f>Walk!$P$521:$P$528</c:f>
              <c:numCache>
                <c:formatCode>0</c:formatCode>
                <c:ptCount val="8"/>
                <c:pt idx="0">
                  <c:v>110</c:v>
                </c:pt>
                <c:pt idx="1">
                  <c:v>110</c:v>
                </c:pt>
                <c:pt idx="2">
                  <c:v>110</c:v>
                </c:pt>
                <c:pt idx="3">
                  <c:v>110</c:v>
                </c:pt>
                <c:pt idx="4">
                  <c:v>0</c:v>
                </c:pt>
                <c:pt idx="5">
                  <c:v>0</c:v>
                </c:pt>
                <c:pt idx="6">
                  <c:v>108</c:v>
                </c:pt>
                <c:pt idx="7">
                  <c:v>110</c:v>
                </c:pt>
              </c:numCache>
            </c:numRef>
          </c:yVal>
          <c:smooth val="0"/>
          <c:extLst>
            <c:ext xmlns:c16="http://schemas.microsoft.com/office/drawing/2014/chart" uri="{C3380CC4-5D6E-409C-BE32-E72D297353CC}">
              <c16:uniqueId val="{00000000-4A72-40BE-BE26-EAD0FC16AC4A}"/>
            </c:ext>
          </c:extLst>
        </c:ser>
        <c:dLbls>
          <c:showLegendKey val="0"/>
          <c:showVal val="0"/>
          <c:showCatName val="0"/>
          <c:showSerName val="0"/>
          <c:showPercent val="0"/>
          <c:showBubbleSize val="0"/>
        </c:dLbls>
        <c:axId val="228503680"/>
        <c:axId val="228504072"/>
      </c:scatterChart>
      <c:valAx>
        <c:axId val="2285036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04072"/>
        <c:crosses val="autoZero"/>
        <c:crossBetween val="midCat"/>
        <c:minorUnit val="2"/>
      </c:valAx>
      <c:valAx>
        <c:axId val="2285040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036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Walk!$B$166</c:f>
          <c:strCache>
            <c:ptCount val="1"/>
            <c:pt idx="0">
              <c:v>Muscle 15</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Walk!$A$545:$A$552</c:f>
              <c:numCache>
                <c:formatCode>0.00</c:formatCode>
                <c:ptCount val="8"/>
                <c:pt idx="0">
                  <c:v>0</c:v>
                </c:pt>
                <c:pt idx="1">
                  <c:v>25</c:v>
                </c:pt>
                <c:pt idx="2">
                  <c:v>50</c:v>
                </c:pt>
                <c:pt idx="3">
                  <c:v>75</c:v>
                </c:pt>
                <c:pt idx="4">
                  <c:v>88</c:v>
                </c:pt>
                <c:pt idx="5">
                  <c:v>94</c:v>
                </c:pt>
                <c:pt idx="6">
                  <c:v>95</c:v>
                </c:pt>
                <c:pt idx="7">
                  <c:v>100</c:v>
                </c:pt>
              </c:numCache>
            </c:numRef>
          </c:xVal>
          <c:yVal>
            <c:numRef>
              <c:f>Walk!$B$545:$B$552</c:f>
              <c:numCache>
                <c:formatCode>0</c:formatCode>
                <c:ptCount val="8"/>
                <c:pt idx="0">
                  <c:v>150</c:v>
                </c:pt>
                <c:pt idx="1">
                  <c:v>150</c:v>
                </c:pt>
                <c:pt idx="2">
                  <c:v>150</c:v>
                </c:pt>
                <c:pt idx="3">
                  <c:v>150</c:v>
                </c:pt>
                <c:pt idx="4">
                  <c:v>150</c:v>
                </c:pt>
                <c:pt idx="5">
                  <c:v>150</c:v>
                </c:pt>
                <c:pt idx="6">
                  <c:v>150</c:v>
                </c:pt>
                <c:pt idx="7">
                  <c:v>150</c:v>
                </c:pt>
              </c:numCache>
            </c:numRef>
          </c:yVal>
          <c:smooth val="0"/>
          <c:extLst>
            <c:ext xmlns:c16="http://schemas.microsoft.com/office/drawing/2014/chart" uri="{C3380CC4-5D6E-409C-BE32-E72D297353CC}">
              <c16:uniqueId val="{00000000-23B4-424D-AEB6-7BE35D140373}"/>
            </c:ext>
          </c:extLst>
        </c:ser>
        <c:dLbls>
          <c:showLegendKey val="0"/>
          <c:showVal val="0"/>
          <c:showCatName val="0"/>
          <c:showSerName val="0"/>
          <c:showPercent val="0"/>
          <c:showBubbleSize val="0"/>
        </c:dLbls>
        <c:axId val="228504856"/>
        <c:axId val="228763464"/>
      </c:scatterChart>
      <c:valAx>
        <c:axId val="2285048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63464"/>
        <c:crosses val="autoZero"/>
        <c:crossBetween val="midCat"/>
        <c:minorUnit val="2"/>
      </c:valAx>
      <c:valAx>
        <c:axId val="2287634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5048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Walk!$B$166</c:f>
          <c:strCache>
            <c:ptCount val="1"/>
            <c:pt idx="0">
              <c:v>Muscle 15</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Walk!$O$545:$O$552</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Walk!$P$545:$P$552</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FD83-4091-AB12-081FF45D2F45}"/>
            </c:ext>
          </c:extLst>
        </c:ser>
        <c:dLbls>
          <c:showLegendKey val="0"/>
          <c:showVal val="0"/>
          <c:showCatName val="0"/>
          <c:showSerName val="0"/>
          <c:showPercent val="0"/>
          <c:showBubbleSize val="0"/>
        </c:dLbls>
        <c:axId val="228764248"/>
        <c:axId val="228764640"/>
      </c:scatterChart>
      <c:valAx>
        <c:axId val="2287642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64640"/>
        <c:crosses val="autoZero"/>
        <c:crossBetween val="midCat"/>
        <c:minorUnit val="2"/>
      </c:valAx>
      <c:valAx>
        <c:axId val="2287646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642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Walk!$J$46</c:f>
          <c:strCache>
            <c:ptCount val="1"/>
            <c:pt idx="0">
              <c:v>Muscle 16</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Walk!$A$569:$A$576</c:f>
              <c:numCache>
                <c:formatCode>0.00</c:formatCode>
                <c:ptCount val="8"/>
                <c:pt idx="0">
                  <c:v>0</c:v>
                </c:pt>
                <c:pt idx="1">
                  <c:v>25</c:v>
                </c:pt>
                <c:pt idx="2">
                  <c:v>50</c:v>
                </c:pt>
                <c:pt idx="3">
                  <c:v>75</c:v>
                </c:pt>
                <c:pt idx="4">
                  <c:v>88</c:v>
                </c:pt>
                <c:pt idx="5">
                  <c:v>94</c:v>
                </c:pt>
                <c:pt idx="6">
                  <c:v>95</c:v>
                </c:pt>
                <c:pt idx="7">
                  <c:v>100</c:v>
                </c:pt>
              </c:numCache>
            </c:numRef>
          </c:xVal>
          <c:yVal>
            <c:numRef>
              <c:f>Walk!$B$569:$B$576</c:f>
              <c:numCache>
                <c:formatCode>0</c:formatCode>
                <c:ptCount val="8"/>
                <c:pt idx="0">
                  <c:v>175</c:v>
                </c:pt>
                <c:pt idx="1">
                  <c:v>175</c:v>
                </c:pt>
                <c:pt idx="2">
                  <c:v>175</c:v>
                </c:pt>
                <c:pt idx="3">
                  <c:v>175</c:v>
                </c:pt>
                <c:pt idx="4">
                  <c:v>175</c:v>
                </c:pt>
                <c:pt idx="5">
                  <c:v>175</c:v>
                </c:pt>
                <c:pt idx="6">
                  <c:v>175</c:v>
                </c:pt>
                <c:pt idx="7">
                  <c:v>175</c:v>
                </c:pt>
              </c:numCache>
            </c:numRef>
          </c:yVal>
          <c:smooth val="0"/>
          <c:extLst>
            <c:ext xmlns:c16="http://schemas.microsoft.com/office/drawing/2014/chart" uri="{C3380CC4-5D6E-409C-BE32-E72D297353CC}">
              <c16:uniqueId val="{00000000-6E07-420E-B4BC-DD03E052A30F}"/>
            </c:ext>
          </c:extLst>
        </c:ser>
        <c:dLbls>
          <c:showLegendKey val="0"/>
          <c:showVal val="0"/>
          <c:showCatName val="0"/>
          <c:showSerName val="0"/>
          <c:showPercent val="0"/>
          <c:showBubbleSize val="0"/>
        </c:dLbls>
        <c:axId val="228765424"/>
        <c:axId val="228765816"/>
      </c:scatterChart>
      <c:valAx>
        <c:axId val="2287654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65816"/>
        <c:crosses val="autoZero"/>
        <c:crossBetween val="midCat"/>
        <c:minorUnit val="2"/>
      </c:valAx>
      <c:valAx>
        <c:axId val="2287658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654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Walk!$J$46</c:f>
          <c:strCache>
            <c:ptCount val="1"/>
            <c:pt idx="0">
              <c:v>Muscle 16</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Walk!$O$569:$O$576</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Walk!$P$569:$P$576</c:f>
              <c:numCache>
                <c:formatCode>0</c:formatCode>
                <c:ptCount val="8"/>
                <c:pt idx="0">
                  <c:v>150</c:v>
                </c:pt>
                <c:pt idx="1">
                  <c:v>150</c:v>
                </c:pt>
                <c:pt idx="2">
                  <c:v>150</c:v>
                </c:pt>
                <c:pt idx="3">
                  <c:v>0</c:v>
                </c:pt>
                <c:pt idx="4">
                  <c:v>0</c:v>
                </c:pt>
                <c:pt idx="5">
                  <c:v>150</c:v>
                </c:pt>
                <c:pt idx="6">
                  <c:v>150</c:v>
                </c:pt>
                <c:pt idx="7">
                  <c:v>150</c:v>
                </c:pt>
              </c:numCache>
            </c:numRef>
          </c:yVal>
          <c:smooth val="0"/>
          <c:extLst>
            <c:ext xmlns:c16="http://schemas.microsoft.com/office/drawing/2014/chart" uri="{C3380CC4-5D6E-409C-BE32-E72D297353CC}">
              <c16:uniqueId val="{00000000-CE0C-458D-A4CD-AE8100A961E5}"/>
            </c:ext>
          </c:extLst>
        </c:ser>
        <c:dLbls>
          <c:showLegendKey val="0"/>
          <c:showVal val="0"/>
          <c:showCatName val="0"/>
          <c:showSerName val="0"/>
          <c:showPercent val="0"/>
          <c:showBubbleSize val="0"/>
        </c:dLbls>
        <c:axId val="228766600"/>
        <c:axId val="228766992"/>
      </c:scatterChart>
      <c:valAx>
        <c:axId val="2287666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66992"/>
        <c:crosses val="autoZero"/>
        <c:crossBetween val="midCat"/>
        <c:minorUnit val="2"/>
      </c:valAx>
      <c:valAx>
        <c:axId val="2287669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666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Walk!$J$54</c:f>
          <c:strCache>
            <c:ptCount val="1"/>
            <c:pt idx="0">
              <c:v>Muscle 17</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Walk!$A$593:$A$600</c:f>
              <c:numCache>
                <c:formatCode>0.00</c:formatCode>
                <c:ptCount val="8"/>
                <c:pt idx="0">
                  <c:v>0</c:v>
                </c:pt>
                <c:pt idx="1">
                  <c:v>25</c:v>
                </c:pt>
                <c:pt idx="2">
                  <c:v>50</c:v>
                </c:pt>
                <c:pt idx="3">
                  <c:v>75</c:v>
                </c:pt>
                <c:pt idx="4">
                  <c:v>88</c:v>
                </c:pt>
                <c:pt idx="5">
                  <c:v>94</c:v>
                </c:pt>
                <c:pt idx="6">
                  <c:v>95</c:v>
                </c:pt>
                <c:pt idx="7">
                  <c:v>100</c:v>
                </c:pt>
              </c:numCache>
            </c:numRef>
          </c:xVal>
          <c:yVal>
            <c:numRef>
              <c:f>Walk!$B$593:$B$600</c:f>
              <c:numCache>
                <c:formatCode>0</c:formatCode>
                <c:ptCount val="8"/>
                <c:pt idx="0">
                  <c:v>150</c:v>
                </c:pt>
                <c:pt idx="1">
                  <c:v>150</c:v>
                </c:pt>
                <c:pt idx="2">
                  <c:v>150</c:v>
                </c:pt>
                <c:pt idx="3">
                  <c:v>150</c:v>
                </c:pt>
                <c:pt idx="4">
                  <c:v>150</c:v>
                </c:pt>
                <c:pt idx="5">
                  <c:v>150</c:v>
                </c:pt>
                <c:pt idx="6">
                  <c:v>150</c:v>
                </c:pt>
                <c:pt idx="7">
                  <c:v>150</c:v>
                </c:pt>
              </c:numCache>
            </c:numRef>
          </c:yVal>
          <c:smooth val="0"/>
          <c:extLst>
            <c:ext xmlns:c16="http://schemas.microsoft.com/office/drawing/2014/chart" uri="{C3380CC4-5D6E-409C-BE32-E72D297353CC}">
              <c16:uniqueId val="{00000000-375E-4846-8507-4799D1B3F386}"/>
            </c:ext>
          </c:extLst>
        </c:ser>
        <c:dLbls>
          <c:showLegendKey val="0"/>
          <c:showVal val="0"/>
          <c:showCatName val="0"/>
          <c:showSerName val="0"/>
          <c:showPercent val="0"/>
          <c:showBubbleSize val="0"/>
        </c:dLbls>
        <c:axId val="229031696"/>
        <c:axId val="229032088"/>
      </c:scatterChart>
      <c:valAx>
        <c:axId val="2290316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032088"/>
        <c:crosses val="autoZero"/>
        <c:crossBetween val="midCat"/>
        <c:minorUnit val="2"/>
      </c:valAx>
      <c:valAx>
        <c:axId val="2290320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0316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Walk!$J$54</c:f>
          <c:strCache>
            <c:ptCount val="1"/>
            <c:pt idx="0">
              <c:v>Muscle 17</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Walk!$O$593:$O$600</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Walk!$P$593:$P$600</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5DBB-4BF8-B39D-4083C9FE4E6C}"/>
            </c:ext>
          </c:extLst>
        </c:ser>
        <c:dLbls>
          <c:showLegendKey val="0"/>
          <c:showVal val="0"/>
          <c:showCatName val="0"/>
          <c:showSerName val="0"/>
          <c:showPercent val="0"/>
          <c:showBubbleSize val="0"/>
        </c:dLbls>
        <c:axId val="229032872"/>
        <c:axId val="229033264"/>
      </c:scatterChart>
      <c:valAx>
        <c:axId val="2290328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033264"/>
        <c:crosses val="autoZero"/>
        <c:crossBetween val="midCat"/>
        <c:minorUnit val="2"/>
      </c:valAx>
      <c:valAx>
        <c:axId val="2290332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0328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Walk!$J$62</c:f>
          <c:strCache>
            <c:ptCount val="1"/>
            <c:pt idx="0">
              <c:v>Muscle 18</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Walk!$A$617:$A$624</c:f>
              <c:numCache>
                <c:formatCode>0.00</c:formatCode>
                <c:ptCount val="8"/>
                <c:pt idx="0">
                  <c:v>0</c:v>
                </c:pt>
                <c:pt idx="1">
                  <c:v>25</c:v>
                </c:pt>
                <c:pt idx="2">
                  <c:v>50</c:v>
                </c:pt>
                <c:pt idx="3">
                  <c:v>75</c:v>
                </c:pt>
                <c:pt idx="4">
                  <c:v>88</c:v>
                </c:pt>
                <c:pt idx="5">
                  <c:v>94</c:v>
                </c:pt>
                <c:pt idx="6">
                  <c:v>95</c:v>
                </c:pt>
                <c:pt idx="7">
                  <c:v>100</c:v>
                </c:pt>
              </c:numCache>
            </c:numRef>
          </c:xVal>
          <c:yVal>
            <c:numRef>
              <c:f>Walk!$B$617:$B$624</c:f>
              <c:numCache>
                <c:formatCode>0</c:formatCode>
                <c:ptCount val="8"/>
                <c:pt idx="0">
                  <c:v>200</c:v>
                </c:pt>
                <c:pt idx="1">
                  <c:v>200</c:v>
                </c:pt>
                <c:pt idx="2">
                  <c:v>200</c:v>
                </c:pt>
                <c:pt idx="3">
                  <c:v>200</c:v>
                </c:pt>
                <c:pt idx="4">
                  <c:v>200</c:v>
                </c:pt>
                <c:pt idx="5">
                  <c:v>200</c:v>
                </c:pt>
                <c:pt idx="6">
                  <c:v>200</c:v>
                </c:pt>
                <c:pt idx="7">
                  <c:v>200</c:v>
                </c:pt>
              </c:numCache>
            </c:numRef>
          </c:yVal>
          <c:smooth val="0"/>
          <c:extLst>
            <c:ext xmlns:c16="http://schemas.microsoft.com/office/drawing/2014/chart" uri="{C3380CC4-5D6E-409C-BE32-E72D297353CC}">
              <c16:uniqueId val="{00000000-49EA-4996-90BA-3A6C8D421825}"/>
            </c:ext>
          </c:extLst>
        </c:ser>
        <c:dLbls>
          <c:showLegendKey val="0"/>
          <c:showVal val="0"/>
          <c:showCatName val="0"/>
          <c:showSerName val="0"/>
          <c:showPercent val="0"/>
          <c:showBubbleSize val="0"/>
        </c:dLbls>
        <c:axId val="229034048"/>
        <c:axId val="229034440"/>
      </c:scatterChart>
      <c:valAx>
        <c:axId val="2290340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034440"/>
        <c:crosses val="autoZero"/>
        <c:crossBetween val="midCat"/>
        <c:minorUnit val="2"/>
      </c:valAx>
      <c:valAx>
        <c:axId val="2290344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0340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Walk!$J$62</c:f>
          <c:strCache>
            <c:ptCount val="1"/>
            <c:pt idx="0">
              <c:v>Muscle 18</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Walk!$O$617:$O$624</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Walk!$P$617:$P$624</c:f>
              <c:numCache>
                <c:formatCode>0</c:formatCode>
                <c:ptCount val="8"/>
                <c:pt idx="0">
                  <c:v>150</c:v>
                </c:pt>
                <c:pt idx="1">
                  <c:v>150</c:v>
                </c:pt>
                <c:pt idx="2">
                  <c:v>150</c:v>
                </c:pt>
                <c:pt idx="3">
                  <c:v>0</c:v>
                </c:pt>
                <c:pt idx="4">
                  <c:v>0</c:v>
                </c:pt>
                <c:pt idx="5">
                  <c:v>150</c:v>
                </c:pt>
                <c:pt idx="6">
                  <c:v>150</c:v>
                </c:pt>
                <c:pt idx="7">
                  <c:v>150</c:v>
                </c:pt>
              </c:numCache>
            </c:numRef>
          </c:yVal>
          <c:smooth val="0"/>
          <c:extLst>
            <c:ext xmlns:c16="http://schemas.microsoft.com/office/drawing/2014/chart" uri="{C3380CC4-5D6E-409C-BE32-E72D297353CC}">
              <c16:uniqueId val="{00000000-06EF-42D5-B601-0A444E4B3E61}"/>
            </c:ext>
          </c:extLst>
        </c:ser>
        <c:dLbls>
          <c:showLegendKey val="0"/>
          <c:showVal val="0"/>
          <c:showCatName val="0"/>
          <c:showSerName val="0"/>
          <c:showPercent val="0"/>
          <c:showBubbleSize val="0"/>
        </c:dLbls>
        <c:axId val="229535512"/>
        <c:axId val="229535904"/>
      </c:scatterChart>
      <c:valAx>
        <c:axId val="2295355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535904"/>
        <c:crosses val="autoZero"/>
        <c:crossBetween val="midCat"/>
        <c:minorUnit val="2"/>
      </c:valAx>
      <c:valAx>
        <c:axId val="2295359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5355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Walk!$J$70</c:f>
          <c:strCache>
            <c:ptCount val="1"/>
            <c:pt idx="0">
              <c:v>Muscle 19</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Walk!$A$641:$A$648</c:f>
              <c:numCache>
                <c:formatCode>0.00</c:formatCode>
                <c:ptCount val="8"/>
                <c:pt idx="0">
                  <c:v>0</c:v>
                </c:pt>
                <c:pt idx="1">
                  <c:v>25</c:v>
                </c:pt>
                <c:pt idx="2">
                  <c:v>50</c:v>
                </c:pt>
                <c:pt idx="3">
                  <c:v>75</c:v>
                </c:pt>
                <c:pt idx="4">
                  <c:v>88</c:v>
                </c:pt>
                <c:pt idx="5">
                  <c:v>94</c:v>
                </c:pt>
                <c:pt idx="6">
                  <c:v>95</c:v>
                </c:pt>
                <c:pt idx="7">
                  <c:v>100</c:v>
                </c:pt>
              </c:numCache>
            </c:numRef>
          </c:xVal>
          <c:yVal>
            <c:numRef>
              <c:f>Walk!$B$641:$B$648</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7FB0-41D9-888C-42890DFA9063}"/>
            </c:ext>
          </c:extLst>
        </c:ser>
        <c:dLbls>
          <c:showLegendKey val="0"/>
          <c:showVal val="0"/>
          <c:showCatName val="0"/>
          <c:showSerName val="0"/>
          <c:showPercent val="0"/>
          <c:showBubbleSize val="0"/>
        </c:dLbls>
        <c:axId val="229536688"/>
        <c:axId val="229537080"/>
      </c:scatterChart>
      <c:valAx>
        <c:axId val="2295366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537080"/>
        <c:crosses val="autoZero"/>
        <c:crossBetween val="midCat"/>
        <c:minorUnit val="2"/>
      </c:valAx>
      <c:valAx>
        <c:axId val="2295370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5366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Walk!$J$70</c:f>
          <c:strCache>
            <c:ptCount val="1"/>
            <c:pt idx="0">
              <c:v>Muscle 19</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Walk!$O$641:$O$648</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Walk!$P$641:$P$648</c:f>
              <c:numCache>
                <c:formatCode>0</c:formatCode>
                <c:ptCount val="8"/>
                <c:pt idx="0">
                  <c:v>200</c:v>
                </c:pt>
                <c:pt idx="1">
                  <c:v>200</c:v>
                </c:pt>
                <c:pt idx="2">
                  <c:v>200</c:v>
                </c:pt>
                <c:pt idx="3">
                  <c:v>200</c:v>
                </c:pt>
                <c:pt idx="4">
                  <c:v>200</c:v>
                </c:pt>
                <c:pt idx="5">
                  <c:v>200</c:v>
                </c:pt>
                <c:pt idx="6">
                  <c:v>200</c:v>
                </c:pt>
                <c:pt idx="7">
                  <c:v>200</c:v>
                </c:pt>
              </c:numCache>
            </c:numRef>
          </c:yVal>
          <c:smooth val="0"/>
          <c:extLst>
            <c:ext xmlns:c16="http://schemas.microsoft.com/office/drawing/2014/chart" uri="{C3380CC4-5D6E-409C-BE32-E72D297353CC}">
              <c16:uniqueId val="{00000000-E2DB-4AF7-A276-B1DEDCEB7B84}"/>
            </c:ext>
          </c:extLst>
        </c:ser>
        <c:dLbls>
          <c:showLegendKey val="0"/>
          <c:showVal val="0"/>
          <c:showCatName val="0"/>
          <c:showSerName val="0"/>
          <c:showPercent val="0"/>
          <c:showBubbleSize val="0"/>
        </c:dLbls>
        <c:axId val="229537864"/>
        <c:axId val="229538256"/>
      </c:scatterChart>
      <c:valAx>
        <c:axId val="2295378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538256"/>
        <c:crosses val="autoZero"/>
        <c:crossBetween val="midCat"/>
        <c:minorUnit val="2"/>
      </c:valAx>
      <c:valAx>
        <c:axId val="2295382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5378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Walk!$J$78</c:f>
          <c:strCache>
            <c:ptCount val="1"/>
            <c:pt idx="0">
              <c:v>Muscle 20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Walk!$A$665:$A$672</c:f>
              <c:numCache>
                <c:formatCode>0.00</c:formatCode>
                <c:ptCount val="8"/>
                <c:pt idx="0">
                  <c:v>0</c:v>
                </c:pt>
                <c:pt idx="1">
                  <c:v>25</c:v>
                </c:pt>
                <c:pt idx="2">
                  <c:v>50</c:v>
                </c:pt>
                <c:pt idx="3">
                  <c:v>75</c:v>
                </c:pt>
                <c:pt idx="4">
                  <c:v>88</c:v>
                </c:pt>
                <c:pt idx="5">
                  <c:v>94</c:v>
                </c:pt>
                <c:pt idx="6">
                  <c:v>95</c:v>
                </c:pt>
                <c:pt idx="7">
                  <c:v>100</c:v>
                </c:pt>
              </c:numCache>
            </c:numRef>
          </c:xVal>
          <c:yVal>
            <c:numRef>
              <c:f>Walk!$B$665:$B$672</c:f>
              <c:numCache>
                <c:formatCode>0</c:formatCode>
                <c:ptCount val="8"/>
                <c:pt idx="0">
                  <c:v>150</c:v>
                </c:pt>
                <c:pt idx="1">
                  <c:v>150</c:v>
                </c:pt>
                <c:pt idx="2">
                  <c:v>150</c:v>
                </c:pt>
                <c:pt idx="3">
                  <c:v>150</c:v>
                </c:pt>
                <c:pt idx="4">
                  <c:v>150</c:v>
                </c:pt>
                <c:pt idx="5">
                  <c:v>150</c:v>
                </c:pt>
                <c:pt idx="6">
                  <c:v>150</c:v>
                </c:pt>
                <c:pt idx="7">
                  <c:v>150</c:v>
                </c:pt>
              </c:numCache>
            </c:numRef>
          </c:yVal>
          <c:smooth val="0"/>
          <c:extLst>
            <c:ext xmlns:c16="http://schemas.microsoft.com/office/drawing/2014/chart" uri="{C3380CC4-5D6E-409C-BE32-E72D297353CC}">
              <c16:uniqueId val="{00000000-7D57-4233-B89C-3A3E1EEA63BF}"/>
            </c:ext>
          </c:extLst>
        </c:ser>
        <c:dLbls>
          <c:showLegendKey val="0"/>
          <c:showVal val="0"/>
          <c:showCatName val="0"/>
          <c:showSerName val="0"/>
          <c:showPercent val="0"/>
          <c:showBubbleSize val="0"/>
        </c:dLbls>
        <c:axId val="229539040"/>
        <c:axId val="229440240"/>
      </c:scatterChart>
      <c:valAx>
        <c:axId val="2295390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40240"/>
        <c:crosses val="autoZero"/>
        <c:crossBetween val="midCat"/>
        <c:minorUnit val="2"/>
      </c:valAx>
      <c:valAx>
        <c:axId val="2294402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5390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Walk!$J$78</c:f>
          <c:strCache>
            <c:ptCount val="1"/>
            <c:pt idx="0">
              <c:v>Muscle 20</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Walk!$O$665:$O$672</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Walk!$P$665:$P$672</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3945-4017-A57F-7076231D78C3}"/>
            </c:ext>
          </c:extLst>
        </c:ser>
        <c:dLbls>
          <c:showLegendKey val="0"/>
          <c:showVal val="0"/>
          <c:showCatName val="0"/>
          <c:showSerName val="0"/>
          <c:showPercent val="0"/>
          <c:showBubbleSize val="0"/>
        </c:dLbls>
        <c:axId val="229441024"/>
        <c:axId val="229441416"/>
      </c:scatterChart>
      <c:valAx>
        <c:axId val="2294410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41416"/>
        <c:crosses val="autoZero"/>
        <c:crossBetween val="midCat"/>
        <c:minorUnit val="2"/>
      </c:valAx>
      <c:valAx>
        <c:axId val="2294414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410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Walk!$J$86</c:f>
          <c:strCache>
            <c:ptCount val="1"/>
            <c:pt idx="0">
              <c:v>Muscle 21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Walk!$A$689:$A$696</c:f>
              <c:numCache>
                <c:formatCode>0.00</c:formatCode>
                <c:ptCount val="8"/>
                <c:pt idx="0">
                  <c:v>0</c:v>
                </c:pt>
                <c:pt idx="1">
                  <c:v>25</c:v>
                </c:pt>
                <c:pt idx="2">
                  <c:v>50</c:v>
                </c:pt>
                <c:pt idx="3">
                  <c:v>75</c:v>
                </c:pt>
                <c:pt idx="4">
                  <c:v>88</c:v>
                </c:pt>
                <c:pt idx="5">
                  <c:v>94</c:v>
                </c:pt>
                <c:pt idx="6">
                  <c:v>95</c:v>
                </c:pt>
                <c:pt idx="7">
                  <c:v>100</c:v>
                </c:pt>
              </c:numCache>
            </c:numRef>
          </c:xVal>
          <c:yVal>
            <c:numRef>
              <c:f>Walk!$B$689:$B$696</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A1CB-47D6-A362-FD6F4F5392AF}"/>
            </c:ext>
          </c:extLst>
        </c:ser>
        <c:dLbls>
          <c:showLegendKey val="0"/>
          <c:showVal val="0"/>
          <c:showCatName val="0"/>
          <c:showSerName val="0"/>
          <c:showPercent val="0"/>
          <c:showBubbleSize val="0"/>
        </c:dLbls>
        <c:axId val="229442200"/>
        <c:axId val="229442592"/>
      </c:scatterChart>
      <c:valAx>
        <c:axId val="2294422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42592"/>
        <c:crosses val="autoZero"/>
        <c:crossBetween val="midCat"/>
        <c:minorUnit val="2"/>
      </c:valAx>
      <c:valAx>
        <c:axId val="2294425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422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Walk!$J$86</c:f>
          <c:strCache>
            <c:ptCount val="1"/>
            <c:pt idx="0">
              <c:v>Muscle 21</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Walk!$O$689:$O$696</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Walk!$P$689:$P$696</c:f>
              <c:numCache>
                <c:formatCode>0</c:formatCode>
                <c:ptCount val="8"/>
                <c:pt idx="0">
                  <c:v>250</c:v>
                </c:pt>
                <c:pt idx="1">
                  <c:v>250</c:v>
                </c:pt>
                <c:pt idx="2">
                  <c:v>250</c:v>
                </c:pt>
                <c:pt idx="3">
                  <c:v>250</c:v>
                </c:pt>
                <c:pt idx="4">
                  <c:v>250</c:v>
                </c:pt>
                <c:pt idx="5">
                  <c:v>250</c:v>
                </c:pt>
                <c:pt idx="6">
                  <c:v>250</c:v>
                </c:pt>
                <c:pt idx="7">
                  <c:v>250</c:v>
                </c:pt>
              </c:numCache>
            </c:numRef>
          </c:yVal>
          <c:smooth val="0"/>
          <c:extLst>
            <c:ext xmlns:c16="http://schemas.microsoft.com/office/drawing/2014/chart" uri="{C3380CC4-5D6E-409C-BE32-E72D297353CC}">
              <c16:uniqueId val="{00000000-0D51-44A7-843F-67A857EDC093}"/>
            </c:ext>
          </c:extLst>
        </c:ser>
        <c:dLbls>
          <c:showLegendKey val="0"/>
          <c:showVal val="0"/>
          <c:showCatName val="0"/>
          <c:showSerName val="0"/>
          <c:showPercent val="0"/>
          <c:showBubbleSize val="0"/>
        </c:dLbls>
        <c:axId val="229443376"/>
        <c:axId val="229443768"/>
      </c:scatterChart>
      <c:valAx>
        <c:axId val="2294433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43768"/>
        <c:crosses val="autoZero"/>
        <c:crossBetween val="midCat"/>
        <c:minorUnit val="2"/>
      </c:valAx>
      <c:valAx>
        <c:axId val="2294437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4433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Walk!$J$94</c:f>
          <c:strCache>
            <c:ptCount val="1"/>
            <c:pt idx="0">
              <c:v>Muscle 22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Walk!$A$713:$A$720</c:f>
              <c:numCache>
                <c:formatCode>0.00</c:formatCode>
                <c:ptCount val="8"/>
                <c:pt idx="0">
                  <c:v>0</c:v>
                </c:pt>
                <c:pt idx="1">
                  <c:v>25</c:v>
                </c:pt>
                <c:pt idx="2">
                  <c:v>50</c:v>
                </c:pt>
                <c:pt idx="3">
                  <c:v>75</c:v>
                </c:pt>
                <c:pt idx="4">
                  <c:v>88</c:v>
                </c:pt>
                <c:pt idx="5">
                  <c:v>94</c:v>
                </c:pt>
                <c:pt idx="6">
                  <c:v>95</c:v>
                </c:pt>
                <c:pt idx="7">
                  <c:v>100</c:v>
                </c:pt>
              </c:numCache>
            </c:numRef>
          </c:xVal>
          <c:yVal>
            <c:numRef>
              <c:f>Walk!$B$713:$B$720</c:f>
              <c:numCache>
                <c:formatCode>0</c:formatCode>
                <c:ptCount val="8"/>
                <c:pt idx="0">
                  <c:v>150</c:v>
                </c:pt>
                <c:pt idx="1">
                  <c:v>150</c:v>
                </c:pt>
                <c:pt idx="2">
                  <c:v>150</c:v>
                </c:pt>
                <c:pt idx="3">
                  <c:v>150</c:v>
                </c:pt>
                <c:pt idx="4">
                  <c:v>150</c:v>
                </c:pt>
                <c:pt idx="5">
                  <c:v>150</c:v>
                </c:pt>
                <c:pt idx="6">
                  <c:v>150</c:v>
                </c:pt>
                <c:pt idx="7">
                  <c:v>150</c:v>
                </c:pt>
              </c:numCache>
            </c:numRef>
          </c:yVal>
          <c:smooth val="0"/>
          <c:extLst>
            <c:ext xmlns:c16="http://schemas.microsoft.com/office/drawing/2014/chart" uri="{C3380CC4-5D6E-409C-BE32-E72D297353CC}">
              <c16:uniqueId val="{00000000-AB52-407B-9F70-B8F3EC7BF9E3}"/>
            </c:ext>
          </c:extLst>
        </c:ser>
        <c:dLbls>
          <c:showLegendKey val="0"/>
          <c:showVal val="0"/>
          <c:showCatName val="0"/>
          <c:showSerName val="0"/>
          <c:showPercent val="0"/>
          <c:showBubbleSize val="0"/>
        </c:dLbls>
        <c:axId val="229801104"/>
        <c:axId val="229801496"/>
      </c:scatterChart>
      <c:valAx>
        <c:axId val="22980110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1496"/>
        <c:crosses val="autoZero"/>
        <c:crossBetween val="midCat"/>
        <c:minorUnit val="2"/>
      </c:valAx>
      <c:valAx>
        <c:axId val="2298014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110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Walk!$J$94</c:f>
          <c:strCache>
            <c:ptCount val="1"/>
            <c:pt idx="0">
              <c:v>Muscle 22</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Walk!$O$713:$O$720</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Walk!$P$713:$P$720</c:f>
              <c:numCache>
                <c:formatCode>0</c:formatCode>
                <c:ptCount val="8"/>
                <c:pt idx="0">
                  <c:v>25</c:v>
                </c:pt>
                <c:pt idx="1">
                  <c:v>25</c:v>
                </c:pt>
                <c:pt idx="2">
                  <c:v>25</c:v>
                </c:pt>
                <c:pt idx="3">
                  <c:v>25</c:v>
                </c:pt>
                <c:pt idx="4">
                  <c:v>25</c:v>
                </c:pt>
                <c:pt idx="5">
                  <c:v>25</c:v>
                </c:pt>
                <c:pt idx="6">
                  <c:v>25</c:v>
                </c:pt>
                <c:pt idx="7">
                  <c:v>25</c:v>
                </c:pt>
              </c:numCache>
            </c:numRef>
          </c:yVal>
          <c:smooth val="0"/>
          <c:extLst>
            <c:ext xmlns:c16="http://schemas.microsoft.com/office/drawing/2014/chart" uri="{C3380CC4-5D6E-409C-BE32-E72D297353CC}">
              <c16:uniqueId val="{00000000-BD0F-4D36-8278-F676AD67EB14}"/>
            </c:ext>
          </c:extLst>
        </c:ser>
        <c:dLbls>
          <c:showLegendKey val="0"/>
          <c:showVal val="0"/>
          <c:showCatName val="0"/>
          <c:showSerName val="0"/>
          <c:showPercent val="0"/>
          <c:showBubbleSize val="0"/>
        </c:dLbls>
        <c:axId val="229802280"/>
        <c:axId val="229802672"/>
      </c:scatterChart>
      <c:valAx>
        <c:axId val="2298022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2672"/>
        <c:crosses val="autoZero"/>
        <c:crossBetween val="midCat"/>
        <c:minorUnit val="2"/>
      </c:valAx>
      <c:valAx>
        <c:axId val="2298026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22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Walk!$J$102</c:f>
          <c:strCache>
            <c:ptCount val="1"/>
            <c:pt idx="0">
              <c:v>Muscle 23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Walk!$A$737:$A$744</c:f>
              <c:numCache>
                <c:formatCode>0.00</c:formatCode>
                <c:ptCount val="8"/>
                <c:pt idx="0">
                  <c:v>0</c:v>
                </c:pt>
                <c:pt idx="1">
                  <c:v>25</c:v>
                </c:pt>
                <c:pt idx="2">
                  <c:v>50</c:v>
                </c:pt>
                <c:pt idx="3">
                  <c:v>75</c:v>
                </c:pt>
                <c:pt idx="4">
                  <c:v>88</c:v>
                </c:pt>
                <c:pt idx="5">
                  <c:v>94</c:v>
                </c:pt>
                <c:pt idx="6">
                  <c:v>95</c:v>
                </c:pt>
                <c:pt idx="7">
                  <c:v>100</c:v>
                </c:pt>
              </c:numCache>
            </c:numRef>
          </c:xVal>
          <c:yVal>
            <c:numRef>
              <c:f>Walk!$B$737:$B$744</c:f>
              <c:numCache>
                <c:formatCode>0</c:formatCode>
                <c:ptCount val="8"/>
                <c:pt idx="0">
                  <c:v>150</c:v>
                </c:pt>
                <c:pt idx="1">
                  <c:v>150</c:v>
                </c:pt>
                <c:pt idx="2">
                  <c:v>150</c:v>
                </c:pt>
                <c:pt idx="3">
                  <c:v>150</c:v>
                </c:pt>
                <c:pt idx="4">
                  <c:v>150</c:v>
                </c:pt>
                <c:pt idx="5">
                  <c:v>150</c:v>
                </c:pt>
                <c:pt idx="6">
                  <c:v>150</c:v>
                </c:pt>
                <c:pt idx="7">
                  <c:v>150</c:v>
                </c:pt>
              </c:numCache>
            </c:numRef>
          </c:yVal>
          <c:smooth val="0"/>
          <c:extLst>
            <c:ext xmlns:c16="http://schemas.microsoft.com/office/drawing/2014/chart" uri="{C3380CC4-5D6E-409C-BE32-E72D297353CC}">
              <c16:uniqueId val="{00000000-B319-47D3-A6C9-BE8B6840604A}"/>
            </c:ext>
          </c:extLst>
        </c:ser>
        <c:dLbls>
          <c:showLegendKey val="0"/>
          <c:showVal val="0"/>
          <c:showCatName val="0"/>
          <c:showSerName val="0"/>
          <c:showPercent val="0"/>
          <c:showBubbleSize val="0"/>
        </c:dLbls>
        <c:axId val="229803456"/>
        <c:axId val="229803848"/>
      </c:scatterChart>
      <c:valAx>
        <c:axId val="2298034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3848"/>
        <c:crosses val="autoZero"/>
        <c:crossBetween val="midCat"/>
        <c:minorUnit val="2"/>
      </c:valAx>
      <c:valAx>
        <c:axId val="2298038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34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Walk!$J$102</c:f>
          <c:strCache>
            <c:ptCount val="1"/>
            <c:pt idx="0">
              <c:v>Muscle 23</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Walk!$O$737:$O$744</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Walk!$P$737:$P$744</c:f>
              <c:numCache>
                <c:formatCode>0</c:formatCode>
                <c:ptCount val="8"/>
                <c:pt idx="0">
                  <c:v>150</c:v>
                </c:pt>
                <c:pt idx="1">
                  <c:v>150</c:v>
                </c:pt>
                <c:pt idx="2">
                  <c:v>150</c:v>
                </c:pt>
                <c:pt idx="3">
                  <c:v>150</c:v>
                </c:pt>
                <c:pt idx="4">
                  <c:v>150</c:v>
                </c:pt>
                <c:pt idx="5">
                  <c:v>150</c:v>
                </c:pt>
                <c:pt idx="6">
                  <c:v>150</c:v>
                </c:pt>
                <c:pt idx="7">
                  <c:v>150</c:v>
                </c:pt>
              </c:numCache>
            </c:numRef>
          </c:yVal>
          <c:smooth val="0"/>
          <c:extLst>
            <c:ext xmlns:c16="http://schemas.microsoft.com/office/drawing/2014/chart" uri="{C3380CC4-5D6E-409C-BE32-E72D297353CC}">
              <c16:uniqueId val="{00000000-8E88-4013-9D2A-AE245030BAB0}"/>
            </c:ext>
          </c:extLst>
        </c:ser>
        <c:dLbls>
          <c:showLegendKey val="0"/>
          <c:showVal val="0"/>
          <c:showCatName val="0"/>
          <c:showSerName val="0"/>
          <c:showPercent val="0"/>
          <c:showBubbleSize val="0"/>
        </c:dLbls>
        <c:axId val="230489928"/>
        <c:axId val="230490320"/>
      </c:scatterChart>
      <c:valAx>
        <c:axId val="2304899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490320"/>
        <c:crosses val="autoZero"/>
        <c:crossBetween val="midCat"/>
        <c:minorUnit val="2"/>
      </c:valAx>
      <c:valAx>
        <c:axId val="23049032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4899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Stand!$B$46</c:f>
          <c:strCache>
            <c:ptCount val="1"/>
            <c:pt idx="0">
              <c:v>Muscle 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Stand!$A$184:$A$191</c:f>
              <c:numCache>
                <c:formatCode>0.00</c:formatCode>
                <c:ptCount val="8"/>
                <c:pt idx="0">
                  <c:v>0</c:v>
                </c:pt>
                <c:pt idx="1">
                  <c:v>5</c:v>
                </c:pt>
                <c:pt idx="2">
                  <c:v>10.26</c:v>
                </c:pt>
                <c:pt idx="3">
                  <c:v>12.82</c:v>
                </c:pt>
                <c:pt idx="4">
                  <c:v>56</c:v>
                </c:pt>
                <c:pt idx="5">
                  <c:v>78</c:v>
                </c:pt>
                <c:pt idx="6">
                  <c:v>90</c:v>
                </c:pt>
                <c:pt idx="7">
                  <c:v>100</c:v>
                </c:pt>
              </c:numCache>
            </c:numRef>
          </c:xVal>
          <c:yVal>
            <c:numRef>
              <c:f>Stand!$B$184:$B$191</c:f>
              <c:numCache>
                <c:formatCode>0</c:formatCode>
                <c:ptCount val="8"/>
                <c:pt idx="0">
                  <c:v>0</c:v>
                </c:pt>
                <c:pt idx="1">
                  <c:v>0</c:v>
                </c:pt>
                <c:pt idx="2">
                  <c:v>0</c:v>
                </c:pt>
                <c:pt idx="3">
                  <c:v>119</c:v>
                </c:pt>
                <c:pt idx="4">
                  <c:v>119</c:v>
                </c:pt>
                <c:pt idx="5">
                  <c:v>119</c:v>
                </c:pt>
                <c:pt idx="6">
                  <c:v>119</c:v>
                </c:pt>
                <c:pt idx="7">
                  <c:v>119</c:v>
                </c:pt>
              </c:numCache>
            </c:numRef>
          </c:yVal>
          <c:smooth val="0"/>
          <c:extLst>
            <c:ext xmlns:c16="http://schemas.microsoft.com/office/drawing/2014/chart" uri="{C3380CC4-5D6E-409C-BE32-E72D297353CC}">
              <c16:uniqueId val="{00000000-E170-4EF8-BCAB-11C3110F729D}"/>
            </c:ext>
          </c:extLst>
        </c:ser>
        <c:dLbls>
          <c:showLegendKey val="0"/>
          <c:showVal val="0"/>
          <c:showCatName val="0"/>
          <c:showSerName val="0"/>
          <c:showPercent val="0"/>
          <c:showBubbleSize val="0"/>
        </c:dLbls>
        <c:axId val="230491888"/>
        <c:axId val="230492280"/>
      </c:scatterChart>
      <c:valAx>
        <c:axId val="2304918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492280"/>
        <c:crosses val="autoZero"/>
        <c:crossBetween val="midCat"/>
        <c:minorUnit val="2"/>
      </c:valAx>
      <c:valAx>
        <c:axId val="2304922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4918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Stand!$B$54</c:f>
          <c:strCache>
            <c:ptCount val="1"/>
            <c:pt idx="0">
              <c:v>Muscle 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Stand!$A$208:$A$215</c:f>
              <c:numCache>
                <c:formatCode>0.00</c:formatCode>
                <c:ptCount val="8"/>
                <c:pt idx="0">
                  <c:v>0</c:v>
                </c:pt>
                <c:pt idx="1">
                  <c:v>10</c:v>
                </c:pt>
                <c:pt idx="2">
                  <c:v>50</c:v>
                </c:pt>
                <c:pt idx="3">
                  <c:v>75</c:v>
                </c:pt>
                <c:pt idx="4">
                  <c:v>88</c:v>
                </c:pt>
                <c:pt idx="5">
                  <c:v>94</c:v>
                </c:pt>
                <c:pt idx="6">
                  <c:v>95</c:v>
                </c:pt>
                <c:pt idx="7">
                  <c:v>100</c:v>
                </c:pt>
              </c:numCache>
            </c:numRef>
          </c:xVal>
          <c:yVal>
            <c:numRef>
              <c:f>Stand!$B$208:$B$215</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F871-43BE-BAD6-30995D9286F2}"/>
            </c:ext>
          </c:extLst>
        </c:ser>
        <c:dLbls>
          <c:showLegendKey val="0"/>
          <c:showVal val="0"/>
          <c:showCatName val="0"/>
          <c:showSerName val="0"/>
          <c:showPercent val="0"/>
          <c:showBubbleSize val="0"/>
        </c:dLbls>
        <c:axId val="230493064"/>
        <c:axId val="230493456"/>
      </c:scatterChart>
      <c:valAx>
        <c:axId val="2304930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493456"/>
        <c:crosses val="autoZero"/>
        <c:crossBetween val="midCat"/>
        <c:minorUnit val="2"/>
      </c:valAx>
      <c:valAx>
        <c:axId val="2304934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4930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Stand!$B$62</c:f>
          <c:strCache>
            <c:ptCount val="1"/>
            <c:pt idx="0">
              <c:v>Muscle 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Stand!$A$232:$A$239</c:f>
              <c:numCache>
                <c:formatCode>0.00</c:formatCode>
                <c:ptCount val="8"/>
                <c:pt idx="0">
                  <c:v>0</c:v>
                </c:pt>
                <c:pt idx="1">
                  <c:v>5</c:v>
                </c:pt>
                <c:pt idx="2">
                  <c:v>10.256410000000001</c:v>
                </c:pt>
                <c:pt idx="3">
                  <c:v>12.820513</c:v>
                </c:pt>
                <c:pt idx="4">
                  <c:v>89.743589999999998</c:v>
                </c:pt>
                <c:pt idx="5">
                  <c:v>95</c:v>
                </c:pt>
                <c:pt idx="6">
                  <c:v>98</c:v>
                </c:pt>
                <c:pt idx="7">
                  <c:v>100</c:v>
                </c:pt>
              </c:numCache>
            </c:numRef>
          </c:xVal>
          <c:yVal>
            <c:numRef>
              <c:f>Stand!$B$232:$B$239</c:f>
              <c:numCache>
                <c:formatCode>0</c:formatCode>
                <c:ptCount val="8"/>
                <c:pt idx="0">
                  <c:v>0</c:v>
                </c:pt>
                <c:pt idx="1">
                  <c:v>0</c:v>
                </c:pt>
                <c:pt idx="2">
                  <c:v>0</c:v>
                </c:pt>
                <c:pt idx="3">
                  <c:v>60</c:v>
                </c:pt>
                <c:pt idx="4">
                  <c:v>60</c:v>
                </c:pt>
                <c:pt idx="5">
                  <c:v>43</c:v>
                </c:pt>
                <c:pt idx="6">
                  <c:v>36</c:v>
                </c:pt>
                <c:pt idx="7">
                  <c:v>25</c:v>
                </c:pt>
              </c:numCache>
            </c:numRef>
          </c:yVal>
          <c:smooth val="0"/>
          <c:extLst>
            <c:ext xmlns:c16="http://schemas.microsoft.com/office/drawing/2014/chart" uri="{C3380CC4-5D6E-409C-BE32-E72D297353CC}">
              <c16:uniqueId val="{00000000-CE4D-47CB-A9E5-26F0C3B9B8C3}"/>
            </c:ext>
          </c:extLst>
        </c:ser>
        <c:dLbls>
          <c:showLegendKey val="0"/>
          <c:showVal val="0"/>
          <c:showCatName val="0"/>
          <c:showSerName val="0"/>
          <c:showPercent val="0"/>
          <c:showBubbleSize val="0"/>
        </c:dLbls>
        <c:axId val="230191296"/>
        <c:axId val="230191688"/>
      </c:scatterChart>
      <c:valAx>
        <c:axId val="2301912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191688"/>
        <c:crosses val="autoZero"/>
        <c:crossBetween val="midCat"/>
        <c:minorUnit val="2"/>
      </c:valAx>
      <c:valAx>
        <c:axId val="2301916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1912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Stand!$B$70</c:f>
          <c:strCache>
            <c:ptCount val="1"/>
            <c:pt idx="0">
              <c:v>Muscle 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Stand!$A$256:$A$263</c:f>
              <c:numCache>
                <c:formatCode>0.00</c:formatCode>
                <c:ptCount val="8"/>
                <c:pt idx="0">
                  <c:v>0</c:v>
                </c:pt>
                <c:pt idx="1">
                  <c:v>10.26</c:v>
                </c:pt>
                <c:pt idx="2">
                  <c:v>12.82</c:v>
                </c:pt>
                <c:pt idx="3">
                  <c:v>56</c:v>
                </c:pt>
                <c:pt idx="4">
                  <c:v>78</c:v>
                </c:pt>
                <c:pt idx="5">
                  <c:v>89</c:v>
                </c:pt>
                <c:pt idx="6">
                  <c:v>95</c:v>
                </c:pt>
                <c:pt idx="7">
                  <c:v>100</c:v>
                </c:pt>
              </c:numCache>
            </c:numRef>
          </c:xVal>
          <c:yVal>
            <c:numRef>
              <c:f>Stand!$B$256:$B$263</c:f>
              <c:numCache>
                <c:formatCode>0</c:formatCode>
                <c:ptCount val="8"/>
                <c:pt idx="0">
                  <c:v>0</c:v>
                </c:pt>
                <c:pt idx="1">
                  <c:v>0</c:v>
                </c:pt>
                <c:pt idx="2">
                  <c:v>150</c:v>
                </c:pt>
                <c:pt idx="3">
                  <c:v>150</c:v>
                </c:pt>
                <c:pt idx="4">
                  <c:v>150</c:v>
                </c:pt>
                <c:pt idx="5">
                  <c:v>150</c:v>
                </c:pt>
                <c:pt idx="6">
                  <c:v>150</c:v>
                </c:pt>
                <c:pt idx="7">
                  <c:v>150</c:v>
                </c:pt>
              </c:numCache>
            </c:numRef>
          </c:yVal>
          <c:smooth val="0"/>
          <c:extLst>
            <c:ext xmlns:c16="http://schemas.microsoft.com/office/drawing/2014/chart" uri="{C3380CC4-5D6E-409C-BE32-E72D297353CC}">
              <c16:uniqueId val="{00000000-A63B-4879-A418-DDF523A3C382}"/>
            </c:ext>
          </c:extLst>
        </c:ser>
        <c:dLbls>
          <c:showLegendKey val="0"/>
          <c:showVal val="0"/>
          <c:showCatName val="0"/>
          <c:showSerName val="0"/>
          <c:showPercent val="0"/>
          <c:showBubbleSize val="0"/>
        </c:dLbls>
        <c:axId val="230192472"/>
        <c:axId val="230192864"/>
      </c:scatterChart>
      <c:valAx>
        <c:axId val="2301924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192864"/>
        <c:crosses val="autoZero"/>
        <c:crossBetween val="midCat"/>
        <c:minorUnit val="2"/>
      </c:valAx>
      <c:valAx>
        <c:axId val="2301928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1924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Stand!$B$78</c:f>
          <c:strCache>
            <c:ptCount val="1"/>
            <c:pt idx="0">
              <c:v>Muscle 4</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Stand!$A$280:$A$287</c:f>
              <c:numCache>
                <c:formatCode>0.00</c:formatCode>
                <c:ptCount val="8"/>
                <c:pt idx="0">
                  <c:v>0</c:v>
                </c:pt>
                <c:pt idx="1">
                  <c:v>10.26</c:v>
                </c:pt>
                <c:pt idx="2">
                  <c:v>12.82</c:v>
                </c:pt>
                <c:pt idx="3">
                  <c:v>56</c:v>
                </c:pt>
                <c:pt idx="4">
                  <c:v>78</c:v>
                </c:pt>
                <c:pt idx="5">
                  <c:v>89</c:v>
                </c:pt>
                <c:pt idx="6">
                  <c:v>95</c:v>
                </c:pt>
                <c:pt idx="7">
                  <c:v>100</c:v>
                </c:pt>
              </c:numCache>
            </c:numRef>
          </c:xVal>
          <c:yVal>
            <c:numRef>
              <c:f>Stand!$B$280:$B$287</c:f>
              <c:numCache>
                <c:formatCode>0</c:formatCode>
                <c:ptCount val="8"/>
                <c:pt idx="0">
                  <c:v>0</c:v>
                </c:pt>
                <c:pt idx="1">
                  <c:v>0</c:v>
                </c:pt>
                <c:pt idx="2">
                  <c:v>150</c:v>
                </c:pt>
                <c:pt idx="3">
                  <c:v>150</c:v>
                </c:pt>
                <c:pt idx="4">
                  <c:v>150</c:v>
                </c:pt>
                <c:pt idx="5">
                  <c:v>150</c:v>
                </c:pt>
                <c:pt idx="6">
                  <c:v>150</c:v>
                </c:pt>
                <c:pt idx="7">
                  <c:v>150</c:v>
                </c:pt>
              </c:numCache>
            </c:numRef>
          </c:yVal>
          <c:smooth val="0"/>
          <c:extLst>
            <c:ext xmlns:c16="http://schemas.microsoft.com/office/drawing/2014/chart" uri="{C3380CC4-5D6E-409C-BE32-E72D297353CC}">
              <c16:uniqueId val="{00000000-9346-4544-93B0-C71AE15FD3BD}"/>
            </c:ext>
          </c:extLst>
        </c:ser>
        <c:dLbls>
          <c:showLegendKey val="0"/>
          <c:showVal val="0"/>
          <c:showCatName val="0"/>
          <c:showSerName val="0"/>
          <c:showPercent val="0"/>
          <c:showBubbleSize val="0"/>
        </c:dLbls>
        <c:axId val="230193648"/>
        <c:axId val="230194040"/>
      </c:scatterChart>
      <c:valAx>
        <c:axId val="2301936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194040"/>
        <c:crosses val="autoZero"/>
        <c:crossBetween val="midCat"/>
        <c:minorUnit val="2"/>
      </c:valAx>
      <c:valAx>
        <c:axId val="2301940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1936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Stand!$B$86</c:f>
          <c:strCache>
            <c:ptCount val="1"/>
            <c:pt idx="0">
              <c:v>Muscle 5</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Stand!$A$304:$A$311</c:f>
              <c:numCache>
                <c:formatCode>0.00</c:formatCode>
                <c:ptCount val="8"/>
                <c:pt idx="0">
                  <c:v>0</c:v>
                </c:pt>
                <c:pt idx="1">
                  <c:v>10</c:v>
                </c:pt>
                <c:pt idx="2">
                  <c:v>50</c:v>
                </c:pt>
                <c:pt idx="3">
                  <c:v>75</c:v>
                </c:pt>
                <c:pt idx="4">
                  <c:v>88</c:v>
                </c:pt>
                <c:pt idx="5">
                  <c:v>94</c:v>
                </c:pt>
                <c:pt idx="6">
                  <c:v>95</c:v>
                </c:pt>
                <c:pt idx="7">
                  <c:v>100</c:v>
                </c:pt>
              </c:numCache>
            </c:numRef>
          </c:xVal>
          <c:yVal>
            <c:numRef>
              <c:f>Stand!$B$304:$B$311</c:f>
              <c:numCache>
                <c:formatCode>0</c:formatCode>
                <c:ptCount val="8"/>
                <c:pt idx="0">
                  <c:v>100</c:v>
                </c:pt>
                <c:pt idx="1">
                  <c:v>100</c:v>
                </c:pt>
                <c:pt idx="2">
                  <c:v>100</c:v>
                </c:pt>
                <c:pt idx="3">
                  <c:v>100</c:v>
                </c:pt>
                <c:pt idx="4">
                  <c:v>100</c:v>
                </c:pt>
                <c:pt idx="5">
                  <c:v>100</c:v>
                </c:pt>
                <c:pt idx="6">
                  <c:v>100</c:v>
                </c:pt>
                <c:pt idx="7">
                  <c:v>100</c:v>
                </c:pt>
              </c:numCache>
            </c:numRef>
          </c:yVal>
          <c:smooth val="0"/>
          <c:extLst>
            <c:ext xmlns:c16="http://schemas.microsoft.com/office/drawing/2014/chart" uri="{C3380CC4-5D6E-409C-BE32-E72D297353CC}">
              <c16:uniqueId val="{00000000-255F-46BC-9C49-0A4809FB68BF}"/>
            </c:ext>
          </c:extLst>
        </c:ser>
        <c:dLbls>
          <c:showLegendKey val="0"/>
          <c:showVal val="0"/>
          <c:showCatName val="0"/>
          <c:showSerName val="0"/>
          <c:showPercent val="0"/>
          <c:showBubbleSize val="0"/>
        </c:dLbls>
        <c:axId val="230548792"/>
        <c:axId val="230549184"/>
      </c:scatterChart>
      <c:valAx>
        <c:axId val="2305487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549184"/>
        <c:crosses val="autoZero"/>
        <c:crossBetween val="midCat"/>
        <c:minorUnit val="2"/>
      </c:valAx>
      <c:valAx>
        <c:axId val="2305491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5487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Stand!$B$94</c:f>
          <c:strCache>
            <c:ptCount val="1"/>
            <c:pt idx="0">
              <c:v>Muscle 6</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Stand!$A$328:$A$335</c:f>
              <c:numCache>
                <c:formatCode>0.00</c:formatCode>
                <c:ptCount val="8"/>
                <c:pt idx="0">
                  <c:v>0</c:v>
                </c:pt>
                <c:pt idx="1">
                  <c:v>10</c:v>
                </c:pt>
                <c:pt idx="2">
                  <c:v>50</c:v>
                </c:pt>
                <c:pt idx="3">
                  <c:v>75</c:v>
                </c:pt>
                <c:pt idx="4">
                  <c:v>88</c:v>
                </c:pt>
                <c:pt idx="5">
                  <c:v>94</c:v>
                </c:pt>
                <c:pt idx="6">
                  <c:v>95</c:v>
                </c:pt>
                <c:pt idx="7">
                  <c:v>100</c:v>
                </c:pt>
              </c:numCache>
            </c:numRef>
          </c:xVal>
          <c:yVal>
            <c:numRef>
              <c:f>Stand!$B$328:$B$335</c:f>
              <c:numCache>
                <c:formatCode>0</c:formatCode>
                <c:ptCount val="8"/>
                <c:pt idx="0">
                  <c:v>50</c:v>
                </c:pt>
                <c:pt idx="1">
                  <c:v>50</c:v>
                </c:pt>
                <c:pt idx="2">
                  <c:v>50</c:v>
                </c:pt>
                <c:pt idx="3">
                  <c:v>50</c:v>
                </c:pt>
                <c:pt idx="4">
                  <c:v>50</c:v>
                </c:pt>
                <c:pt idx="5">
                  <c:v>50</c:v>
                </c:pt>
                <c:pt idx="6">
                  <c:v>50</c:v>
                </c:pt>
                <c:pt idx="7">
                  <c:v>50</c:v>
                </c:pt>
              </c:numCache>
            </c:numRef>
          </c:yVal>
          <c:smooth val="0"/>
          <c:extLst>
            <c:ext xmlns:c16="http://schemas.microsoft.com/office/drawing/2014/chart" uri="{C3380CC4-5D6E-409C-BE32-E72D297353CC}">
              <c16:uniqueId val="{00000000-2773-47F6-8EBD-3D3C97A5F1F6}"/>
            </c:ext>
          </c:extLst>
        </c:ser>
        <c:dLbls>
          <c:showLegendKey val="0"/>
          <c:showVal val="0"/>
          <c:showCatName val="0"/>
          <c:showSerName val="0"/>
          <c:showPercent val="0"/>
          <c:showBubbleSize val="0"/>
        </c:dLbls>
        <c:axId val="230549968"/>
        <c:axId val="230550360"/>
      </c:scatterChart>
      <c:valAx>
        <c:axId val="2305499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550360"/>
        <c:crosses val="autoZero"/>
        <c:crossBetween val="midCat"/>
        <c:minorUnit val="2"/>
      </c:valAx>
      <c:valAx>
        <c:axId val="2305503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5499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Stand!$B$102</c:f>
          <c:strCache>
            <c:ptCount val="1"/>
            <c:pt idx="0">
              <c:v>Muscle 7</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Stand!$A$352:$A$359</c:f>
              <c:numCache>
                <c:formatCode>0.00</c:formatCode>
                <c:ptCount val="8"/>
                <c:pt idx="0">
                  <c:v>0</c:v>
                </c:pt>
                <c:pt idx="1">
                  <c:v>10</c:v>
                </c:pt>
                <c:pt idx="2">
                  <c:v>50</c:v>
                </c:pt>
                <c:pt idx="3">
                  <c:v>75</c:v>
                </c:pt>
                <c:pt idx="4">
                  <c:v>88</c:v>
                </c:pt>
                <c:pt idx="5">
                  <c:v>94</c:v>
                </c:pt>
                <c:pt idx="6">
                  <c:v>95</c:v>
                </c:pt>
                <c:pt idx="7">
                  <c:v>100</c:v>
                </c:pt>
              </c:numCache>
            </c:numRef>
          </c:xVal>
          <c:yVal>
            <c:numRef>
              <c:f>Stand!$B$352:$B$359</c:f>
              <c:numCache>
                <c:formatCode>0</c:formatCode>
                <c:ptCount val="8"/>
                <c:pt idx="0">
                  <c:v>20</c:v>
                </c:pt>
                <c:pt idx="1">
                  <c:v>20</c:v>
                </c:pt>
                <c:pt idx="2">
                  <c:v>20</c:v>
                </c:pt>
                <c:pt idx="3">
                  <c:v>20</c:v>
                </c:pt>
                <c:pt idx="4">
                  <c:v>20</c:v>
                </c:pt>
                <c:pt idx="5">
                  <c:v>20</c:v>
                </c:pt>
                <c:pt idx="6">
                  <c:v>20</c:v>
                </c:pt>
                <c:pt idx="7">
                  <c:v>20</c:v>
                </c:pt>
              </c:numCache>
            </c:numRef>
          </c:yVal>
          <c:smooth val="0"/>
          <c:extLst>
            <c:ext xmlns:c16="http://schemas.microsoft.com/office/drawing/2014/chart" uri="{C3380CC4-5D6E-409C-BE32-E72D297353CC}">
              <c16:uniqueId val="{00000000-05B9-40C4-B4C4-F24CC60E9F32}"/>
            </c:ext>
          </c:extLst>
        </c:ser>
        <c:dLbls>
          <c:showLegendKey val="0"/>
          <c:showVal val="0"/>
          <c:showCatName val="0"/>
          <c:showSerName val="0"/>
          <c:showPercent val="0"/>
          <c:showBubbleSize val="0"/>
        </c:dLbls>
        <c:axId val="230551144"/>
        <c:axId val="230551536"/>
      </c:scatterChart>
      <c:valAx>
        <c:axId val="2305511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551536"/>
        <c:crosses val="autoZero"/>
        <c:crossBetween val="midCat"/>
        <c:minorUnit val="2"/>
      </c:valAx>
      <c:valAx>
        <c:axId val="2305515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5511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Stand!$B$110</c:f>
          <c:strCache>
            <c:ptCount val="1"/>
            <c:pt idx="0">
              <c:v>Muscle 8</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Stand!$A$376:$A$383</c:f>
              <c:numCache>
                <c:formatCode>0.00</c:formatCode>
                <c:ptCount val="8"/>
                <c:pt idx="0">
                  <c:v>0</c:v>
                </c:pt>
                <c:pt idx="1">
                  <c:v>7.89</c:v>
                </c:pt>
                <c:pt idx="2">
                  <c:v>20</c:v>
                </c:pt>
                <c:pt idx="3">
                  <c:v>55.26</c:v>
                </c:pt>
                <c:pt idx="4">
                  <c:v>60</c:v>
                </c:pt>
                <c:pt idx="5">
                  <c:v>65</c:v>
                </c:pt>
                <c:pt idx="6">
                  <c:v>71.05</c:v>
                </c:pt>
                <c:pt idx="7">
                  <c:v>100</c:v>
                </c:pt>
              </c:numCache>
            </c:numRef>
          </c:xVal>
          <c:yVal>
            <c:numRef>
              <c:f>Stand!$B$376:$B$383</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CF07-4048-9A18-C7D36C39D5F1}"/>
            </c:ext>
          </c:extLst>
        </c:ser>
        <c:dLbls>
          <c:showLegendKey val="0"/>
          <c:showVal val="0"/>
          <c:showCatName val="0"/>
          <c:showSerName val="0"/>
          <c:showPercent val="0"/>
          <c:showBubbleSize val="0"/>
        </c:dLbls>
        <c:axId val="230552320"/>
        <c:axId val="195368448"/>
      </c:scatterChart>
      <c:valAx>
        <c:axId val="2305523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68448"/>
        <c:crosses val="autoZero"/>
        <c:crossBetween val="midCat"/>
        <c:minorUnit val="2"/>
      </c:valAx>
      <c:valAx>
        <c:axId val="1953684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05523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Stand!$B$118</c:f>
          <c:strCache>
            <c:ptCount val="1"/>
            <c:pt idx="0">
              <c:v>Muscle 9</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Stand!$A$400:$A$407</c:f>
              <c:numCache>
                <c:formatCode>0.00</c:formatCode>
                <c:ptCount val="8"/>
                <c:pt idx="0">
                  <c:v>0</c:v>
                </c:pt>
                <c:pt idx="1">
                  <c:v>7.89</c:v>
                </c:pt>
                <c:pt idx="2">
                  <c:v>20</c:v>
                </c:pt>
                <c:pt idx="3">
                  <c:v>55.26</c:v>
                </c:pt>
                <c:pt idx="4">
                  <c:v>60</c:v>
                </c:pt>
                <c:pt idx="5">
                  <c:v>65</c:v>
                </c:pt>
                <c:pt idx="6">
                  <c:v>71.05</c:v>
                </c:pt>
                <c:pt idx="7">
                  <c:v>100</c:v>
                </c:pt>
              </c:numCache>
            </c:numRef>
          </c:xVal>
          <c:yVal>
            <c:numRef>
              <c:f>Stand!$B$400:$B$407</c:f>
              <c:numCache>
                <c:formatCode>0</c:formatCode>
                <c:ptCount val="8"/>
                <c:pt idx="0">
                  <c:v>150</c:v>
                </c:pt>
                <c:pt idx="1">
                  <c:v>150</c:v>
                </c:pt>
                <c:pt idx="2">
                  <c:v>150</c:v>
                </c:pt>
                <c:pt idx="3">
                  <c:v>150</c:v>
                </c:pt>
                <c:pt idx="4">
                  <c:v>150</c:v>
                </c:pt>
                <c:pt idx="5">
                  <c:v>150</c:v>
                </c:pt>
                <c:pt idx="6">
                  <c:v>150</c:v>
                </c:pt>
                <c:pt idx="7">
                  <c:v>150</c:v>
                </c:pt>
              </c:numCache>
            </c:numRef>
          </c:yVal>
          <c:smooth val="0"/>
          <c:extLst>
            <c:ext xmlns:c16="http://schemas.microsoft.com/office/drawing/2014/chart" uri="{C3380CC4-5D6E-409C-BE32-E72D297353CC}">
              <c16:uniqueId val="{00000000-BE17-4A0D-A7CD-3B05A07CACBE}"/>
            </c:ext>
          </c:extLst>
        </c:ser>
        <c:dLbls>
          <c:showLegendKey val="0"/>
          <c:showVal val="0"/>
          <c:showCatName val="0"/>
          <c:showSerName val="0"/>
          <c:showPercent val="0"/>
          <c:showBubbleSize val="0"/>
        </c:dLbls>
        <c:axId val="195369232"/>
        <c:axId val="195369624"/>
      </c:scatterChart>
      <c:valAx>
        <c:axId val="19536923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69624"/>
        <c:crosses val="autoZero"/>
        <c:crossBetween val="midCat"/>
        <c:minorUnit val="2"/>
      </c:valAx>
      <c:valAx>
        <c:axId val="1953696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536923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Stand!$B$126</c:f>
          <c:strCache>
            <c:ptCount val="1"/>
            <c:pt idx="0">
              <c:v>Muscle 10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Stand!$A$424:$A$431</c:f>
              <c:numCache>
                <c:formatCode>0.00</c:formatCode>
                <c:ptCount val="8"/>
                <c:pt idx="0">
                  <c:v>0</c:v>
                </c:pt>
                <c:pt idx="1">
                  <c:v>7.89</c:v>
                </c:pt>
                <c:pt idx="2">
                  <c:v>20</c:v>
                </c:pt>
                <c:pt idx="3">
                  <c:v>55.26</c:v>
                </c:pt>
                <c:pt idx="4">
                  <c:v>60</c:v>
                </c:pt>
                <c:pt idx="5">
                  <c:v>65</c:v>
                </c:pt>
                <c:pt idx="6">
                  <c:v>71.05</c:v>
                </c:pt>
                <c:pt idx="7">
                  <c:v>100</c:v>
                </c:pt>
              </c:numCache>
            </c:numRef>
          </c:xVal>
          <c:yVal>
            <c:numRef>
              <c:f>Stand!$B$424:$B$431</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7846-4D58-87BA-33B3397203ED}"/>
            </c:ext>
          </c:extLst>
        </c:ser>
        <c:dLbls>
          <c:showLegendKey val="0"/>
          <c:showVal val="0"/>
          <c:showCatName val="0"/>
          <c:showSerName val="0"/>
          <c:showPercent val="0"/>
          <c:showBubbleSize val="0"/>
        </c:dLbls>
        <c:axId val="231320960"/>
        <c:axId val="231321352"/>
      </c:scatterChart>
      <c:valAx>
        <c:axId val="2313209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321352"/>
        <c:crosses val="autoZero"/>
        <c:crossBetween val="midCat"/>
        <c:minorUnit val="2"/>
      </c:valAx>
      <c:valAx>
        <c:axId val="2313213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3209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Stand!$B$134</c:f>
          <c:strCache>
            <c:ptCount val="1"/>
            <c:pt idx="0">
              <c:v>Muscle 11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Stand!$A$448:$A$455</c:f>
              <c:numCache>
                <c:formatCode>0.00</c:formatCode>
                <c:ptCount val="8"/>
                <c:pt idx="0">
                  <c:v>0</c:v>
                </c:pt>
                <c:pt idx="1">
                  <c:v>7.89</c:v>
                </c:pt>
                <c:pt idx="2">
                  <c:v>20</c:v>
                </c:pt>
                <c:pt idx="3">
                  <c:v>55.26</c:v>
                </c:pt>
                <c:pt idx="4">
                  <c:v>60</c:v>
                </c:pt>
                <c:pt idx="5">
                  <c:v>65</c:v>
                </c:pt>
                <c:pt idx="6">
                  <c:v>71.05</c:v>
                </c:pt>
                <c:pt idx="7">
                  <c:v>100</c:v>
                </c:pt>
              </c:numCache>
            </c:numRef>
          </c:xVal>
          <c:yVal>
            <c:numRef>
              <c:f>Stand!$B$448:$B$455</c:f>
              <c:numCache>
                <c:formatCode>0</c:formatCode>
                <c:ptCount val="8"/>
                <c:pt idx="0">
                  <c:v>100</c:v>
                </c:pt>
                <c:pt idx="1">
                  <c:v>100</c:v>
                </c:pt>
                <c:pt idx="2">
                  <c:v>100</c:v>
                </c:pt>
                <c:pt idx="3">
                  <c:v>100</c:v>
                </c:pt>
                <c:pt idx="4">
                  <c:v>100</c:v>
                </c:pt>
                <c:pt idx="5">
                  <c:v>100</c:v>
                </c:pt>
                <c:pt idx="6">
                  <c:v>100</c:v>
                </c:pt>
                <c:pt idx="7">
                  <c:v>100</c:v>
                </c:pt>
              </c:numCache>
            </c:numRef>
          </c:yVal>
          <c:smooth val="0"/>
          <c:extLst>
            <c:ext xmlns:c16="http://schemas.microsoft.com/office/drawing/2014/chart" uri="{C3380CC4-5D6E-409C-BE32-E72D297353CC}">
              <c16:uniqueId val="{00000000-0220-49A5-959E-04CDD7A0C377}"/>
            </c:ext>
          </c:extLst>
        </c:ser>
        <c:dLbls>
          <c:showLegendKey val="0"/>
          <c:showVal val="0"/>
          <c:showCatName val="0"/>
          <c:showSerName val="0"/>
          <c:showPercent val="0"/>
          <c:showBubbleSize val="0"/>
        </c:dLbls>
        <c:axId val="231322136"/>
        <c:axId val="231322528"/>
      </c:scatterChart>
      <c:valAx>
        <c:axId val="2313221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322528"/>
        <c:crosses val="autoZero"/>
        <c:crossBetween val="midCat"/>
        <c:minorUnit val="2"/>
      </c:valAx>
      <c:valAx>
        <c:axId val="2313225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3221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Stand!$B$142</c:f>
          <c:strCache>
            <c:ptCount val="1"/>
            <c:pt idx="0">
              <c:v>Muscle 12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Stand!$A$473:$A$480</c:f>
              <c:numCache>
                <c:formatCode>0.00</c:formatCode>
                <c:ptCount val="8"/>
                <c:pt idx="0">
                  <c:v>0</c:v>
                </c:pt>
                <c:pt idx="1">
                  <c:v>5</c:v>
                </c:pt>
                <c:pt idx="2">
                  <c:v>10.256410000000001</c:v>
                </c:pt>
                <c:pt idx="3">
                  <c:v>12.820513</c:v>
                </c:pt>
                <c:pt idx="4">
                  <c:v>56</c:v>
                </c:pt>
                <c:pt idx="5">
                  <c:v>78</c:v>
                </c:pt>
                <c:pt idx="6">
                  <c:v>95</c:v>
                </c:pt>
                <c:pt idx="7">
                  <c:v>100</c:v>
                </c:pt>
              </c:numCache>
            </c:numRef>
          </c:xVal>
          <c:yVal>
            <c:numRef>
              <c:f>Stand!$B$473:$B$480</c:f>
              <c:numCache>
                <c:formatCode>0</c:formatCode>
                <c:ptCount val="8"/>
                <c:pt idx="0">
                  <c:v>0</c:v>
                </c:pt>
                <c:pt idx="1">
                  <c:v>0</c:v>
                </c:pt>
                <c:pt idx="2">
                  <c:v>0</c:v>
                </c:pt>
                <c:pt idx="3">
                  <c:v>150</c:v>
                </c:pt>
                <c:pt idx="4">
                  <c:v>150</c:v>
                </c:pt>
                <c:pt idx="5">
                  <c:v>150</c:v>
                </c:pt>
                <c:pt idx="6">
                  <c:v>150</c:v>
                </c:pt>
                <c:pt idx="7">
                  <c:v>150</c:v>
                </c:pt>
              </c:numCache>
            </c:numRef>
          </c:yVal>
          <c:smooth val="0"/>
          <c:extLst>
            <c:ext xmlns:c16="http://schemas.microsoft.com/office/drawing/2014/chart" uri="{C3380CC4-5D6E-409C-BE32-E72D297353CC}">
              <c16:uniqueId val="{00000000-48FE-4EE7-B49E-863B96C17266}"/>
            </c:ext>
          </c:extLst>
        </c:ser>
        <c:dLbls>
          <c:showLegendKey val="0"/>
          <c:showVal val="0"/>
          <c:showCatName val="0"/>
          <c:showSerName val="0"/>
          <c:showPercent val="0"/>
          <c:showBubbleSize val="0"/>
        </c:dLbls>
        <c:axId val="231380200"/>
        <c:axId val="231380592"/>
      </c:scatterChart>
      <c:valAx>
        <c:axId val="2313802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380592"/>
        <c:crosses val="autoZero"/>
        <c:crossBetween val="midCat"/>
        <c:minorUnit val="2"/>
      </c:valAx>
      <c:valAx>
        <c:axId val="2313805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3802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Stand!$B$150</c:f>
          <c:strCache>
            <c:ptCount val="1"/>
            <c:pt idx="0">
              <c:v>Muscle 13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Stand!$A$497:$A$504</c:f>
              <c:numCache>
                <c:formatCode>0.00</c:formatCode>
                <c:ptCount val="8"/>
                <c:pt idx="0">
                  <c:v>0</c:v>
                </c:pt>
                <c:pt idx="1">
                  <c:v>10</c:v>
                </c:pt>
                <c:pt idx="2">
                  <c:v>50</c:v>
                </c:pt>
                <c:pt idx="3">
                  <c:v>75</c:v>
                </c:pt>
                <c:pt idx="4">
                  <c:v>88</c:v>
                </c:pt>
                <c:pt idx="5">
                  <c:v>94</c:v>
                </c:pt>
                <c:pt idx="6">
                  <c:v>95</c:v>
                </c:pt>
                <c:pt idx="7">
                  <c:v>100</c:v>
                </c:pt>
              </c:numCache>
            </c:numRef>
          </c:xVal>
          <c:yVal>
            <c:numRef>
              <c:f>Stand!$B$497:$B$504</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37C3-4647-8E42-EF4C041D5782}"/>
            </c:ext>
          </c:extLst>
        </c:ser>
        <c:dLbls>
          <c:showLegendKey val="0"/>
          <c:showVal val="0"/>
          <c:showCatName val="0"/>
          <c:showSerName val="0"/>
          <c:showPercent val="0"/>
          <c:showBubbleSize val="0"/>
        </c:dLbls>
        <c:axId val="231381376"/>
        <c:axId val="231381768"/>
      </c:scatterChart>
      <c:valAx>
        <c:axId val="2313813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381768"/>
        <c:crosses val="autoZero"/>
        <c:crossBetween val="midCat"/>
        <c:minorUnit val="2"/>
      </c:valAx>
      <c:valAx>
        <c:axId val="2313817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3813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Stand!$B$158</c:f>
          <c:strCache>
            <c:ptCount val="1"/>
            <c:pt idx="0">
              <c:v>Muscle 14</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Stand!$A$521:$A$528</c:f>
              <c:numCache>
                <c:formatCode>0.00</c:formatCode>
                <c:ptCount val="8"/>
                <c:pt idx="0">
                  <c:v>0</c:v>
                </c:pt>
                <c:pt idx="1">
                  <c:v>10.26</c:v>
                </c:pt>
                <c:pt idx="2">
                  <c:v>12.82</c:v>
                </c:pt>
                <c:pt idx="3">
                  <c:v>56</c:v>
                </c:pt>
                <c:pt idx="4">
                  <c:v>78</c:v>
                </c:pt>
                <c:pt idx="5">
                  <c:v>89</c:v>
                </c:pt>
                <c:pt idx="6">
                  <c:v>95</c:v>
                </c:pt>
                <c:pt idx="7">
                  <c:v>100</c:v>
                </c:pt>
              </c:numCache>
            </c:numRef>
          </c:xVal>
          <c:yVal>
            <c:numRef>
              <c:f>Stand!$B$521:$B$528</c:f>
              <c:numCache>
                <c:formatCode>0</c:formatCode>
                <c:ptCount val="8"/>
                <c:pt idx="0">
                  <c:v>0</c:v>
                </c:pt>
                <c:pt idx="1">
                  <c:v>0</c:v>
                </c:pt>
                <c:pt idx="2">
                  <c:v>150</c:v>
                </c:pt>
                <c:pt idx="3">
                  <c:v>150</c:v>
                </c:pt>
                <c:pt idx="4">
                  <c:v>150</c:v>
                </c:pt>
                <c:pt idx="5">
                  <c:v>150</c:v>
                </c:pt>
                <c:pt idx="6">
                  <c:v>150</c:v>
                </c:pt>
                <c:pt idx="7">
                  <c:v>150</c:v>
                </c:pt>
              </c:numCache>
            </c:numRef>
          </c:yVal>
          <c:smooth val="0"/>
          <c:extLst>
            <c:ext xmlns:c16="http://schemas.microsoft.com/office/drawing/2014/chart" uri="{C3380CC4-5D6E-409C-BE32-E72D297353CC}">
              <c16:uniqueId val="{00000000-0B94-455D-A37E-67228248D7C3}"/>
            </c:ext>
          </c:extLst>
        </c:ser>
        <c:dLbls>
          <c:showLegendKey val="0"/>
          <c:showVal val="0"/>
          <c:showCatName val="0"/>
          <c:showSerName val="0"/>
          <c:showPercent val="0"/>
          <c:showBubbleSize val="0"/>
        </c:dLbls>
        <c:axId val="231382552"/>
        <c:axId val="231382944"/>
      </c:scatterChart>
      <c:valAx>
        <c:axId val="2313825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382944"/>
        <c:crosses val="autoZero"/>
        <c:crossBetween val="midCat"/>
        <c:minorUnit val="2"/>
      </c:valAx>
      <c:valAx>
        <c:axId val="2313829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3825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Stand!$B$166</c:f>
          <c:strCache>
            <c:ptCount val="1"/>
            <c:pt idx="0">
              <c:v>Muscle 15</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Stand!$A$545:$A$552</c:f>
              <c:numCache>
                <c:formatCode>0.00</c:formatCode>
                <c:ptCount val="8"/>
                <c:pt idx="0">
                  <c:v>0</c:v>
                </c:pt>
                <c:pt idx="1">
                  <c:v>10.26</c:v>
                </c:pt>
                <c:pt idx="2">
                  <c:v>12.82</c:v>
                </c:pt>
                <c:pt idx="3">
                  <c:v>56</c:v>
                </c:pt>
                <c:pt idx="4">
                  <c:v>78</c:v>
                </c:pt>
                <c:pt idx="5">
                  <c:v>89</c:v>
                </c:pt>
                <c:pt idx="6">
                  <c:v>95</c:v>
                </c:pt>
                <c:pt idx="7">
                  <c:v>100</c:v>
                </c:pt>
              </c:numCache>
            </c:numRef>
          </c:xVal>
          <c:yVal>
            <c:numRef>
              <c:f>Stand!$B$545:$B$552</c:f>
              <c:numCache>
                <c:formatCode>0</c:formatCode>
                <c:ptCount val="8"/>
                <c:pt idx="0">
                  <c:v>0</c:v>
                </c:pt>
                <c:pt idx="1">
                  <c:v>0</c:v>
                </c:pt>
                <c:pt idx="2">
                  <c:v>150</c:v>
                </c:pt>
                <c:pt idx="3">
                  <c:v>150</c:v>
                </c:pt>
                <c:pt idx="4">
                  <c:v>150</c:v>
                </c:pt>
                <c:pt idx="5">
                  <c:v>150</c:v>
                </c:pt>
                <c:pt idx="6">
                  <c:v>150</c:v>
                </c:pt>
                <c:pt idx="7">
                  <c:v>150</c:v>
                </c:pt>
              </c:numCache>
            </c:numRef>
          </c:yVal>
          <c:smooth val="0"/>
          <c:extLst>
            <c:ext xmlns:c16="http://schemas.microsoft.com/office/drawing/2014/chart" uri="{C3380CC4-5D6E-409C-BE32-E72D297353CC}">
              <c16:uniqueId val="{00000000-3E7B-4B5C-B591-23D5953962F0}"/>
            </c:ext>
          </c:extLst>
        </c:ser>
        <c:dLbls>
          <c:showLegendKey val="0"/>
          <c:showVal val="0"/>
          <c:showCatName val="0"/>
          <c:showSerName val="0"/>
          <c:showPercent val="0"/>
          <c:showBubbleSize val="0"/>
        </c:dLbls>
        <c:axId val="231275840"/>
        <c:axId val="231276232"/>
      </c:scatterChart>
      <c:valAx>
        <c:axId val="2312758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276232"/>
        <c:crosses val="autoZero"/>
        <c:crossBetween val="midCat"/>
        <c:minorUnit val="2"/>
      </c:valAx>
      <c:valAx>
        <c:axId val="2312762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2758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Stand!$J$46</c:f>
          <c:strCache>
            <c:ptCount val="1"/>
            <c:pt idx="0">
              <c:v>Muscle 16</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Stand!$A$569:$A$576</c:f>
              <c:numCache>
                <c:formatCode>0.00</c:formatCode>
                <c:ptCount val="8"/>
                <c:pt idx="0">
                  <c:v>0</c:v>
                </c:pt>
                <c:pt idx="1">
                  <c:v>5</c:v>
                </c:pt>
                <c:pt idx="2">
                  <c:v>10.26</c:v>
                </c:pt>
                <c:pt idx="3">
                  <c:v>12.82</c:v>
                </c:pt>
                <c:pt idx="4">
                  <c:v>56</c:v>
                </c:pt>
                <c:pt idx="5">
                  <c:v>78</c:v>
                </c:pt>
                <c:pt idx="6">
                  <c:v>95</c:v>
                </c:pt>
                <c:pt idx="7">
                  <c:v>100</c:v>
                </c:pt>
              </c:numCache>
            </c:numRef>
          </c:xVal>
          <c:yVal>
            <c:numRef>
              <c:f>Stand!$B$569:$B$576</c:f>
              <c:numCache>
                <c:formatCode>0</c:formatCode>
                <c:ptCount val="8"/>
                <c:pt idx="0">
                  <c:v>0</c:v>
                </c:pt>
                <c:pt idx="1">
                  <c:v>0</c:v>
                </c:pt>
                <c:pt idx="2">
                  <c:v>0</c:v>
                </c:pt>
                <c:pt idx="3">
                  <c:v>25</c:v>
                </c:pt>
                <c:pt idx="4">
                  <c:v>25</c:v>
                </c:pt>
                <c:pt idx="5">
                  <c:v>25</c:v>
                </c:pt>
                <c:pt idx="6">
                  <c:v>25</c:v>
                </c:pt>
                <c:pt idx="7">
                  <c:v>25</c:v>
                </c:pt>
              </c:numCache>
            </c:numRef>
          </c:yVal>
          <c:smooth val="0"/>
          <c:extLst>
            <c:ext xmlns:c16="http://schemas.microsoft.com/office/drawing/2014/chart" uri="{C3380CC4-5D6E-409C-BE32-E72D297353CC}">
              <c16:uniqueId val="{00000000-FB9F-4288-B695-DEB9D285EBA5}"/>
            </c:ext>
          </c:extLst>
        </c:ser>
        <c:dLbls>
          <c:showLegendKey val="0"/>
          <c:showVal val="0"/>
          <c:showCatName val="0"/>
          <c:showSerName val="0"/>
          <c:showPercent val="0"/>
          <c:showBubbleSize val="0"/>
        </c:dLbls>
        <c:axId val="231276624"/>
        <c:axId val="231277016"/>
      </c:scatterChart>
      <c:valAx>
        <c:axId val="2312766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277016"/>
        <c:crosses val="autoZero"/>
        <c:crossBetween val="midCat"/>
        <c:minorUnit val="2"/>
      </c:valAx>
      <c:valAx>
        <c:axId val="2312770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2766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Stand!$J$54</c:f>
          <c:strCache>
            <c:ptCount val="1"/>
            <c:pt idx="0">
              <c:v>Muscle 17</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Stand!$A$593:$A$600</c:f>
              <c:numCache>
                <c:formatCode>0.00</c:formatCode>
                <c:ptCount val="8"/>
                <c:pt idx="0">
                  <c:v>0</c:v>
                </c:pt>
                <c:pt idx="1">
                  <c:v>10</c:v>
                </c:pt>
                <c:pt idx="2">
                  <c:v>50</c:v>
                </c:pt>
                <c:pt idx="3">
                  <c:v>75</c:v>
                </c:pt>
                <c:pt idx="4">
                  <c:v>88</c:v>
                </c:pt>
                <c:pt idx="5">
                  <c:v>94</c:v>
                </c:pt>
                <c:pt idx="6">
                  <c:v>95</c:v>
                </c:pt>
                <c:pt idx="7">
                  <c:v>100</c:v>
                </c:pt>
              </c:numCache>
            </c:numRef>
          </c:xVal>
          <c:yVal>
            <c:numRef>
              <c:f>Stand!$B$593:$B$600</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8632-49AF-9E6C-9F0A1B163D6A}"/>
            </c:ext>
          </c:extLst>
        </c:ser>
        <c:dLbls>
          <c:showLegendKey val="0"/>
          <c:showVal val="0"/>
          <c:showCatName val="0"/>
          <c:showSerName val="0"/>
          <c:showPercent val="0"/>
          <c:showBubbleSize val="0"/>
        </c:dLbls>
        <c:axId val="231278192"/>
        <c:axId val="231278584"/>
      </c:scatterChart>
      <c:valAx>
        <c:axId val="2312781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278584"/>
        <c:crosses val="autoZero"/>
        <c:crossBetween val="midCat"/>
        <c:minorUnit val="2"/>
      </c:valAx>
      <c:valAx>
        <c:axId val="2312785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2781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Stand!$J$62</c:f>
          <c:strCache>
            <c:ptCount val="1"/>
            <c:pt idx="0">
              <c:v>Muscle 18</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Stand!$A$617:$A$624</c:f>
              <c:numCache>
                <c:formatCode>0.00</c:formatCode>
                <c:ptCount val="8"/>
                <c:pt idx="0">
                  <c:v>0</c:v>
                </c:pt>
                <c:pt idx="1">
                  <c:v>10</c:v>
                </c:pt>
                <c:pt idx="2">
                  <c:v>50</c:v>
                </c:pt>
                <c:pt idx="3">
                  <c:v>75</c:v>
                </c:pt>
                <c:pt idx="4">
                  <c:v>88</c:v>
                </c:pt>
                <c:pt idx="5">
                  <c:v>94</c:v>
                </c:pt>
                <c:pt idx="6">
                  <c:v>95</c:v>
                </c:pt>
                <c:pt idx="7">
                  <c:v>100</c:v>
                </c:pt>
              </c:numCache>
            </c:numRef>
          </c:xVal>
          <c:yVal>
            <c:numRef>
              <c:f>Stand!$B$617:$B$624</c:f>
              <c:numCache>
                <c:formatCode>0</c:formatCode>
                <c:ptCount val="8"/>
                <c:pt idx="0">
                  <c:v>100</c:v>
                </c:pt>
                <c:pt idx="1">
                  <c:v>100</c:v>
                </c:pt>
                <c:pt idx="2">
                  <c:v>100</c:v>
                </c:pt>
                <c:pt idx="3">
                  <c:v>100</c:v>
                </c:pt>
                <c:pt idx="4">
                  <c:v>100</c:v>
                </c:pt>
                <c:pt idx="5">
                  <c:v>100</c:v>
                </c:pt>
                <c:pt idx="6">
                  <c:v>100</c:v>
                </c:pt>
                <c:pt idx="7">
                  <c:v>100</c:v>
                </c:pt>
              </c:numCache>
            </c:numRef>
          </c:yVal>
          <c:smooth val="0"/>
          <c:extLst>
            <c:ext xmlns:c16="http://schemas.microsoft.com/office/drawing/2014/chart" uri="{C3380CC4-5D6E-409C-BE32-E72D297353CC}">
              <c16:uniqueId val="{00000000-D19B-4768-8295-BB853B84AB59}"/>
            </c:ext>
          </c:extLst>
        </c:ser>
        <c:dLbls>
          <c:showLegendKey val="0"/>
          <c:showVal val="0"/>
          <c:showCatName val="0"/>
          <c:showSerName val="0"/>
          <c:showPercent val="0"/>
          <c:showBubbleSize val="0"/>
        </c:dLbls>
        <c:axId val="231278976"/>
        <c:axId val="231279368"/>
      </c:scatterChart>
      <c:valAx>
        <c:axId val="2312789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279368"/>
        <c:crosses val="autoZero"/>
        <c:crossBetween val="midCat"/>
        <c:minorUnit val="2"/>
      </c:valAx>
      <c:valAx>
        <c:axId val="2312793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2789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Stand!$J$70</c:f>
          <c:strCache>
            <c:ptCount val="1"/>
            <c:pt idx="0">
              <c:v>Muscle 19</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Stand!$A$641:$A$648</c:f>
              <c:numCache>
                <c:formatCode>0.00</c:formatCode>
                <c:ptCount val="8"/>
                <c:pt idx="0">
                  <c:v>0</c:v>
                </c:pt>
                <c:pt idx="1">
                  <c:v>10</c:v>
                </c:pt>
                <c:pt idx="2">
                  <c:v>50</c:v>
                </c:pt>
                <c:pt idx="3">
                  <c:v>75</c:v>
                </c:pt>
                <c:pt idx="4">
                  <c:v>88</c:v>
                </c:pt>
                <c:pt idx="5">
                  <c:v>94</c:v>
                </c:pt>
                <c:pt idx="6">
                  <c:v>95</c:v>
                </c:pt>
                <c:pt idx="7">
                  <c:v>100</c:v>
                </c:pt>
              </c:numCache>
            </c:numRef>
          </c:xVal>
          <c:yVal>
            <c:numRef>
              <c:f>Stand!$B$641:$B$648</c:f>
              <c:numCache>
                <c:formatCode>0</c:formatCode>
                <c:ptCount val="8"/>
                <c:pt idx="0">
                  <c:v>50</c:v>
                </c:pt>
                <c:pt idx="1">
                  <c:v>50</c:v>
                </c:pt>
                <c:pt idx="2">
                  <c:v>50</c:v>
                </c:pt>
                <c:pt idx="3">
                  <c:v>50</c:v>
                </c:pt>
                <c:pt idx="4">
                  <c:v>50</c:v>
                </c:pt>
                <c:pt idx="5">
                  <c:v>50</c:v>
                </c:pt>
                <c:pt idx="6">
                  <c:v>50</c:v>
                </c:pt>
                <c:pt idx="7">
                  <c:v>50</c:v>
                </c:pt>
              </c:numCache>
            </c:numRef>
          </c:yVal>
          <c:smooth val="0"/>
          <c:extLst>
            <c:ext xmlns:c16="http://schemas.microsoft.com/office/drawing/2014/chart" uri="{C3380CC4-5D6E-409C-BE32-E72D297353CC}">
              <c16:uniqueId val="{00000000-E3D5-4E55-BDCC-47E3563FDB5B}"/>
            </c:ext>
          </c:extLst>
        </c:ser>
        <c:dLbls>
          <c:showLegendKey val="0"/>
          <c:showVal val="0"/>
          <c:showCatName val="0"/>
          <c:showSerName val="0"/>
          <c:showPercent val="0"/>
          <c:showBubbleSize val="0"/>
        </c:dLbls>
        <c:axId val="231280152"/>
        <c:axId val="231280544"/>
      </c:scatterChart>
      <c:valAx>
        <c:axId val="2312801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280544"/>
        <c:crosses val="autoZero"/>
        <c:crossBetween val="midCat"/>
        <c:minorUnit val="2"/>
      </c:valAx>
      <c:valAx>
        <c:axId val="2312805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2801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Stand!$J$78</c:f>
          <c:strCache>
            <c:ptCount val="1"/>
            <c:pt idx="0">
              <c:v>Muscle 20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Stand!$A$665:$A$672</c:f>
              <c:numCache>
                <c:formatCode>0.00</c:formatCode>
                <c:ptCount val="8"/>
                <c:pt idx="0">
                  <c:v>0</c:v>
                </c:pt>
                <c:pt idx="1">
                  <c:v>7.89</c:v>
                </c:pt>
                <c:pt idx="2">
                  <c:v>20</c:v>
                </c:pt>
                <c:pt idx="3">
                  <c:v>55.26</c:v>
                </c:pt>
                <c:pt idx="4">
                  <c:v>60</c:v>
                </c:pt>
                <c:pt idx="5">
                  <c:v>65</c:v>
                </c:pt>
                <c:pt idx="6">
                  <c:v>71.05</c:v>
                </c:pt>
                <c:pt idx="7">
                  <c:v>100</c:v>
                </c:pt>
              </c:numCache>
            </c:numRef>
          </c:xVal>
          <c:yVal>
            <c:numRef>
              <c:f>Stand!$B$665:$B$672</c:f>
              <c:numCache>
                <c:formatCode>0</c:formatCode>
                <c:ptCount val="8"/>
                <c:pt idx="0">
                  <c:v>200</c:v>
                </c:pt>
                <c:pt idx="1">
                  <c:v>200</c:v>
                </c:pt>
                <c:pt idx="2">
                  <c:v>200</c:v>
                </c:pt>
                <c:pt idx="3">
                  <c:v>200</c:v>
                </c:pt>
                <c:pt idx="4">
                  <c:v>200</c:v>
                </c:pt>
                <c:pt idx="5">
                  <c:v>200</c:v>
                </c:pt>
                <c:pt idx="6">
                  <c:v>200</c:v>
                </c:pt>
                <c:pt idx="7">
                  <c:v>200</c:v>
                </c:pt>
              </c:numCache>
            </c:numRef>
          </c:yVal>
          <c:smooth val="0"/>
          <c:extLst>
            <c:ext xmlns:c16="http://schemas.microsoft.com/office/drawing/2014/chart" uri="{C3380CC4-5D6E-409C-BE32-E72D297353CC}">
              <c16:uniqueId val="{00000000-6EB9-4A1F-8AC8-8627782DEC6E}"/>
            </c:ext>
          </c:extLst>
        </c:ser>
        <c:dLbls>
          <c:showLegendKey val="0"/>
          <c:showVal val="0"/>
          <c:showCatName val="0"/>
          <c:showSerName val="0"/>
          <c:showPercent val="0"/>
          <c:showBubbleSize val="0"/>
        </c:dLbls>
        <c:axId val="231281328"/>
        <c:axId val="231281720"/>
      </c:scatterChart>
      <c:valAx>
        <c:axId val="2312813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281720"/>
        <c:crosses val="autoZero"/>
        <c:crossBetween val="midCat"/>
        <c:minorUnit val="2"/>
      </c:valAx>
      <c:valAx>
        <c:axId val="23128172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2813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Stand!$J$86</c:f>
          <c:strCache>
            <c:ptCount val="1"/>
            <c:pt idx="0">
              <c:v>Muscle 21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Stand!$A$689:$A$696</c:f>
              <c:numCache>
                <c:formatCode>0.00</c:formatCode>
                <c:ptCount val="8"/>
                <c:pt idx="0">
                  <c:v>0</c:v>
                </c:pt>
                <c:pt idx="1">
                  <c:v>7.89</c:v>
                </c:pt>
                <c:pt idx="2">
                  <c:v>20</c:v>
                </c:pt>
                <c:pt idx="3">
                  <c:v>55.26</c:v>
                </c:pt>
                <c:pt idx="4">
                  <c:v>60</c:v>
                </c:pt>
                <c:pt idx="5">
                  <c:v>65</c:v>
                </c:pt>
                <c:pt idx="6">
                  <c:v>71.05</c:v>
                </c:pt>
                <c:pt idx="7">
                  <c:v>100</c:v>
                </c:pt>
              </c:numCache>
            </c:numRef>
          </c:xVal>
          <c:yVal>
            <c:numRef>
              <c:f>Stand!$B$689:$B$696</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5AA7-4109-8A98-EEC38E57C53C}"/>
            </c:ext>
          </c:extLst>
        </c:ser>
        <c:dLbls>
          <c:showLegendKey val="0"/>
          <c:showVal val="0"/>
          <c:showCatName val="0"/>
          <c:showSerName val="0"/>
          <c:showPercent val="0"/>
          <c:showBubbleSize val="0"/>
        </c:dLbls>
        <c:axId val="231282504"/>
        <c:axId val="231282896"/>
      </c:scatterChart>
      <c:valAx>
        <c:axId val="23128250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282896"/>
        <c:crosses val="autoZero"/>
        <c:crossBetween val="midCat"/>
        <c:minorUnit val="2"/>
      </c:valAx>
      <c:valAx>
        <c:axId val="2312828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28250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Stand!$J$94</c:f>
          <c:strCache>
            <c:ptCount val="1"/>
            <c:pt idx="0">
              <c:v>Muscle 22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Stand!$A$713:$A$720</c:f>
              <c:numCache>
                <c:formatCode>0.00</c:formatCode>
                <c:ptCount val="8"/>
                <c:pt idx="0">
                  <c:v>0</c:v>
                </c:pt>
                <c:pt idx="1">
                  <c:v>7.89</c:v>
                </c:pt>
                <c:pt idx="2">
                  <c:v>20</c:v>
                </c:pt>
                <c:pt idx="3">
                  <c:v>55.26</c:v>
                </c:pt>
                <c:pt idx="4">
                  <c:v>60</c:v>
                </c:pt>
                <c:pt idx="5">
                  <c:v>65</c:v>
                </c:pt>
                <c:pt idx="6">
                  <c:v>71.05</c:v>
                </c:pt>
                <c:pt idx="7">
                  <c:v>100</c:v>
                </c:pt>
              </c:numCache>
            </c:numRef>
          </c:xVal>
          <c:yVal>
            <c:numRef>
              <c:f>Stand!$B$713:$B$720</c:f>
              <c:numCache>
                <c:formatCode>0</c:formatCode>
                <c:ptCount val="8"/>
                <c:pt idx="0">
                  <c:v>80</c:v>
                </c:pt>
                <c:pt idx="1">
                  <c:v>80</c:v>
                </c:pt>
                <c:pt idx="2">
                  <c:v>80</c:v>
                </c:pt>
                <c:pt idx="3">
                  <c:v>80</c:v>
                </c:pt>
                <c:pt idx="4">
                  <c:v>80</c:v>
                </c:pt>
                <c:pt idx="5">
                  <c:v>80</c:v>
                </c:pt>
                <c:pt idx="6">
                  <c:v>80</c:v>
                </c:pt>
                <c:pt idx="7">
                  <c:v>80</c:v>
                </c:pt>
              </c:numCache>
            </c:numRef>
          </c:yVal>
          <c:smooth val="0"/>
          <c:extLst>
            <c:ext xmlns:c16="http://schemas.microsoft.com/office/drawing/2014/chart" uri="{C3380CC4-5D6E-409C-BE32-E72D297353CC}">
              <c16:uniqueId val="{00000000-3CBD-460A-B383-2BB0BEFFB037}"/>
            </c:ext>
          </c:extLst>
        </c:ser>
        <c:dLbls>
          <c:showLegendKey val="0"/>
          <c:showVal val="0"/>
          <c:showCatName val="0"/>
          <c:showSerName val="0"/>
          <c:showPercent val="0"/>
          <c:showBubbleSize val="0"/>
        </c:dLbls>
        <c:axId val="231910152"/>
        <c:axId val="231910544"/>
      </c:scatterChart>
      <c:valAx>
        <c:axId val="2319101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0544"/>
        <c:crosses val="autoZero"/>
        <c:crossBetween val="midCat"/>
        <c:minorUnit val="2"/>
      </c:valAx>
      <c:valAx>
        <c:axId val="2319105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01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Stand!$J$102</c:f>
          <c:strCache>
            <c:ptCount val="1"/>
            <c:pt idx="0">
              <c:v>Muscle 23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Stand!$A$737:$A$744</c:f>
              <c:numCache>
                <c:formatCode>0.00</c:formatCode>
                <c:ptCount val="8"/>
                <c:pt idx="0">
                  <c:v>0</c:v>
                </c:pt>
                <c:pt idx="1">
                  <c:v>7.89</c:v>
                </c:pt>
                <c:pt idx="2">
                  <c:v>20</c:v>
                </c:pt>
                <c:pt idx="3">
                  <c:v>55.26</c:v>
                </c:pt>
                <c:pt idx="4">
                  <c:v>60</c:v>
                </c:pt>
                <c:pt idx="5">
                  <c:v>65</c:v>
                </c:pt>
                <c:pt idx="6">
                  <c:v>71.05</c:v>
                </c:pt>
                <c:pt idx="7">
                  <c:v>100</c:v>
                </c:pt>
              </c:numCache>
            </c:numRef>
          </c:xVal>
          <c:yVal>
            <c:numRef>
              <c:f>Stand!$B$737:$B$744</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DDB6-4E67-9BFB-70245F33B41F}"/>
            </c:ext>
          </c:extLst>
        </c:ser>
        <c:dLbls>
          <c:showLegendKey val="0"/>
          <c:showVal val="0"/>
          <c:showCatName val="0"/>
          <c:showSerName val="0"/>
          <c:showPercent val="0"/>
          <c:showBubbleSize val="0"/>
        </c:dLbls>
        <c:axId val="231911328"/>
        <c:axId val="231911720"/>
      </c:scatterChart>
      <c:valAx>
        <c:axId val="2319113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1720"/>
        <c:crosses val="autoZero"/>
        <c:crossBetween val="midCat"/>
        <c:minorUnit val="2"/>
      </c:valAx>
      <c:valAx>
        <c:axId val="23191172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13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Sit!$B$46</c:f>
          <c:strCache>
            <c:ptCount val="1"/>
            <c:pt idx="0">
              <c:v>Muscle 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Sit!$A$184:$A$191</c:f>
              <c:numCache>
                <c:formatCode>0.00</c:formatCode>
                <c:ptCount val="8"/>
                <c:pt idx="0">
                  <c:v>0</c:v>
                </c:pt>
                <c:pt idx="1">
                  <c:v>50</c:v>
                </c:pt>
                <c:pt idx="2">
                  <c:v>55</c:v>
                </c:pt>
                <c:pt idx="3">
                  <c:v>60</c:v>
                </c:pt>
                <c:pt idx="4">
                  <c:v>75</c:v>
                </c:pt>
                <c:pt idx="5">
                  <c:v>88</c:v>
                </c:pt>
                <c:pt idx="6">
                  <c:v>94</c:v>
                </c:pt>
                <c:pt idx="7">
                  <c:v>100</c:v>
                </c:pt>
              </c:numCache>
            </c:numRef>
          </c:xVal>
          <c:yVal>
            <c:numRef>
              <c:f>Sit!$B$184:$B$191</c:f>
              <c:numCache>
                <c:formatCode>0</c:formatCode>
                <c:ptCount val="8"/>
                <c:pt idx="0">
                  <c:v>100</c:v>
                </c:pt>
                <c:pt idx="1">
                  <c:v>50</c:v>
                </c:pt>
                <c:pt idx="2">
                  <c:v>50</c:v>
                </c:pt>
                <c:pt idx="3">
                  <c:v>50</c:v>
                </c:pt>
                <c:pt idx="4">
                  <c:v>50</c:v>
                </c:pt>
                <c:pt idx="5">
                  <c:v>26</c:v>
                </c:pt>
                <c:pt idx="6">
                  <c:v>13</c:v>
                </c:pt>
                <c:pt idx="7">
                  <c:v>0</c:v>
                </c:pt>
              </c:numCache>
            </c:numRef>
          </c:yVal>
          <c:smooth val="0"/>
          <c:extLst>
            <c:ext xmlns:c16="http://schemas.microsoft.com/office/drawing/2014/chart" uri="{C3380CC4-5D6E-409C-BE32-E72D297353CC}">
              <c16:uniqueId val="{00000000-BA62-4EDA-AFCF-87248EA7FFDE}"/>
            </c:ext>
          </c:extLst>
        </c:ser>
        <c:dLbls>
          <c:showLegendKey val="0"/>
          <c:showVal val="0"/>
          <c:showCatName val="0"/>
          <c:showSerName val="0"/>
          <c:showPercent val="0"/>
          <c:showBubbleSize val="0"/>
        </c:dLbls>
        <c:axId val="231913288"/>
        <c:axId val="231913680"/>
      </c:scatterChart>
      <c:valAx>
        <c:axId val="2319132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3680"/>
        <c:crosses val="autoZero"/>
        <c:crossBetween val="midCat"/>
        <c:minorUnit val="2"/>
      </c:valAx>
      <c:valAx>
        <c:axId val="2319136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32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Sit!$B$54</c:f>
          <c:strCache>
            <c:ptCount val="1"/>
            <c:pt idx="0">
              <c:v>Muscle 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Sit!$A$208:$A$215</c:f>
              <c:numCache>
                <c:formatCode>0.00</c:formatCode>
                <c:ptCount val="8"/>
                <c:pt idx="0">
                  <c:v>0</c:v>
                </c:pt>
                <c:pt idx="1">
                  <c:v>10</c:v>
                </c:pt>
                <c:pt idx="2">
                  <c:v>50</c:v>
                </c:pt>
                <c:pt idx="3">
                  <c:v>75</c:v>
                </c:pt>
                <c:pt idx="4">
                  <c:v>88</c:v>
                </c:pt>
                <c:pt idx="5">
                  <c:v>94</c:v>
                </c:pt>
                <c:pt idx="6">
                  <c:v>95</c:v>
                </c:pt>
                <c:pt idx="7">
                  <c:v>100</c:v>
                </c:pt>
              </c:numCache>
            </c:numRef>
          </c:xVal>
          <c:yVal>
            <c:numRef>
              <c:f>Sit!$B$208:$B$215</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3277-4BC0-A30E-5672E1BB5B2C}"/>
            </c:ext>
          </c:extLst>
        </c:ser>
        <c:dLbls>
          <c:showLegendKey val="0"/>
          <c:showVal val="0"/>
          <c:showCatName val="0"/>
          <c:showSerName val="0"/>
          <c:showPercent val="0"/>
          <c:showBubbleSize val="0"/>
        </c:dLbls>
        <c:axId val="231914464"/>
        <c:axId val="231914856"/>
      </c:scatterChart>
      <c:valAx>
        <c:axId val="2319144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4856"/>
        <c:crosses val="autoZero"/>
        <c:crossBetween val="midCat"/>
        <c:minorUnit val="2"/>
      </c:valAx>
      <c:valAx>
        <c:axId val="2319148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44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Sit!$B$62</c:f>
          <c:strCache>
            <c:ptCount val="1"/>
            <c:pt idx="0">
              <c:v>Muscle 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Sit!$A$232:$A$239</c:f>
              <c:numCache>
                <c:formatCode>0.00</c:formatCode>
                <c:ptCount val="8"/>
                <c:pt idx="0">
                  <c:v>0</c:v>
                </c:pt>
                <c:pt idx="1">
                  <c:v>50</c:v>
                </c:pt>
                <c:pt idx="2">
                  <c:v>55</c:v>
                </c:pt>
                <c:pt idx="3">
                  <c:v>60</c:v>
                </c:pt>
                <c:pt idx="4">
                  <c:v>75</c:v>
                </c:pt>
                <c:pt idx="5">
                  <c:v>88</c:v>
                </c:pt>
                <c:pt idx="6">
                  <c:v>94</c:v>
                </c:pt>
                <c:pt idx="7">
                  <c:v>100</c:v>
                </c:pt>
              </c:numCache>
            </c:numRef>
          </c:xVal>
          <c:yVal>
            <c:numRef>
              <c:f>Sit!$B$232:$B$239</c:f>
              <c:numCache>
                <c:formatCode>0</c:formatCode>
                <c:ptCount val="8"/>
                <c:pt idx="0">
                  <c:v>20</c:v>
                </c:pt>
                <c:pt idx="1">
                  <c:v>10</c:v>
                </c:pt>
                <c:pt idx="2">
                  <c:v>10</c:v>
                </c:pt>
                <c:pt idx="3">
                  <c:v>10</c:v>
                </c:pt>
                <c:pt idx="4">
                  <c:v>10</c:v>
                </c:pt>
                <c:pt idx="5">
                  <c:v>5</c:v>
                </c:pt>
                <c:pt idx="6">
                  <c:v>3</c:v>
                </c:pt>
                <c:pt idx="7">
                  <c:v>0</c:v>
                </c:pt>
              </c:numCache>
            </c:numRef>
          </c:yVal>
          <c:smooth val="0"/>
          <c:extLst>
            <c:ext xmlns:c16="http://schemas.microsoft.com/office/drawing/2014/chart" uri="{C3380CC4-5D6E-409C-BE32-E72D297353CC}">
              <c16:uniqueId val="{00000000-D244-46FD-A56A-6CE48E2E5FCD}"/>
            </c:ext>
          </c:extLst>
        </c:ser>
        <c:dLbls>
          <c:showLegendKey val="0"/>
          <c:showVal val="0"/>
          <c:showCatName val="0"/>
          <c:showSerName val="0"/>
          <c:showPercent val="0"/>
          <c:showBubbleSize val="0"/>
        </c:dLbls>
        <c:axId val="231915640"/>
        <c:axId val="231916032"/>
      </c:scatterChart>
      <c:valAx>
        <c:axId val="2319156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6032"/>
        <c:crosses val="autoZero"/>
        <c:crossBetween val="midCat"/>
        <c:minorUnit val="2"/>
      </c:valAx>
      <c:valAx>
        <c:axId val="2319160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56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Sit!$B$70</c:f>
          <c:strCache>
            <c:ptCount val="1"/>
            <c:pt idx="0">
              <c:v>Muscle 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Sit!$A$256:$A$263</c:f>
              <c:numCache>
                <c:formatCode>0.00</c:formatCode>
                <c:ptCount val="8"/>
                <c:pt idx="0">
                  <c:v>0</c:v>
                </c:pt>
                <c:pt idx="1">
                  <c:v>10</c:v>
                </c:pt>
                <c:pt idx="2">
                  <c:v>50</c:v>
                </c:pt>
                <c:pt idx="3">
                  <c:v>80</c:v>
                </c:pt>
                <c:pt idx="4">
                  <c:v>90</c:v>
                </c:pt>
                <c:pt idx="5">
                  <c:v>95</c:v>
                </c:pt>
                <c:pt idx="6">
                  <c:v>98</c:v>
                </c:pt>
                <c:pt idx="7">
                  <c:v>100</c:v>
                </c:pt>
              </c:numCache>
            </c:numRef>
          </c:xVal>
          <c:yVal>
            <c:numRef>
              <c:f>Sit!$B$256:$B$263</c:f>
              <c:numCache>
                <c:formatCode>0</c:formatCode>
                <c:ptCount val="8"/>
                <c:pt idx="0">
                  <c:v>150</c:v>
                </c:pt>
                <c:pt idx="1">
                  <c:v>150</c:v>
                </c:pt>
                <c:pt idx="2">
                  <c:v>150</c:v>
                </c:pt>
                <c:pt idx="3">
                  <c:v>150</c:v>
                </c:pt>
                <c:pt idx="4">
                  <c:v>75</c:v>
                </c:pt>
                <c:pt idx="5">
                  <c:v>38</c:v>
                </c:pt>
                <c:pt idx="6">
                  <c:v>23</c:v>
                </c:pt>
                <c:pt idx="7">
                  <c:v>0</c:v>
                </c:pt>
              </c:numCache>
            </c:numRef>
          </c:yVal>
          <c:smooth val="0"/>
          <c:extLst>
            <c:ext xmlns:c16="http://schemas.microsoft.com/office/drawing/2014/chart" uri="{C3380CC4-5D6E-409C-BE32-E72D297353CC}">
              <c16:uniqueId val="{00000000-6866-4BCD-B4C3-433D0BB303A7}"/>
            </c:ext>
          </c:extLst>
        </c:ser>
        <c:dLbls>
          <c:showLegendKey val="0"/>
          <c:showVal val="0"/>
          <c:showCatName val="0"/>
          <c:showSerName val="0"/>
          <c:showPercent val="0"/>
          <c:showBubbleSize val="0"/>
        </c:dLbls>
        <c:axId val="231916816"/>
        <c:axId val="231917208"/>
      </c:scatterChart>
      <c:valAx>
        <c:axId val="2319168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7208"/>
        <c:crosses val="autoZero"/>
        <c:crossBetween val="midCat"/>
        <c:minorUnit val="2"/>
      </c:valAx>
      <c:valAx>
        <c:axId val="2319172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9168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Sit!$B$78</c:f>
          <c:strCache>
            <c:ptCount val="1"/>
            <c:pt idx="0">
              <c:v>Muscle 4</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Sit!$A$280:$A$287</c:f>
              <c:numCache>
                <c:formatCode>0.00</c:formatCode>
                <c:ptCount val="8"/>
                <c:pt idx="0">
                  <c:v>0</c:v>
                </c:pt>
                <c:pt idx="1">
                  <c:v>40</c:v>
                </c:pt>
                <c:pt idx="2">
                  <c:v>70</c:v>
                </c:pt>
                <c:pt idx="3">
                  <c:v>85</c:v>
                </c:pt>
                <c:pt idx="4">
                  <c:v>93</c:v>
                </c:pt>
                <c:pt idx="5">
                  <c:v>95</c:v>
                </c:pt>
                <c:pt idx="6">
                  <c:v>98</c:v>
                </c:pt>
                <c:pt idx="7">
                  <c:v>100</c:v>
                </c:pt>
              </c:numCache>
            </c:numRef>
          </c:xVal>
          <c:yVal>
            <c:numRef>
              <c:f>Sit!$B$280:$B$287</c:f>
              <c:numCache>
                <c:formatCode>0</c:formatCode>
                <c:ptCount val="8"/>
                <c:pt idx="0">
                  <c:v>125</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F45B-4194-902F-7264BEE50044}"/>
            </c:ext>
          </c:extLst>
        </c:ser>
        <c:dLbls>
          <c:showLegendKey val="0"/>
          <c:showVal val="0"/>
          <c:showCatName val="0"/>
          <c:showSerName val="0"/>
          <c:showPercent val="0"/>
          <c:showBubbleSize val="0"/>
        </c:dLbls>
        <c:axId val="232776536"/>
        <c:axId val="232776928"/>
      </c:scatterChart>
      <c:valAx>
        <c:axId val="2327765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76928"/>
        <c:crosses val="autoZero"/>
        <c:crossBetween val="midCat"/>
        <c:minorUnit val="2"/>
      </c:valAx>
      <c:valAx>
        <c:axId val="2327769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765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Sit!$B$86</c:f>
          <c:strCache>
            <c:ptCount val="1"/>
            <c:pt idx="0">
              <c:v>Muscle 5</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Sit!$A$304:$A$311</c:f>
              <c:numCache>
                <c:formatCode>0.00</c:formatCode>
                <c:ptCount val="8"/>
                <c:pt idx="0">
                  <c:v>0</c:v>
                </c:pt>
                <c:pt idx="1">
                  <c:v>10</c:v>
                </c:pt>
                <c:pt idx="2">
                  <c:v>50</c:v>
                </c:pt>
                <c:pt idx="3">
                  <c:v>75</c:v>
                </c:pt>
                <c:pt idx="4">
                  <c:v>88</c:v>
                </c:pt>
                <c:pt idx="5">
                  <c:v>94</c:v>
                </c:pt>
                <c:pt idx="6">
                  <c:v>95</c:v>
                </c:pt>
                <c:pt idx="7">
                  <c:v>100</c:v>
                </c:pt>
              </c:numCache>
            </c:numRef>
          </c:xVal>
          <c:yVal>
            <c:numRef>
              <c:f>Sit!$B$304:$B$311</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4806-4A2A-BF3A-2130AE2F4A04}"/>
            </c:ext>
          </c:extLst>
        </c:ser>
        <c:dLbls>
          <c:showLegendKey val="0"/>
          <c:showVal val="0"/>
          <c:showCatName val="0"/>
          <c:showSerName val="0"/>
          <c:showPercent val="0"/>
          <c:showBubbleSize val="0"/>
        </c:dLbls>
        <c:axId val="232777712"/>
        <c:axId val="232778104"/>
      </c:scatterChart>
      <c:valAx>
        <c:axId val="2327777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78104"/>
        <c:crosses val="autoZero"/>
        <c:crossBetween val="midCat"/>
        <c:minorUnit val="2"/>
      </c:valAx>
      <c:valAx>
        <c:axId val="2327781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777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Sit!$B$94</c:f>
          <c:strCache>
            <c:ptCount val="1"/>
            <c:pt idx="0">
              <c:v>Muscle 6</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Sit!$A$328:$A$335</c:f>
              <c:numCache>
                <c:formatCode>0.00</c:formatCode>
                <c:ptCount val="8"/>
                <c:pt idx="0">
                  <c:v>0</c:v>
                </c:pt>
                <c:pt idx="1">
                  <c:v>10</c:v>
                </c:pt>
                <c:pt idx="2">
                  <c:v>50</c:v>
                </c:pt>
                <c:pt idx="3">
                  <c:v>75</c:v>
                </c:pt>
                <c:pt idx="4">
                  <c:v>88</c:v>
                </c:pt>
                <c:pt idx="5">
                  <c:v>94</c:v>
                </c:pt>
                <c:pt idx="6">
                  <c:v>95</c:v>
                </c:pt>
                <c:pt idx="7">
                  <c:v>100</c:v>
                </c:pt>
              </c:numCache>
            </c:numRef>
          </c:xVal>
          <c:yVal>
            <c:numRef>
              <c:f>Sit!$B$328:$B$335</c:f>
              <c:numCache>
                <c:formatCode>0</c:formatCode>
                <c:ptCount val="8"/>
                <c:pt idx="0">
                  <c:v>50</c:v>
                </c:pt>
                <c:pt idx="1">
                  <c:v>50</c:v>
                </c:pt>
                <c:pt idx="2">
                  <c:v>50</c:v>
                </c:pt>
                <c:pt idx="3">
                  <c:v>50</c:v>
                </c:pt>
                <c:pt idx="4">
                  <c:v>50</c:v>
                </c:pt>
                <c:pt idx="5">
                  <c:v>50</c:v>
                </c:pt>
                <c:pt idx="6">
                  <c:v>50</c:v>
                </c:pt>
                <c:pt idx="7">
                  <c:v>50</c:v>
                </c:pt>
              </c:numCache>
            </c:numRef>
          </c:yVal>
          <c:smooth val="0"/>
          <c:extLst>
            <c:ext xmlns:c16="http://schemas.microsoft.com/office/drawing/2014/chart" uri="{C3380CC4-5D6E-409C-BE32-E72D297353CC}">
              <c16:uniqueId val="{00000000-2F72-4F41-AB07-905142248B9A}"/>
            </c:ext>
          </c:extLst>
        </c:ser>
        <c:dLbls>
          <c:showLegendKey val="0"/>
          <c:showVal val="0"/>
          <c:showCatName val="0"/>
          <c:showSerName val="0"/>
          <c:showPercent val="0"/>
          <c:showBubbleSize val="0"/>
        </c:dLbls>
        <c:axId val="232778888"/>
        <c:axId val="232779280"/>
      </c:scatterChart>
      <c:valAx>
        <c:axId val="2327788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79280"/>
        <c:crosses val="autoZero"/>
        <c:crossBetween val="midCat"/>
        <c:minorUnit val="2"/>
      </c:valAx>
      <c:valAx>
        <c:axId val="2327792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788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Sit!$B$102</c:f>
          <c:strCache>
            <c:ptCount val="1"/>
            <c:pt idx="0">
              <c:v>Muscle 7</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Sit!$A$352:$A$359</c:f>
              <c:numCache>
                <c:formatCode>0.00</c:formatCode>
                <c:ptCount val="8"/>
                <c:pt idx="0">
                  <c:v>0</c:v>
                </c:pt>
                <c:pt idx="1">
                  <c:v>10</c:v>
                </c:pt>
                <c:pt idx="2">
                  <c:v>50</c:v>
                </c:pt>
                <c:pt idx="3">
                  <c:v>75</c:v>
                </c:pt>
                <c:pt idx="4">
                  <c:v>88</c:v>
                </c:pt>
                <c:pt idx="5">
                  <c:v>94</c:v>
                </c:pt>
                <c:pt idx="6">
                  <c:v>95</c:v>
                </c:pt>
                <c:pt idx="7">
                  <c:v>100</c:v>
                </c:pt>
              </c:numCache>
            </c:numRef>
          </c:xVal>
          <c:yVal>
            <c:numRef>
              <c:f>Sit!$B$352:$B$359</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169B-479A-8338-CFCBEF033628}"/>
            </c:ext>
          </c:extLst>
        </c:ser>
        <c:dLbls>
          <c:showLegendKey val="0"/>
          <c:showVal val="0"/>
          <c:showCatName val="0"/>
          <c:showSerName val="0"/>
          <c:showPercent val="0"/>
          <c:showBubbleSize val="0"/>
        </c:dLbls>
        <c:axId val="232780064"/>
        <c:axId val="232780456"/>
      </c:scatterChart>
      <c:valAx>
        <c:axId val="2327800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80456"/>
        <c:crosses val="autoZero"/>
        <c:crossBetween val="midCat"/>
        <c:minorUnit val="2"/>
      </c:valAx>
      <c:valAx>
        <c:axId val="2327804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800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Sit!$B$110</c:f>
          <c:strCache>
            <c:ptCount val="1"/>
            <c:pt idx="0">
              <c:v>Muscle 8</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Sit!$A$376:$A$383</c:f>
              <c:numCache>
                <c:formatCode>0.00</c:formatCode>
                <c:ptCount val="8"/>
                <c:pt idx="0">
                  <c:v>0</c:v>
                </c:pt>
                <c:pt idx="1">
                  <c:v>7.89</c:v>
                </c:pt>
                <c:pt idx="2">
                  <c:v>20</c:v>
                </c:pt>
                <c:pt idx="3">
                  <c:v>55.26</c:v>
                </c:pt>
                <c:pt idx="4">
                  <c:v>60</c:v>
                </c:pt>
                <c:pt idx="5">
                  <c:v>65</c:v>
                </c:pt>
                <c:pt idx="6">
                  <c:v>71.05</c:v>
                </c:pt>
                <c:pt idx="7">
                  <c:v>100</c:v>
                </c:pt>
              </c:numCache>
            </c:numRef>
          </c:xVal>
          <c:yVal>
            <c:numRef>
              <c:f>Sit!$B$376:$B$383</c:f>
              <c:numCache>
                <c:formatCode>0</c:formatCode>
                <c:ptCount val="8"/>
                <c:pt idx="0">
                  <c:v>100</c:v>
                </c:pt>
                <c:pt idx="1">
                  <c:v>100</c:v>
                </c:pt>
                <c:pt idx="2">
                  <c:v>100</c:v>
                </c:pt>
                <c:pt idx="3">
                  <c:v>100</c:v>
                </c:pt>
                <c:pt idx="4">
                  <c:v>100</c:v>
                </c:pt>
                <c:pt idx="5">
                  <c:v>100</c:v>
                </c:pt>
                <c:pt idx="6">
                  <c:v>100</c:v>
                </c:pt>
                <c:pt idx="7">
                  <c:v>100</c:v>
                </c:pt>
              </c:numCache>
            </c:numRef>
          </c:yVal>
          <c:smooth val="0"/>
          <c:extLst>
            <c:ext xmlns:c16="http://schemas.microsoft.com/office/drawing/2014/chart" uri="{C3380CC4-5D6E-409C-BE32-E72D297353CC}">
              <c16:uniqueId val="{00000000-383A-41E8-92A1-A81CD689F65C}"/>
            </c:ext>
          </c:extLst>
        </c:ser>
        <c:dLbls>
          <c:showLegendKey val="0"/>
          <c:showVal val="0"/>
          <c:showCatName val="0"/>
          <c:showSerName val="0"/>
          <c:showPercent val="0"/>
          <c:showBubbleSize val="0"/>
        </c:dLbls>
        <c:axId val="232781240"/>
        <c:axId val="232781632"/>
      </c:scatterChart>
      <c:valAx>
        <c:axId val="2327812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81632"/>
        <c:crosses val="autoZero"/>
        <c:crossBetween val="midCat"/>
        <c:minorUnit val="2"/>
      </c:valAx>
      <c:valAx>
        <c:axId val="2327816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812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Sit!$B$118</c:f>
          <c:strCache>
            <c:ptCount val="1"/>
            <c:pt idx="0">
              <c:v>Muscle 9</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Sit!$A$400:$A$407</c:f>
              <c:numCache>
                <c:formatCode>0.00</c:formatCode>
                <c:ptCount val="8"/>
                <c:pt idx="0">
                  <c:v>0</c:v>
                </c:pt>
                <c:pt idx="1">
                  <c:v>7.89</c:v>
                </c:pt>
                <c:pt idx="2">
                  <c:v>20</c:v>
                </c:pt>
                <c:pt idx="3">
                  <c:v>55.26</c:v>
                </c:pt>
                <c:pt idx="4">
                  <c:v>60</c:v>
                </c:pt>
                <c:pt idx="5">
                  <c:v>65</c:v>
                </c:pt>
                <c:pt idx="6">
                  <c:v>71.05</c:v>
                </c:pt>
                <c:pt idx="7">
                  <c:v>100</c:v>
                </c:pt>
              </c:numCache>
            </c:numRef>
          </c:xVal>
          <c:yVal>
            <c:numRef>
              <c:f>Sit!$B$400:$B$407</c:f>
              <c:numCache>
                <c:formatCode>0</c:formatCode>
                <c:ptCount val="8"/>
                <c:pt idx="0">
                  <c:v>200</c:v>
                </c:pt>
                <c:pt idx="1">
                  <c:v>200</c:v>
                </c:pt>
                <c:pt idx="2">
                  <c:v>200</c:v>
                </c:pt>
                <c:pt idx="3">
                  <c:v>200</c:v>
                </c:pt>
                <c:pt idx="4">
                  <c:v>200</c:v>
                </c:pt>
                <c:pt idx="5">
                  <c:v>200</c:v>
                </c:pt>
                <c:pt idx="6">
                  <c:v>200</c:v>
                </c:pt>
                <c:pt idx="7">
                  <c:v>200</c:v>
                </c:pt>
              </c:numCache>
            </c:numRef>
          </c:yVal>
          <c:smooth val="0"/>
          <c:extLst>
            <c:ext xmlns:c16="http://schemas.microsoft.com/office/drawing/2014/chart" uri="{C3380CC4-5D6E-409C-BE32-E72D297353CC}">
              <c16:uniqueId val="{00000000-5B3A-43DD-A3E1-4A2595016259}"/>
            </c:ext>
          </c:extLst>
        </c:ser>
        <c:dLbls>
          <c:showLegendKey val="0"/>
          <c:showVal val="0"/>
          <c:showCatName val="0"/>
          <c:showSerName val="0"/>
          <c:showPercent val="0"/>
          <c:showBubbleSize val="0"/>
        </c:dLbls>
        <c:axId val="232782416"/>
        <c:axId val="232782808"/>
      </c:scatterChart>
      <c:valAx>
        <c:axId val="2327824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82808"/>
        <c:crosses val="autoZero"/>
        <c:crossBetween val="midCat"/>
        <c:minorUnit val="2"/>
      </c:valAx>
      <c:valAx>
        <c:axId val="2327828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824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Sit!$B$126</c:f>
          <c:strCache>
            <c:ptCount val="1"/>
            <c:pt idx="0">
              <c:v>Muscle 10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Sit!$A$424:$A$431</c:f>
              <c:numCache>
                <c:formatCode>0.00</c:formatCode>
                <c:ptCount val="8"/>
                <c:pt idx="0">
                  <c:v>0</c:v>
                </c:pt>
                <c:pt idx="1">
                  <c:v>7.89</c:v>
                </c:pt>
                <c:pt idx="2">
                  <c:v>20</c:v>
                </c:pt>
                <c:pt idx="3">
                  <c:v>55.26</c:v>
                </c:pt>
                <c:pt idx="4">
                  <c:v>60</c:v>
                </c:pt>
                <c:pt idx="5">
                  <c:v>65</c:v>
                </c:pt>
                <c:pt idx="6">
                  <c:v>71.05</c:v>
                </c:pt>
                <c:pt idx="7">
                  <c:v>100</c:v>
                </c:pt>
              </c:numCache>
            </c:numRef>
          </c:xVal>
          <c:yVal>
            <c:numRef>
              <c:f>Sit!$B$424:$B$431</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4D13-468D-B5E7-3F4AD88BCF96}"/>
            </c:ext>
          </c:extLst>
        </c:ser>
        <c:dLbls>
          <c:showLegendKey val="0"/>
          <c:showVal val="0"/>
          <c:showCatName val="0"/>
          <c:showSerName val="0"/>
          <c:showPercent val="0"/>
          <c:showBubbleSize val="0"/>
        </c:dLbls>
        <c:axId val="232783592"/>
        <c:axId val="232967600"/>
      </c:scatterChart>
      <c:valAx>
        <c:axId val="2327835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967600"/>
        <c:crosses val="autoZero"/>
        <c:crossBetween val="midCat"/>
        <c:minorUnit val="2"/>
      </c:valAx>
      <c:valAx>
        <c:axId val="2329676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7835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Sit!$B$134</c:f>
          <c:strCache>
            <c:ptCount val="1"/>
            <c:pt idx="0">
              <c:v>Muscle 11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Sit!$A$448:$A$455</c:f>
              <c:numCache>
                <c:formatCode>0.00</c:formatCode>
                <c:ptCount val="8"/>
                <c:pt idx="0">
                  <c:v>0</c:v>
                </c:pt>
                <c:pt idx="1">
                  <c:v>7.89</c:v>
                </c:pt>
                <c:pt idx="2">
                  <c:v>20</c:v>
                </c:pt>
                <c:pt idx="3">
                  <c:v>55.26</c:v>
                </c:pt>
                <c:pt idx="4">
                  <c:v>60</c:v>
                </c:pt>
                <c:pt idx="5">
                  <c:v>65</c:v>
                </c:pt>
                <c:pt idx="6">
                  <c:v>71.05</c:v>
                </c:pt>
                <c:pt idx="7">
                  <c:v>100</c:v>
                </c:pt>
              </c:numCache>
            </c:numRef>
          </c:xVal>
          <c:yVal>
            <c:numRef>
              <c:f>Sit!$B$448:$B$455</c:f>
              <c:numCache>
                <c:formatCode>0</c:formatCode>
                <c:ptCount val="8"/>
                <c:pt idx="0">
                  <c:v>80</c:v>
                </c:pt>
                <c:pt idx="1">
                  <c:v>80</c:v>
                </c:pt>
                <c:pt idx="2">
                  <c:v>80</c:v>
                </c:pt>
                <c:pt idx="3">
                  <c:v>80</c:v>
                </c:pt>
                <c:pt idx="4">
                  <c:v>80</c:v>
                </c:pt>
                <c:pt idx="5">
                  <c:v>80</c:v>
                </c:pt>
                <c:pt idx="6">
                  <c:v>80</c:v>
                </c:pt>
                <c:pt idx="7">
                  <c:v>80</c:v>
                </c:pt>
              </c:numCache>
            </c:numRef>
          </c:yVal>
          <c:smooth val="0"/>
          <c:extLst>
            <c:ext xmlns:c16="http://schemas.microsoft.com/office/drawing/2014/chart" uri="{C3380CC4-5D6E-409C-BE32-E72D297353CC}">
              <c16:uniqueId val="{00000000-C3E1-4CB7-96D2-CB9031095420}"/>
            </c:ext>
          </c:extLst>
        </c:ser>
        <c:dLbls>
          <c:showLegendKey val="0"/>
          <c:showVal val="0"/>
          <c:showCatName val="0"/>
          <c:showSerName val="0"/>
          <c:showPercent val="0"/>
          <c:showBubbleSize val="0"/>
        </c:dLbls>
        <c:axId val="232968384"/>
        <c:axId val="232968776"/>
      </c:scatterChart>
      <c:valAx>
        <c:axId val="2329683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968776"/>
        <c:crosses val="autoZero"/>
        <c:crossBetween val="midCat"/>
        <c:minorUnit val="2"/>
      </c:valAx>
      <c:valAx>
        <c:axId val="2329687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9683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Sit!$B$142</c:f>
          <c:strCache>
            <c:ptCount val="1"/>
            <c:pt idx="0">
              <c:v>Muscle 12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Sit!$A$473:$A$480</c:f>
              <c:numCache>
                <c:formatCode>0.00</c:formatCode>
                <c:ptCount val="8"/>
                <c:pt idx="0">
                  <c:v>0</c:v>
                </c:pt>
                <c:pt idx="1">
                  <c:v>50</c:v>
                </c:pt>
                <c:pt idx="2">
                  <c:v>55</c:v>
                </c:pt>
                <c:pt idx="3">
                  <c:v>60</c:v>
                </c:pt>
                <c:pt idx="4">
                  <c:v>75</c:v>
                </c:pt>
                <c:pt idx="5">
                  <c:v>88</c:v>
                </c:pt>
                <c:pt idx="6">
                  <c:v>94</c:v>
                </c:pt>
                <c:pt idx="7">
                  <c:v>100</c:v>
                </c:pt>
              </c:numCache>
            </c:numRef>
          </c:xVal>
          <c:yVal>
            <c:numRef>
              <c:f>Sit!$B$473:$B$480</c:f>
              <c:numCache>
                <c:formatCode>0</c:formatCode>
                <c:ptCount val="8"/>
                <c:pt idx="0">
                  <c:v>150</c:v>
                </c:pt>
                <c:pt idx="1">
                  <c:v>75</c:v>
                </c:pt>
                <c:pt idx="2">
                  <c:v>75</c:v>
                </c:pt>
                <c:pt idx="3">
                  <c:v>75</c:v>
                </c:pt>
                <c:pt idx="4">
                  <c:v>75</c:v>
                </c:pt>
                <c:pt idx="5">
                  <c:v>39</c:v>
                </c:pt>
                <c:pt idx="6">
                  <c:v>20</c:v>
                </c:pt>
                <c:pt idx="7">
                  <c:v>0</c:v>
                </c:pt>
              </c:numCache>
            </c:numRef>
          </c:yVal>
          <c:smooth val="0"/>
          <c:extLst>
            <c:ext xmlns:c16="http://schemas.microsoft.com/office/drawing/2014/chart" uri="{C3380CC4-5D6E-409C-BE32-E72D297353CC}">
              <c16:uniqueId val="{00000000-73A0-46EB-852F-0B31A14AD8AD}"/>
            </c:ext>
          </c:extLst>
        </c:ser>
        <c:dLbls>
          <c:showLegendKey val="0"/>
          <c:showVal val="0"/>
          <c:showCatName val="0"/>
          <c:showSerName val="0"/>
          <c:showPercent val="0"/>
          <c:showBubbleSize val="0"/>
        </c:dLbls>
        <c:axId val="232969560"/>
        <c:axId val="232969952"/>
      </c:scatterChart>
      <c:valAx>
        <c:axId val="2329695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969952"/>
        <c:crosses val="autoZero"/>
        <c:crossBetween val="midCat"/>
        <c:minorUnit val="2"/>
      </c:valAx>
      <c:valAx>
        <c:axId val="2329699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9695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Sit!$B$150</c:f>
          <c:strCache>
            <c:ptCount val="1"/>
            <c:pt idx="0">
              <c:v>Muscle 13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Sit!$A$497:$A$504</c:f>
              <c:numCache>
                <c:formatCode>0.00</c:formatCode>
                <c:ptCount val="8"/>
                <c:pt idx="0">
                  <c:v>0</c:v>
                </c:pt>
                <c:pt idx="1">
                  <c:v>10</c:v>
                </c:pt>
                <c:pt idx="2">
                  <c:v>50</c:v>
                </c:pt>
                <c:pt idx="3">
                  <c:v>75</c:v>
                </c:pt>
                <c:pt idx="4">
                  <c:v>88</c:v>
                </c:pt>
                <c:pt idx="5">
                  <c:v>94</c:v>
                </c:pt>
                <c:pt idx="6">
                  <c:v>95</c:v>
                </c:pt>
                <c:pt idx="7">
                  <c:v>100</c:v>
                </c:pt>
              </c:numCache>
            </c:numRef>
          </c:xVal>
          <c:yVal>
            <c:numRef>
              <c:f>Sit!$B$497:$B$504</c:f>
              <c:numCache>
                <c:formatCode>0</c:formatCode>
                <c:ptCount val="8"/>
                <c:pt idx="0">
                  <c:v>100</c:v>
                </c:pt>
                <c:pt idx="1">
                  <c:v>100</c:v>
                </c:pt>
                <c:pt idx="2">
                  <c:v>100</c:v>
                </c:pt>
                <c:pt idx="3">
                  <c:v>0</c:v>
                </c:pt>
                <c:pt idx="4">
                  <c:v>0</c:v>
                </c:pt>
                <c:pt idx="5">
                  <c:v>0</c:v>
                </c:pt>
                <c:pt idx="6">
                  <c:v>100</c:v>
                </c:pt>
                <c:pt idx="7">
                  <c:v>100</c:v>
                </c:pt>
              </c:numCache>
            </c:numRef>
          </c:yVal>
          <c:smooth val="0"/>
          <c:extLst>
            <c:ext xmlns:c16="http://schemas.microsoft.com/office/drawing/2014/chart" uri="{C3380CC4-5D6E-409C-BE32-E72D297353CC}">
              <c16:uniqueId val="{00000000-B184-475F-9C5D-7D57DC5451A9}"/>
            </c:ext>
          </c:extLst>
        </c:ser>
        <c:dLbls>
          <c:showLegendKey val="0"/>
          <c:showVal val="0"/>
          <c:showCatName val="0"/>
          <c:showSerName val="0"/>
          <c:showPercent val="0"/>
          <c:showBubbleSize val="0"/>
        </c:dLbls>
        <c:axId val="232970736"/>
        <c:axId val="232971128"/>
      </c:scatterChart>
      <c:valAx>
        <c:axId val="2329707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971128"/>
        <c:crosses val="autoZero"/>
        <c:crossBetween val="midCat"/>
        <c:minorUnit val="2"/>
      </c:valAx>
      <c:valAx>
        <c:axId val="2329711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9707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Sit!$B$158</c:f>
          <c:strCache>
            <c:ptCount val="1"/>
            <c:pt idx="0">
              <c:v>Muscle 14</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Sit!$A$521:$A$528</c:f>
              <c:numCache>
                <c:formatCode>0.00</c:formatCode>
                <c:ptCount val="8"/>
                <c:pt idx="0">
                  <c:v>0</c:v>
                </c:pt>
                <c:pt idx="1">
                  <c:v>50</c:v>
                </c:pt>
                <c:pt idx="2">
                  <c:v>55</c:v>
                </c:pt>
                <c:pt idx="3">
                  <c:v>60</c:v>
                </c:pt>
                <c:pt idx="4">
                  <c:v>75</c:v>
                </c:pt>
                <c:pt idx="5">
                  <c:v>88</c:v>
                </c:pt>
                <c:pt idx="6">
                  <c:v>94</c:v>
                </c:pt>
                <c:pt idx="7">
                  <c:v>100</c:v>
                </c:pt>
              </c:numCache>
            </c:numRef>
          </c:xVal>
          <c:yVal>
            <c:numRef>
              <c:f>Sit!$B$521:$B$528</c:f>
              <c:numCache>
                <c:formatCode>0</c:formatCode>
                <c:ptCount val="8"/>
                <c:pt idx="0">
                  <c:v>110</c:v>
                </c:pt>
                <c:pt idx="1">
                  <c:v>55</c:v>
                </c:pt>
                <c:pt idx="2">
                  <c:v>55</c:v>
                </c:pt>
                <c:pt idx="3">
                  <c:v>55</c:v>
                </c:pt>
                <c:pt idx="4">
                  <c:v>55</c:v>
                </c:pt>
                <c:pt idx="5">
                  <c:v>29</c:v>
                </c:pt>
                <c:pt idx="6">
                  <c:v>14</c:v>
                </c:pt>
                <c:pt idx="7">
                  <c:v>0</c:v>
                </c:pt>
              </c:numCache>
            </c:numRef>
          </c:yVal>
          <c:smooth val="0"/>
          <c:extLst>
            <c:ext xmlns:c16="http://schemas.microsoft.com/office/drawing/2014/chart" uri="{C3380CC4-5D6E-409C-BE32-E72D297353CC}">
              <c16:uniqueId val="{00000000-F076-44D6-9A44-AEEDA354BE18}"/>
            </c:ext>
          </c:extLst>
        </c:ser>
        <c:dLbls>
          <c:showLegendKey val="0"/>
          <c:showVal val="0"/>
          <c:showCatName val="0"/>
          <c:showSerName val="0"/>
          <c:showPercent val="0"/>
          <c:showBubbleSize val="0"/>
        </c:dLbls>
        <c:axId val="232971912"/>
        <c:axId val="232972304"/>
      </c:scatterChart>
      <c:valAx>
        <c:axId val="2329719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972304"/>
        <c:crosses val="autoZero"/>
        <c:crossBetween val="midCat"/>
        <c:minorUnit val="2"/>
      </c:valAx>
      <c:valAx>
        <c:axId val="2329723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9719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Sit!$B$166</c:f>
          <c:strCache>
            <c:ptCount val="1"/>
            <c:pt idx="0">
              <c:v>Muscle 15</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Sit!$A$545:$A$552</c:f>
              <c:numCache>
                <c:formatCode>0.00</c:formatCode>
                <c:ptCount val="8"/>
                <c:pt idx="0">
                  <c:v>0</c:v>
                </c:pt>
                <c:pt idx="1">
                  <c:v>10</c:v>
                </c:pt>
                <c:pt idx="2">
                  <c:v>50</c:v>
                </c:pt>
                <c:pt idx="3">
                  <c:v>80</c:v>
                </c:pt>
                <c:pt idx="4">
                  <c:v>90</c:v>
                </c:pt>
                <c:pt idx="5">
                  <c:v>95</c:v>
                </c:pt>
                <c:pt idx="6">
                  <c:v>98</c:v>
                </c:pt>
                <c:pt idx="7">
                  <c:v>100</c:v>
                </c:pt>
              </c:numCache>
            </c:numRef>
          </c:xVal>
          <c:yVal>
            <c:numRef>
              <c:f>Sit!$B$545:$B$552</c:f>
              <c:numCache>
                <c:formatCode>0</c:formatCode>
                <c:ptCount val="8"/>
                <c:pt idx="0">
                  <c:v>150</c:v>
                </c:pt>
                <c:pt idx="1">
                  <c:v>150</c:v>
                </c:pt>
                <c:pt idx="2">
                  <c:v>150</c:v>
                </c:pt>
                <c:pt idx="3">
                  <c:v>150</c:v>
                </c:pt>
                <c:pt idx="4">
                  <c:v>75</c:v>
                </c:pt>
                <c:pt idx="5">
                  <c:v>38</c:v>
                </c:pt>
                <c:pt idx="6">
                  <c:v>23</c:v>
                </c:pt>
                <c:pt idx="7">
                  <c:v>0</c:v>
                </c:pt>
              </c:numCache>
            </c:numRef>
          </c:yVal>
          <c:smooth val="0"/>
          <c:extLst>
            <c:ext xmlns:c16="http://schemas.microsoft.com/office/drawing/2014/chart" uri="{C3380CC4-5D6E-409C-BE32-E72D297353CC}">
              <c16:uniqueId val="{00000000-3CB3-4C5B-8D36-C2E8B804C95B}"/>
            </c:ext>
          </c:extLst>
        </c:ser>
        <c:dLbls>
          <c:showLegendKey val="0"/>
          <c:showVal val="0"/>
          <c:showCatName val="0"/>
          <c:showSerName val="0"/>
          <c:showPercent val="0"/>
          <c:showBubbleSize val="0"/>
        </c:dLbls>
        <c:axId val="232973480"/>
        <c:axId val="232973872"/>
      </c:scatterChart>
      <c:valAx>
        <c:axId val="2329734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973872"/>
        <c:crosses val="autoZero"/>
        <c:crossBetween val="midCat"/>
        <c:minorUnit val="2"/>
      </c:valAx>
      <c:valAx>
        <c:axId val="2329738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9734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Sit!$J$46</c:f>
          <c:strCache>
            <c:ptCount val="1"/>
            <c:pt idx="0">
              <c:v>Muscle 16</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Sit!$A$569:$A$576</c:f>
              <c:numCache>
                <c:formatCode>0.00</c:formatCode>
                <c:ptCount val="8"/>
                <c:pt idx="0">
                  <c:v>0</c:v>
                </c:pt>
                <c:pt idx="1">
                  <c:v>50</c:v>
                </c:pt>
                <c:pt idx="2">
                  <c:v>55</c:v>
                </c:pt>
                <c:pt idx="3">
                  <c:v>60</c:v>
                </c:pt>
                <c:pt idx="4">
                  <c:v>75</c:v>
                </c:pt>
                <c:pt idx="5">
                  <c:v>88</c:v>
                </c:pt>
                <c:pt idx="6">
                  <c:v>94</c:v>
                </c:pt>
                <c:pt idx="7">
                  <c:v>100</c:v>
                </c:pt>
              </c:numCache>
            </c:numRef>
          </c:xVal>
          <c:yVal>
            <c:numRef>
              <c:f>Sit!$B$569:$B$576</c:f>
              <c:numCache>
                <c:formatCode>0</c:formatCode>
                <c:ptCount val="8"/>
                <c:pt idx="0">
                  <c:v>25</c:v>
                </c:pt>
                <c:pt idx="1">
                  <c:v>13</c:v>
                </c:pt>
                <c:pt idx="2">
                  <c:v>13</c:v>
                </c:pt>
                <c:pt idx="3">
                  <c:v>13</c:v>
                </c:pt>
                <c:pt idx="4">
                  <c:v>13</c:v>
                </c:pt>
                <c:pt idx="5">
                  <c:v>7</c:v>
                </c:pt>
                <c:pt idx="6">
                  <c:v>3</c:v>
                </c:pt>
                <c:pt idx="7">
                  <c:v>0</c:v>
                </c:pt>
              </c:numCache>
            </c:numRef>
          </c:yVal>
          <c:smooth val="0"/>
          <c:extLst>
            <c:ext xmlns:c16="http://schemas.microsoft.com/office/drawing/2014/chart" uri="{C3380CC4-5D6E-409C-BE32-E72D297353CC}">
              <c16:uniqueId val="{00000000-6890-4CDE-9255-8CD6C5676123}"/>
            </c:ext>
          </c:extLst>
        </c:ser>
        <c:dLbls>
          <c:showLegendKey val="0"/>
          <c:showVal val="0"/>
          <c:showCatName val="0"/>
          <c:showSerName val="0"/>
          <c:showPercent val="0"/>
          <c:showBubbleSize val="0"/>
        </c:dLbls>
        <c:axId val="232974264"/>
        <c:axId val="232974656"/>
      </c:scatterChart>
      <c:valAx>
        <c:axId val="2329742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974656"/>
        <c:crosses val="autoZero"/>
        <c:crossBetween val="midCat"/>
        <c:minorUnit val="2"/>
      </c:valAx>
      <c:valAx>
        <c:axId val="2329746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29742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Sit!$J$54</c:f>
          <c:strCache>
            <c:ptCount val="1"/>
            <c:pt idx="0">
              <c:v>Muscle 17</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Sit!$A$593:$A$600</c:f>
              <c:numCache>
                <c:formatCode>0.00</c:formatCode>
                <c:ptCount val="8"/>
                <c:pt idx="0">
                  <c:v>0</c:v>
                </c:pt>
                <c:pt idx="1">
                  <c:v>10</c:v>
                </c:pt>
                <c:pt idx="2">
                  <c:v>50</c:v>
                </c:pt>
                <c:pt idx="3">
                  <c:v>75</c:v>
                </c:pt>
                <c:pt idx="4">
                  <c:v>88</c:v>
                </c:pt>
                <c:pt idx="5">
                  <c:v>94</c:v>
                </c:pt>
                <c:pt idx="6">
                  <c:v>95</c:v>
                </c:pt>
                <c:pt idx="7">
                  <c:v>100</c:v>
                </c:pt>
              </c:numCache>
            </c:numRef>
          </c:xVal>
          <c:yVal>
            <c:numRef>
              <c:f>Sit!$B$593:$B$600</c:f>
              <c:numCache>
                <c:formatCode>0</c:formatCode>
                <c:ptCount val="8"/>
                <c:pt idx="0">
                  <c:v>50</c:v>
                </c:pt>
                <c:pt idx="1">
                  <c:v>50</c:v>
                </c:pt>
                <c:pt idx="2">
                  <c:v>50</c:v>
                </c:pt>
                <c:pt idx="3">
                  <c:v>50</c:v>
                </c:pt>
                <c:pt idx="4">
                  <c:v>50</c:v>
                </c:pt>
                <c:pt idx="5">
                  <c:v>50</c:v>
                </c:pt>
                <c:pt idx="6">
                  <c:v>50</c:v>
                </c:pt>
                <c:pt idx="7">
                  <c:v>50</c:v>
                </c:pt>
              </c:numCache>
            </c:numRef>
          </c:yVal>
          <c:smooth val="0"/>
          <c:extLst>
            <c:ext xmlns:c16="http://schemas.microsoft.com/office/drawing/2014/chart" uri="{C3380CC4-5D6E-409C-BE32-E72D297353CC}">
              <c16:uniqueId val="{00000000-E0E0-4EF3-B3E3-47D7A6ED4D9F}"/>
            </c:ext>
          </c:extLst>
        </c:ser>
        <c:dLbls>
          <c:showLegendKey val="0"/>
          <c:showVal val="0"/>
          <c:showCatName val="0"/>
          <c:showSerName val="0"/>
          <c:showPercent val="0"/>
          <c:showBubbleSize val="0"/>
        </c:dLbls>
        <c:axId val="233398136"/>
        <c:axId val="233398528"/>
      </c:scatterChart>
      <c:valAx>
        <c:axId val="2333981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398528"/>
        <c:crosses val="autoZero"/>
        <c:crossBetween val="midCat"/>
        <c:minorUnit val="2"/>
      </c:valAx>
      <c:valAx>
        <c:axId val="2333985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3981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Sit!$J$62</c:f>
          <c:strCache>
            <c:ptCount val="1"/>
            <c:pt idx="0">
              <c:v>Muscle 18</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Sit!$A$617:$A$624</c:f>
              <c:numCache>
                <c:formatCode>0.00</c:formatCode>
                <c:ptCount val="8"/>
                <c:pt idx="0">
                  <c:v>0</c:v>
                </c:pt>
                <c:pt idx="1">
                  <c:v>10</c:v>
                </c:pt>
                <c:pt idx="2">
                  <c:v>50</c:v>
                </c:pt>
                <c:pt idx="3">
                  <c:v>75</c:v>
                </c:pt>
                <c:pt idx="4">
                  <c:v>88</c:v>
                </c:pt>
                <c:pt idx="5">
                  <c:v>94</c:v>
                </c:pt>
                <c:pt idx="6">
                  <c:v>95</c:v>
                </c:pt>
                <c:pt idx="7">
                  <c:v>100</c:v>
                </c:pt>
              </c:numCache>
            </c:numRef>
          </c:xVal>
          <c:yVal>
            <c:numRef>
              <c:f>Sit!$B$617:$B$624</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6324-4FF9-AAE9-17BE7FAA9808}"/>
            </c:ext>
          </c:extLst>
        </c:ser>
        <c:dLbls>
          <c:showLegendKey val="0"/>
          <c:showVal val="0"/>
          <c:showCatName val="0"/>
          <c:showSerName val="0"/>
          <c:showPercent val="0"/>
          <c:showBubbleSize val="0"/>
        </c:dLbls>
        <c:axId val="233398920"/>
        <c:axId val="233399312"/>
      </c:scatterChart>
      <c:valAx>
        <c:axId val="2333989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399312"/>
        <c:crosses val="autoZero"/>
        <c:crossBetween val="midCat"/>
        <c:minorUnit val="2"/>
      </c:valAx>
      <c:valAx>
        <c:axId val="2333993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3989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Sit!$J$70</c:f>
          <c:strCache>
            <c:ptCount val="1"/>
            <c:pt idx="0">
              <c:v>Muscle 19</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Sit!$A$641:$A$648</c:f>
              <c:numCache>
                <c:formatCode>0.00</c:formatCode>
                <c:ptCount val="8"/>
                <c:pt idx="0">
                  <c:v>0</c:v>
                </c:pt>
                <c:pt idx="1">
                  <c:v>10</c:v>
                </c:pt>
                <c:pt idx="2">
                  <c:v>50</c:v>
                </c:pt>
                <c:pt idx="3">
                  <c:v>75</c:v>
                </c:pt>
                <c:pt idx="4">
                  <c:v>88</c:v>
                </c:pt>
                <c:pt idx="5">
                  <c:v>94</c:v>
                </c:pt>
                <c:pt idx="6">
                  <c:v>95</c:v>
                </c:pt>
                <c:pt idx="7">
                  <c:v>100</c:v>
                </c:pt>
              </c:numCache>
            </c:numRef>
          </c:xVal>
          <c:yVal>
            <c:numRef>
              <c:f>Sit!$B$641:$B$648</c:f>
              <c:numCache>
                <c:formatCode>0</c:formatCode>
                <c:ptCount val="8"/>
                <c:pt idx="0">
                  <c:v>100</c:v>
                </c:pt>
                <c:pt idx="1">
                  <c:v>100</c:v>
                </c:pt>
                <c:pt idx="2">
                  <c:v>100</c:v>
                </c:pt>
                <c:pt idx="3">
                  <c:v>100</c:v>
                </c:pt>
                <c:pt idx="4">
                  <c:v>100</c:v>
                </c:pt>
                <c:pt idx="5">
                  <c:v>100</c:v>
                </c:pt>
                <c:pt idx="6">
                  <c:v>100</c:v>
                </c:pt>
                <c:pt idx="7">
                  <c:v>100</c:v>
                </c:pt>
              </c:numCache>
            </c:numRef>
          </c:yVal>
          <c:smooth val="0"/>
          <c:extLst>
            <c:ext xmlns:c16="http://schemas.microsoft.com/office/drawing/2014/chart" uri="{C3380CC4-5D6E-409C-BE32-E72D297353CC}">
              <c16:uniqueId val="{00000000-413A-4154-B29D-9F51999FB5D2}"/>
            </c:ext>
          </c:extLst>
        </c:ser>
        <c:dLbls>
          <c:showLegendKey val="0"/>
          <c:showVal val="0"/>
          <c:showCatName val="0"/>
          <c:showSerName val="0"/>
          <c:showPercent val="0"/>
          <c:showBubbleSize val="0"/>
        </c:dLbls>
        <c:axId val="233400096"/>
        <c:axId val="233400488"/>
      </c:scatterChart>
      <c:valAx>
        <c:axId val="2334000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400488"/>
        <c:crosses val="autoZero"/>
        <c:crossBetween val="midCat"/>
        <c:minorUnit val="2"/>
      </c:valAx>
      <c:valAx>
        <c:axId val="2334004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4000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Sit!$J$78</c:f>
          <c:strCache>
            <c:ptCount val="1"/>
            <c:pt idx="0">
              <c:v>Muscle 20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Sit!$A$665:$A$672</c:f>
              <c:numCache>
                <c:formatCode>0.00</c:formatCode>
                <c:ptCount val="8"/>
                <c:pt idx="0">
                  <c:v>0</c:v>
                </c:pt>
                <c:pt idx="1">
                  <c:v>7.89</c:v>
                </c:pt>
                <c:pt idx="2">
                  <c:v>20</c:v>
                </c:pt>
                <c:pt idx="3">
                  <c:v>55.26</c:v>
                </c:pt>
                <c:pt idx="4">
                  <c:v>60</c:v>
                </c:pt>
                <c:pt idx="5">
                  <c:v>65</c:v>
                </c:pt>
                <c:pt idx="6">
                  <c:v>71.05</c:v>
                </c:pt>
                <c:pt idx="7">
                  <c:v>100</c:v>
                </c:pt>
              </c:numCache>
            </c:numRef>
          </c:xVal>
          <c:yVal>
            <c:numRef>
              <c:f>Sit!$B$665:$B$672</c:f>
              <c:numCache>
                <c:formatCode>0</c:formatCode>
                <c:ptCount val="8"/>
                <c:pt idx="0">
                  <c:v>200</c:v>
                </c:pt>
                <c:pt idx="1">
                  <c:v>200</c:v>
                </c:pt>
                <c:pt idx="2">
                  <c:v>200</c:v>
                </c:pt>
                <c:pt idx="3">
                  <c:v>200</c:v>
                </c:pt>
                <c:pt idx="4">
                  <c:v>200</c:v>
                </c:pt>
                <c:pt idx="5">
                  <c:v>200</c:v>
                </c:pt>
                <c:pt idx="6">
                  <c:v>200</c:v>
                </c:pt>
                <c:pt idx="7">
                  <c:v>200</c:v>
                </c:pt>
              </c:numCache>
            </c:numRef>
          </c:yVal>
          <c:smooth val="0"/>
          <c:extLst>
            <c:ext xmlns:c16="http://schemas.microsoft.com/office/drawing/2014/chart" uri="{C3380CC4-5D6E-409C-BE32-E72D297353CC}">
              <c16:uniqueId val="{00000000-0FAC-4DBA-AF33-6146C2F40500}"/>
            </c:ext>
          </c:extLst>
        </c:ser>
        <c:dLbls>
          <c:showLegendKey val="0"/>
          <c:showVal val="0"/>
          <c:showCatName val="0"/>
          <c:showSerName val="0"/>
          <c:showPercent val="0"/>
          <c:showBubbleSize val="0"/>
        </c:dLbls>
        <c:axId val="233401272"/>
        <c:axId val="233401664"/>
      </c:scatterChart>
      <c:valAx>
        <c:axId val="2334012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401664"/>
        <c:crosses val="autoZero"/>
        <c:crossBetween val="midCat"/>
        <c:minorUnit val="2"/>
      </c:valAx>
      <c:valAx>
        <c:axId val="2334016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4012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Sit!$J$86</c:f>
          <c:strCache>
            <c:ptCount val="1"/>
            <c:pt idx="0">
              <c:v>Muscle 21</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Sit!$A$689:$A$696</c:f>
              <c:numCache>
                <c:formatCode>0.00</c:formatCode>
                <c:ptCount val="8"/>
                <c:pt idx="0">
                  <c:v>0</c:v>
                </c:pt>
                <c:pt idx="1">
                  <c:v>7.89</c:v>
                </c:pt>
                <c:pt idx="2">
                  <c:v>20</c:v>
                </c:pt>
                <c:pt idx="3">
                  <c:v>55.26</c:v>
                </c:pt>
                <c:pt idx="4">
                  <c:v>60</c:v>
                </c:pt>
                <c:pt idx="5">
                  <c:v>65</c:v>
                </c:pt>
                <c:pt idx="6">
                  <c:v>71.05</c:v>
                </c:pt>
                <c:pt idx="7">
                  <c:v>100</c:v>
                </c:pt>
              </c:numCache>
            </c:numRef>
          </c:xVal>
          <c:yVal>
            <c:numRef>
              <c:f>Sit!$B$689:$B$696</c:f>
              <c:numCache>
                <c:formatCode>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4016-4DFA-9196-B67AB0396EDC}"/>
            </c:ext>
          </c:extLst>
        </c:ser>
        <c:dLbls>
          <c:showLegendKey val="0"/>
          <c:showVal val="0"/>
          <c:showCatName val="0"/>
          <c:showSerName val="0"/>
          <c:showPercent val="0"/>
          <c:showBubbleSize val="0"/>
        </c:dLbls>
        <c:axId val="233402448"/>
        <c:axId val="233402840"/>
      </c:scatterChart>
      <c:valAx>
        <c:axId val="2334024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402840"/>
        <c:crosses val="autoZero"/>
        <c:crossBetween val="midCat"/>
        <c:minorUnit val="2"/>
      </c:valAx>
      <c:valAx>
        <c:axId val="2334028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4024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Sit!$J$94</c:f>
          <c:strCache>
            <c:ptCount val="1"/>
            <c:pt idx="0">
              <c:v>Muscle 22</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Sit!$A$713:$A$720</c:f>
              <c:numCache>
                <c:formatCode>0.00</c:formatCode>
                <c:ptCount val="8"/>
                <c:pt idx="0">
                  <c:v>0</c:v>
                </c:pt>
                <c:pt idx="1">
                  <c:v>7.89</c:v>
                </c:pt>
                <c:pt idx="2">
                  <c:v>20</c:v>
                </c:pt>
                <c:pt idx="3">
                  <c:v>55.26</c:v>
                </c:pt>
                <c:pt idx="4">
                  <c:v>60</c:v>
                </c:pt>
                <c:pt idx="5">
                  <c:v>65</c:v>
                </c:pt>
                <c:pt idx="6">
                  <c:v>71.05</c:v>
                </c:pt>
                <c:pt idx="7">
                  <c:v>100</c:v>
                </c:pt>
              </c:numCache>
            </c:numRef>
          </c:xVal>
          <c:yVal>
            <c:numRef>
              <c:f>Sit!$B$713:$B$720</c:f>
              <c:numCache>
                <c:formatCode>0</c:formatCode>
                <c:ptCount val="8"/>
                <c:pt idx="0">
                  <c:v>90</c:v>
                </c:pt>
                <c:pt idx="1">
                  <c:v>90</c:v>
                </c:pt>
                <c:pt idx="2">
                  <c:v>90</c:v>
                </c:pt>
                <c:pt idx="3">
                  <c:v>90</c:v>
                </c:pt>
                <c:pt idx="4">
                  <c:v>90</c:v>
                </c:pt>
                <c:pt idx="5">
                  <c:v>90</c:v>
                </c:pt>
                <c:pt idx="6">
                  <c:v>0</c:v>
                </c:pt>
                <c:pt idx="7">
                  <c:v>0</c:v>
                </c:pt>
              </c:numCache>
            </c:numRef>
          </c:yVal>
          <c:smooth val="0"/>
          <c:extLst>
            <c:ext xmlns:c16="http://schemas.microsoft.com/office/drawing/2014/chart" uri="{C3380CC4-5D6E-409C-BE32-E72D297353CC}">
              <c16:uniqueId val="{00000000-11D1-4EA3-BD35-1740C15F246C}"/>
            </c:ext>
          </c:extLst>
        </c:ser>
        <c:dLbls>
          <c:showLegendKey val="0"/>
          <c:showVal val="0"/>
          <c:showCatName val="0"/>
          <c:showSerName val="0"/>
          <c:showPercent val="0"/>
          <c:showBubbleSize val="0"/>
        </c:dLbls>
        <c:axId val="233403624"/>
        <c:axId val="233404016"/>
      </c:scatterChart>
      <c:valAx>
        <c:axId val="2334036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404016"/>
        <c:crosses val="autoZero"/>
        <c:crossBetween val="midCat"/>
        <c:minorUnit val="2"/>
      </c:valAx>
      <c:valAx>
        <c:axId val="2334040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4036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Sit!$J$102</c:f>
          <c:strCache>
            <c:ptCount val="1"/>
            <c:pt idx="0">
              <c:v>Muscle 23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Sit!$A$737:$A$744</c:f>
              <c:numCache>
                <c:formatCode>0.00</c:formatCode>
                <c:ptCount val="8"/>
                <c:pt idx="0">
                  <c:v>0</c:v>
                </c:pt>
                <c:pt idx="1">
                  <c:v>7.89</c:v>
                </c:pt>
                <c:pt idx="2">
                  <c:v>20</c:v>
                </c:pt>
                <c:pt idx="3">
                  <c:v>55.26</c:v>
                </c:pt>
                <c:pt idx="4">
                  <c:v>60</c:v>
                </c:pt>
                <c:pt idx="5">
                  <c:v>65</c:v>
                </c:pt>
                <c:pt idx="6">
                  <c:v>71.05</c:v>
                </c:pt>
                <c:pt idx="7">
                  <c:v>100</c:v>
                </c:pt>
              </c:numCache>
            </c:numRef>
          </c:xVal>
          <c:yVal>
            <c:numRef>
              <c:f>Sit!$B$737:$B$744</c:f>
              <c:numCache>
                <c:formatCode>0</c:formatCode>
                <c:ptCount val="8"/>
                <c:pt idx="0">
                  <c:v>0</c:v>
                </c:pt>
                <c:pt idx="1">
                  <c:v>0</c:v>
                </c:pt>
                <c:pt idx="2">
                  <c:v>0</c:v>
                </c:pt>
                <c:pt idx="3">
                  <c:v>0</c:v>
                </c:pt>
                <c:pt idx="4">
                  <c:v>250</c:v>
                </c:pt>
                <c:pt idx="5">
                  <c:v>250</c:v>
                </c:pt>
                <c:pt idx="6">
                  <c:v>250</c:v>
                </c:pt>
                <c:pt idx="7">
                  <c:v>250</c:v>
                </c:pt>
              </c:numCache>
            </c:numRef>
          </c:yVal>
          <c:smooth val="0"/>
          <c:extLst>
            <c:ext xmlns:c16="http://schemas.microsoft.com/office/drawing/2014/chart" uri="{C3380CC4-5D6E-409C-BE32-E72D297353CC}">
              <c16:uniqueId val="{00000000-5C7E-4645-8166-FDA468ACA76D}"/>
            </c:ext>
          </c:extLst>
        </c:ser>
        <c:dLbls>
          <c:showLegendKey val="0"/>
          <c:showVal val="0"/>
          <c:showCatName val="0"/>
          <c:showSerName val="0"/>
          <c:showPercent val="0"/>
          <c:showBubbleSize val="0"/>
        </c:dLbls>
        <c:axId val="233404800"/>
        <c:axId val="233405192"/>
      </c:scatterChart>
      <c:valAx>
        <c:axId val="2334048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405192"/>
        <c:crosses val="autoZero"/>
        <c:crossBetween val="midCat"/>
        <c:minorUnit val="2"/>
      </c:valAx>
      <c:valAx>
        <c:axId val="2334051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34048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56.xml"/><Relationship Id="rId13" Type="http://schemas.openxmlformats.org/officeDocument/2006/relationships/chart" Target="../charts/chart61.xml"/><Relationship Id="rId18" Type="http://schemas.openxmlformats.org/officeDocument/2006/relationships/chart" Target="../charts/chart66.xml"/><Relationship Id="rId3" Type="http://schemas.openxmlformats.org/officeDocument/2006/relationships/chart" Target="../charts/chart51.xml"/><Relationship Id="rId21" Type="http://schemas.openxmlformats.org/officeDocument/2006/relationships/chart" Target="../charts/chart69.xml"/><Relationship Id="rId7" Type="http://schemas.openxmlformats.org/officeDocument/2006/relationships/chart" Target="../charts/chart55.xml"/><Relationship Id="rId12" Type="http://schemas.openxmlformats.org/officeDocument/2006/relationships/chart" Target="../charts/chart60.xml"/><Relationship Id="rId17" Type="http://schemas.openxmlformats.org/officeDocument/2006/relationships/chart" Target="../charts/chart65.xml"/><Relationship Id="rId2" Type="http://schemas.openxmlformats.org/officeDocument/2006/relationships/chart" Target="../charts/chart50.xml"/><Relationship Id="rId16" Type="http://schemas.openxmlformats.org/officeDocument/2006/relationships/chart" Target="../charts/chart64.xml"/><Relationship Id="rId20" Type="http://schemas.openxmlformats.org/officeDocument/2006/relationships/chart" Target="../charts/chart68.xml"/><Relationship Id="rId1" Type="http://schemas.openxmlformats.org/officeDocument/2006/relationships/chart" Target="../charts/chart49.xml"/><Relationship Id="rId6" Type="http://schemas.openxmlformats.org/officeDocument/2006/relationships/chart" Target="../charts/chart54.xml"/><Relationship Id="rId11" Type="http://schemas.openxmlformats.org/officeDocument/2006/relationships/chart" Target="../charts/chart59.xml"/><Relationship Id="rId24" Type="http://schemas.openxmlformats.org/officeDocument/2006/relationships/chart" Target="../charts/chart72.xml"/><Relationship Id="rId5" Type="http://schemas.openxmlformats.org/officeDocument/2006/relationships/chart" Target="../charts/chart53.xml"/><Relationship Id="rId15" Type="http://schemas.openxmlformats.org/officeDocument/2006/relationships/chart" Target="../charts/chart63.xml"/><Relationship Id="rId23" Type="http://schemas.openxmlformats.org/officeDocument/2006/relationships/chart" Target="../charts/chart71.xml"/><Relationship Id="rId10" Type="http://schemas.openxmlformats.org/officeDocument/2006/relationships/chart" Target="../charts/chart58.xml"/><Relationship Id="rId19" Type="http://schemas.openxmlformats.org/officeDocument/2006/relationships/chart" Target="../charts/chart67.xml"/><Relationship Id="rId4" Type="http://schemas.openxmlformats.org/officeDocument/2006/relationships/chart" Target="../charts/chart52.xml"/><Relationship Id="rId9" Type="http://schemas.openxmlformats.org/officeDocument/2006/relationships/chart" Target="../charts/chart57.xml"/><Relationship Id="rId14" Type="http://schemas.openxmlformats.org/officeDocument/2006/relationships/chart" Target="../charts/chart62.xml"/><Relationship Id="rId22" Type="http://schemas.openxmlformats.org/officeDocument/2006/relationships/chart" Target="../charts/chart70.xml"/></Relationships>
</file>

<file path=xl/drawings/_rels/drawing3.xml.rels><?xml version="1.0" encoding="UTF-8" standalone="yes"?>
<Relationships xmlns="http://schemas.openxmlformats.org/package/2006/relationships"><Relationship Id="rId8" Type="http://schemas.openxmlformats.org/officeDocument/2006/relationships/chart" Target="../charts/chart80.xml"/><Relationship Id="rId13" Type="http://schemas.openxmlformats.org/officeDocument/2006/relationships/chart" Target="../charts/chart85.xml"/><Relationship Id="rId18" Type="http://schemas.openxmlformats.org/officeDocument/2006/relationships/chart" Target="../charts/chart90.xml"/><Relationship Id="rId3" Type="http://schemas.openxmlformats.org/officeDocument/2006/relationships/chart" Target="../charts/chart75.xml"/><Relationship Id="rId21" Type="http://schemas.openxmlformats.org/officeDocument/2006/relationships/chart" Target="../charts/chart93.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10" Type="http://schemas.openxmlformats.org/officeDocument/2006/relationships/chart" Target="../charts/chart82.xml"/><Relationship Id="rId19" Type="http://schemas.openxmlformats.org/officeDocument/2006/relationships/chart" Target="../charts/chart91.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1028700</xdr:colOff>
          <xdr:row>37</xdr:row>
          <xdr:rowOff>152400</xdr:rowOff>
        </xdr:from>
        <xdr:to>
          <xdr:col>3</xdr:col>
          <xdr:colOff>1304925</xdr:colOff>
          <xdr:row>41</xdr:row>
          <xdr:rowOff>0</xdr:rowOff>
        </xdr:to>
        <xdr:sp macro="" textlink="">
          <xdr:nvSpPr>
            <xdr:cNvPr id="2068" name="Button 20" hidden="1">
              <a:extLst>
                <a:ext uri="{63B3BB69-23CF-44E3-9099-C40C66FF867C}">
                  <a14:compatExt spid="_x0000_s20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Walk Data and Save Entire Workbook if Data Passes</a:t>
              </a:r>
            </a:p>
          </xdr:txBody>
        </xdr:sp>
        <xdr:clientData fPrintsWithSheet="0"/>
      </xdr:twoCellAnchor>
    </mc:Choice>
    <mc:Fallback/>
  </mc:AlternateContent>
  <xdr:twoCellAnchor>
    <xdr:from>
      <xdr:col>2</xdr:col>
      <xdr:colOff>41672</xdr:colOff>
      <xdr:row>178</xdr:row>
      <xdr:rowOff>154781</xdr:rowOff>
    </xdr:from>
    <xdr:to>
      <xdr:col>6</xdr:col>
      <xdr:colOff>964406</xdr:colOff>
      <xdr:row>201</xdr:row>
      <xdr:rowOff>23813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1154906</xdr:colOff>
      <xdr:row>178</xdr:row>
      <xdr:rowOff>154781</xdr:rowOff>
    </xdr:from>
    <xdr:to>
      <xdr:col>13</xdr:col>
      <xdr:colOff>601265</xdr:colOff>
      <xdr:row>201</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202</xdr:row>
      <xdr:rowOff>154781</xdr:rowOff>
    </xdr:from>
    <xdr:to>
      <xdr:col>6</xdr:col>
      <xdr:colOff>970360</xdr:colOff>
      <xdr:row>225</xdr:row>
      <xdr:rowOff>23813</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1143001</xdr:colOff>
      <xdr:row>202</xdr:row>
      <xdr:rowOff>154781</xdr:rowOff>
    </xdr:from>
    <xdr:to>
      <xdr:col>13</xdr:col>
      <xdr:colOff>589360</xdr:colOff>
      <xdr:row>225</xdr:row>
      <xdr:rowOff>23813</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47626</xdr:colOff>
      <xdr:row>227</xdr:row>
      <xdr:rowOff>11906</xdr:rowOff>
    </xdr:from>
    <xdr:to>
      <xdr:col>6</xdr:col>
      <xdr:colOff>970360</xdr:colOff>
      <xdr:row>249</xdr:row>
      <xdr:rowOff>47625</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1131095</xdr:colOff>
      <xdr:row>227</xdr:row>
      <xdr:rowOff>11907</xdr:rowOff>
    </xdr:from>
    <xdr:to>
      <xdr:col>13</xdr:col>
      <xdr:colOff>577454</xdr:colOff>
      <xdr:row>249</xdr:row>
      <xdr:rowOff>47626</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47625</xdr:colOff>
      <xdr:row>250</xdr:row>
      <xdr:rowOff>154781</xdr:rowOff>
    </xdr:from>
    <xdr:to>
      <xdr:col>6</xdr:col>
      <xdr:colOff>970359</xdr:colOff>
      <xdr:row>273</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1143001</xdr:colOff>
      <xdr:row>250</xdr:row>
      <xdr:rowOff>154782</xdr:rowOff>
    </xdr:from>
    <xdr:to>
      <xdr:col>13</xdr:col>
      <xdr:colOff>589360</xdr:colOff>
      <xdr:row>273</xdr:row>
      <xdr:rowOff>23814</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59532</xdr:colOff>
      <xdr:row>274</xdr:row>
      <xdr:rowOff>154781</xdr:rowOff>
    </xdr:from>
    <xdr:to>
      <xdr:col>6</xdr:col>
      <xdr:colOff>982266</xdr:colOff>
      <xdr:row>297</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1143000</xdr:colOff>
      <xdr:row>274</xdr:row>
      <xdr:rowOff>142874</xdr:rowOff>
    </xdr:from>
    <xdr:to>
      <xdr:col>13</xdr:col>
      <xdr:colOff>589359</xdr:colOff>
      <xdr:row>297</xdr:row>
      <xdr:rowOff>11906</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59532</xdr:colOff>
      <xdr:row>299</xdr:row>
      <xdr:rowOff>0</xdr:rowOff>
    </xdr:from>
    <xdr:to>
      <xdr:col>6</xdr:col>
      <xdr:colOff>982266</xdr:colOff>
      <xdr:row>321</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1143000</xdr:colOff>
      <xdr:row>299</xdr:row>
      <xdr:rowOff>0</xdr:rowOff>
    </xdr:from>
    <xdr:to>
      <xdr:col>13</xdr:col>
      <xdr:colOff>589359</xdr:colOff>
      <xdr:row>321</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59532</xdr:colOff>
      <xdr:row>323</xdr:row>
      <xdr:rowOff>0</xdr:rowOff>
    </xdr:from>
    <xdr:to>
      <xdr:col>6</xdr:col>
      <xdr:colOff>982266</xdr:colOff>
      <xdr:row>345</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1143000</xdr:colOff>
      <xdr:row>323</xdr:row>
      <xdr:rowOff>1</xdr:rowOff>
    </xdr:from>
    <xdr:to>
      <xdr:col>13</xdr:col>
      <xdr:colOff>589359</xdr:colOff>
      <xdr:row>345</xdr:row>
      <xdr:rowOff>35720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59531</xdr:colOff>
      <xdr:row>347</xdr:row>
      <xdr:rowOff>0</xdr:rowOff>
    </xdr:from>
    <xdr:to>
      <xdr:col>6</xdr:col>
      <xdr:colOff>982265</xdr:colOff>
      <xdr:row>369</xdr:row>
      <xdr:rowOff>35719</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1143001</xdr:colOff>
      <xdr:row>347</xdr:row>
      <xdr:rowOff>0</xdr:rowOff>
    </xdr:from>
    <xdr:to>
      <xdr:col>13</xdr:col>
      <xdr:colOff>589360</xdr:colOff>
      <xdr:row>369</xdr:row>
      <xdr:rowOff>35719</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59531</xdr:colOff>
      <xdr:row>371</xdr:row>
      <xdr:rowOff>1</xdr:rowOff>
    </xdr:from>
    <xdr:to>
      <xdr:col>6</xdr:col>
      <xdr:colOff>982265</xdr:colOff>
      <xdr:row>393</xdr:row>
      <xdr:rowOff>35720</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1131094</xdr:colOff>
      <xdr:row>371</xdr:row>
      <xdr:rowOff>0</xdr:rowOff>
    </xdr:from>
    <xdr:to>
      <xdr:col>13</xdr:col>
      <xdr:colOff>577453</xdr:colOff>
      <xdr:row>393</xdr:row>
      <xdr:rowOff>35719</xdr:rowOff>
    </xdr:to>
    <xdr:graphicFrame macro="">
      <xdr:nvGraphicFramePr>
        <xdr:cNvPr id="4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395</xdr:row>
      <xdr:rowOff>11906</xdr:rowOff>
    </xdr:from>
    <xdr:to>
      <xdr:col>6</xdr:col>
      <xdr:colOff>982266</xdr:colOff>
      <xdr:row>417</xdr:row>
      <xdr:rowOff>47625</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1131095</xdr:colOff>
      <xdr:row>395</xdr:row>
      <xdr:rowOff>11906</xdr:rowOff>
    </xdr:from>
    <xdr:to>
      <xdr:col>13</xdr:col>
      <xdr:colOff>577454</xdr:colOff>
      <xdr:row>417</xdr:row>
      <xdr:rowOff>47625</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71438</xdr:colOff>
      <xdr:row>419</xdr:row>
      <xdr:rowOff>11907</xdr:rowOff>
    </xdr:from>
    <xdr:to>
      <xdr:col>6</xdr:col>
      <xdr:colOff>994172</xdr:colOff>
      <xdr:row>441</xdr:row>
      <xdr:rowOff>47626</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1119188</xdr:colOff>
      <xdr:row>419</xdr:row>
      <xdr:rowOff>11906</xdr:rowOff>
    </xdr:from>
    <xdr:to>
      <xdr:col>13</xdr:col>
      <xdr:colOff>565547</xdr:colOff>
      <xdr:row>441</xdr:row>
      <xdr:rowOff>47625</xdr:rowOff>
    </xdr:to>
    <xdr:graphicFrame macro="">
      <xdr:nvGraphicFramePr>
        <xdr:cNvPr id="48"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83344</xdr:colOff>
      <xdr:row>443</xdr:row>
      <xdr:rowOff>0</xdr:rowOff>
    </xdr:from>
    <xdr:to>
      <xdr:col>6</xdr:col>
      <xdr:colOff>1006078</xdr:colOff>
      <xdr:row>465</xdr:row>
      <xdr:rowOff>35719</xdr:rowOff>
    </xdr:to>
    <xdr:graphicFrame macro="">
      <xdr:nvGraphicFramePr>
        <xdr:cNvPr id="50"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xdr:col>
      <xdr:colOff>1119188</xdr:colOff>
      <xdr:row>443</xdr:row>
      <xdr:rowOff>0</xdr:rowOff>
    </xdr:from>
    <xdr:to>
      <xdr:col>13</xdr:col>
      <xdr:colOff>565547</xdr:colOff>
      <xdr:row>465</xdr:row>
      <xdr:rowOff>35719</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xdr:col>
      <xdr:colOff>41672</xdr:colOff>
      <xdr:row>467</xdr:row>
      <xdr:rowOff>154781</xdr:rowOff>
    </xdr:from>
    <xdr:to>
      <xdr:col>6</xdr:col>
      <xdr:colOff>964406</xdr:colOff>
      <xdr:row>490</xdr:row>
      <xdr:rowOff>23813</xdr:rowOff>
    </xdr:to>
    <xdr:graphicFrame macro="">
      <xdr:nvGraphicFramePr>
        <xdr:cNvPr id="100" name="Chart 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xdr:col>
      <xdr:colOff>1154907</xdr:colOff>
      <xdr:row>467</xdr:row>
      <xdr:rowOff>154781</xdr:rowOff>
    </xdr:from>
    <xdr:to>
      <xdr:col>13</xdr:col>
      <xdr:colOff>601266</xdr:colOff>
      <xdr:row>490</xdr:row>
      <xdr:rowOff>23813</xdr:rowOff>
    </xdr:to>
    <xdr:graphicFrame macro="">
      <xdr:nvGraphicFramePr>
        <xdr:cNvPr id="101" name="Chart 1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xdr:col>
      <xdr:colOff>47626</xdr:colOff>
      <xdr:row>491</xdr:row>
      <xdr:rowOff>154781</xdr:rowOff>
    </xdr:from>
    <xdr:to>
      <xdr:col>6</xdr:col>
      <xdr:colOff>970360</xdr:colOff>
      <xdr:row>514</xdr:row>
      <xdr:rowOff>23813</xdr:rowOff>
    </xdr:to>
    <xdr:graphicFrame macro="">
      <xdr:nvGraphicFramePr>
        <xdr:cNvPr id="102" name="Chart 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xdr:col>
      <xdr:colOff>1143001</xdr:colOff>
      <xdr:row>491</xdr:row>
      <xdr:rowOff>154781</xdr:rowOff>
    </xdr:from>
    <xdr:to>
      <xdr:col>13</xdr:col>
      <xdr:colOff>589360</xdr:colOff>
      <xdr:row>514</xdr:row>
      <xdr:rowOff>23813</xdr:rowOff>
    </xdr:to>
    <xdr:graphicFrame macro="">
      <xdr:nvGraphicFramePr>
        <xdr:cNvPr id="103" name="Chart 1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xdr:col>
      <xdr:colOff>47626</xdr:colOff>
      <xdr:row>516</xdr:row>
      <xdr:rowOff>11906</xdr:rowOff>
    </xdr:from>
    <xdr:to>
      <xdr:col>6</xdr:col>
      <xdr:colOff>970360</xdr:colOff>
      <xdr:row>538</xdr:row>
      <xdr:rowOff>47625</xdr:rowOff>
    </xdr:to>
    <xdr:graphicFrame macro="">
      <xdr:nvGraphicFramePr>
        <xdr:cNvPr id="104" name="Chart 1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1178720</xdr:colOff>
      <xdr:row>516</xdr:row>
      <xdr:rowOff>1</xdr:rowOff>
    </xdr:from>
    <xdr:to>
      <xdr:col>13</xdr:col>
      <xdr:colOff>625079</xdr:colOff>
      <xdr:row>538</xdr:row>
      <xdr:rowOff>35720</xdr:rowOff>
    </xdr:to>
    <xdr:graphicFrame macro="">
      <xdr:nvGraphicFramePr>
        <xdr:cNvPr id="105" name="Chart 10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xdr:col>
      <xdr:colOff>47625</xdr:colOff>
      <xdr:row>539</xdr:row>
      <xdr:rowOff>154781</xdr:rowOff>
    </xdr:from>
    <xdr:to>
      <xdr:col>6</xdr:col>
      <xdr:colOff>970359</xdr:colOff>
      <xdr:row>562</xdr:row>
      <xdr:rowOff>23813</xdr:rowOff>
    </xdr:to>
    <xdr:graphicFrame macro="">
      <xdr:nvGraphicFramePr>
        <xdr:cNvPr id="106" name="Chart 1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1143001</xdr:colOff>
      <xdr:row>539</xdr:row>
      <xdr:rowOff>154782</xdr:rowOff>
    </xdr:from>
    <xdr:to>
      <xdr:col>13</xdr:col>
      <xdr:colOff>589360</xdr:colOff>
      <xdr:row>562</xdr:row>
      <xdr:rowOff>23814</xdr:rowOff>
    </xdr:to>
    <xdr:graphicFrame macro="">
      <xdr:nvGraphicFramePr>
        <xdr:cNvPr id="107" name="Chart 10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2</xdr:col>
      <xdr:colOff>47625</xdr:colOff>
      <xdr:row>563</xdr:row>
      <xdr:rowOff>154781</xdr:rowOff>
    </xdr:from>
    <xdr:to>
      <xdr:col>6</xdr:col>
      <xdr:colOff>970359</xdr:colOff>
      <xdr:row>586</xdr:row>
      <xdr:rowOff>23813</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6</xdr:col>
      <xdr:colOff>1143001</xdr:colOff>
      <xdr:row>563</xdr:row>
      <xdr:rowOff>154782</xdr:rowOff>
    </xdr:from>
    <xdr:to>
      <xdr:col>13</xdr:col>
      <xdr:colOff>589360</xdr:colOff>
      <xdr:row>586</xdr:row>
      <xdr:rowOff>23814</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2</xdr:col>
      <xdr:colOff>47625</xdr:colOff>
      <xdr:row>587</xdr:row>
      <xdr:rowOff>154781</xdr:rowOff>
    </xdr:from>
    <xdr:to>
      <xdr:col>6</xdr:col>
      <xdr:colOff>970359</xdr:colOff>
      <xdr:row>610</xdr:row>
      <xdr:rowOff>23813</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1143001</xdr:colOff>
      <xdr:row>587</xdr:row>
      <xdr:rowOff>154782</xdr:rowOff>
    </xdr:from>
    <xdr:to>
      <xdr:col>13</xdr:col>
      <xdr:colOff>589360</xdr:colOff>
      <xdr:row>610</xdr:row>
      <xdr:rowOff>23814</xdr:rowOff>
    </xdr:to>
    <xdr:graphicFrame macro="">
      <xdr:nvGraphicFramePr>
        <xdr:cNvPr id="52"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2</xdr:col>
      <xdr:colOff>47625</xdr:colOff>
      <xdr:row>611</xdr:row>
      <xdr:rowOff>154781</xdr:rowOff>
    </xdr:from>
    <xdr:to>
      <xdr:col>6</xdr:col>
      <xdr:colOff>970359</xdr:colOff>
      <xdr:row>634</xdr:row>
      <xdr:rowOff>23813</xdr:rowOff>
    </xdr:to>
    <xdr:graphicFrame macro="">
      <xdr:nvGraphicFramePr>
        <xdr:cNvPr id="53"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6</xdr:col>
      <xdr:colOff>1143001</xdr:colOff>
      <xdr:row>611</xdr:row>
      <xdr:rowOff>154782</xdr:rowOff>
    </xdr:from>
    <xdr:to>
      <xdr:col>13</xdr:col>
      <xdr:colOff>589360</xdr:colOff>
      <xdr:row>634</xdr:row>
      <xdr:rowOff>23814</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2</xdr:col>
      <xdr:colOff>47625</xdr:colOff>
      <xdr:row>635</xdr:row>
      <xdr:rowOff>154781</xdr:rowOff>
    </xdr:from>
    <xdr:to>
      <xdr:col>6</xdr:col>
      <xdr:colOff>970359</xdr:colOff>
      <xdr:row>658</xdr:row>
      <xdr:rowOff>23813</xdr:rowOff>
    </xdr:to>
    <xdr:graphicFrame macro="">
      <xdr:nvGraphicFramePr>
        <xdr:cNvPr id="55"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6</xdr:col>
      <xdr:colOff>1143001</xdr:colOff>
      <xdr:row>635</xdr:row>
      <xdr:rowOff>154782</xdr:rowOff>
    </xdr:from>
    <xdr:to>
      <xdr:col>13</xdr:col>
      <xdr:colOff>589360</xdr:colOff>
      <xdr:row>658</xdr:row>
      <xdr:rowOff>23814</xdr:rowOff>
    </xdr:to>
    <xdr:graphicFrame macro="">
      <xdr:nvGraphicFramePr>
        <xdr:cNvPr id="56" name="Chart 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2</xdr:col>
      <xdr:colOff>47625</xdr:colOff>
      <xdr:row>659</xdr:row>
      <xdr:rowOff>154781</xdr:rowOff>
    </xdr:from>
    <xdr:to>
      <xdr:col>6</xdr:col>
      <xdr:colOff>970359</xdr:colOff>
      <xdr:row>682</xdr:row>
      <xdr:rowOff>23813</xdr:rowOff>
    </xdr:to>
    <xdr:graphicFrame macro="">
      <xdr:nvGraphicFramePr>
        <xdr:cNvPr id="57" name="Chart 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6</xdr:col>
      <xdr:colOff>1143001</xdr:colOff>
      <xdr:row>659</xdr:row>
      <xdr:rowOff>154782</xdr:rowOff>
    </xdr:from>
    <xdr:to>
      <xdr:col>13</xdr:col>
      <xdr:colOff>589360</xdr:colOff>
      <xdr:row>682</xdr:row>
      <xdr:rowOff>23814</xdr:rowOff>
    </xdr:to>
    <xdr:graphicFrame macro="">
      <xdr:nvGraphicFramePr>
        <xdr:cNvPr id="58" name="Chart 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2</xdr:col>
      <xdr:colOff>47625</xdr:colOff>
      <xdr:row>683</xdr:row>
      <xdr:rowOff>154781</xdr:rowOff>
    </xdr:from>
    <xdr:to>
      <xdr:col>6</xdr:col>
      <xdr:colOff>970359</xdr:colOff>
      <xdr:row>706</xdr:row>
      <xdr:rowOff>23813</xdr:rowOff>
    </xdr:to>
    <xdr:graphicFrame macro="">
      <xdr:nvGraphicFramePr>
        <xdr:cNvPr id="59" name="Chart 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6</xdr:col>
      <xdr:colOff>1143001</xdr:colOff>
      <xdr:row>683</xdr:row>
      <xdr:rowOff>154782</xdr:rowOff>
    </xdr:from>
    <xdr:to>
      <xdr:col>13</xdr:col>
      <xdr:colOff>589360</xdr:colOff>
      <xdr:row>706</xdr:row>
      <xdr:rowOff>23814</xdr:rowOff>
    </xdr:to>
    <xdr:graphicFrame macro="">
      <xdr:nvGraphicFramePr>
        <xdr:cNvPr id="60" name="Chart 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2</xdr:col>
      <xdr:colOff>47625</xdr:colOff>
      <xdr:row>707</xdr:row>
      <xdr:rowOff>154781</xdr:rowOff>
    </xdr:from>
    <xdr:to>
      <xdr:col>6</xdr:col>
      <xdr:colOff>970359</xdr:colOff>
      <xdr:row>730</xdr:row>
      <xdr:rowOff>23813</xdr:rowOff>
    </xdr:to>
    <xdr:graphicFrame macro="">
      <xdr:nvGraphicFramePr>
        <xdr:cNvPr id="61"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6</xdr:col>
      <xdr:colOff>1143001</xdr:colOff>
      <xdr:row>707</xdr:row>
      <xdr:rowOff>154782</xdr:rowOff>
    </xdr:from>
    <xdr:to>
      <xdr:col>13</xdr:col>
      <xdr:colOff>589360</xdr:colOff>
      <xdr:row>730</xdr:row>
      <xdr:rowOff>23814</xdr:rowOff>
    </xdr:to>
    <xdr:graphicFrame macro="">
      <xdr:nvGraphicFramePr>
        <xdr:cNvPr id="62" name="Chart 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2</xdr:col>
      <xdr:colOff>47625</xdr:colOff>
      <xdr:row>731</xdr:row>
      <xdr:rowOff>154781</xdr:rowOff>
    </xdr:from>
    <xdr:to>
      <xdr:col>6</xdr:col>
      <xdr:colOff>970359</xdr:colOff>
      <xdr:row>754</xdr:row>
      <xdr:rowOff>23813</xdr:rowOff>
    </xdr:to>
    <xdr:graphicFrame macro="">
      <xdr:nvGraphicFramePr>
        <xdr:cNvPr id="63" name="Chart 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6</xdr:col>
      <xdr:colOff>1143001</xdr:colOff>
      <xdr:row>731</xdr:row>
      <xdr:rowOff>154782</xdr:rowOff>
    </xdr:from>
    <xdr:to>
      <xdr:col>13</xdr:col>
      <xdr:colOff>589360</xdr:colOff>
      <xdr:row>754</xdr:row>
      <xdr:rowOff>23814</xdr:rowOff>
    </xdr:to>
    <xdr:graphicFrame macro="">
      <xdr:nvGraphicFramePr>
        <xdr:cNvPr id="64" name="Chart 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36</xdr:row>
          <xdr:rowOff>152400</xdr:rowOff>
        </xdr:from>
        <xdr:to>
          <xdr:col>3</xdr:col>
          <xdr:colOff>1295400</xdr:colOff>
          <xdr:row>40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Stand Data and Save Entire Workbook if Data Passes</a:t>
              </a:r>
            </a:p>
          </xdr:txBody>
        </xdr:sp>
        <xdr:clientData fPrintsWithSheet="0"/>
      </xdr:twoCellAnchor>
    </mc:Choice>
    <mc:Fallback/>
  </mc:AlternateContent>
  <xdr:twoCellAnchor>
    <xdr:from>
      <xdr:col>2</xdr:col>
      <xdr:colOff>41672</xdr:colOff>
      <xdr:row>178</xdr:row>
      <xdr:rowOff>154781</xdr:rowOff>
    </xdr:from>
    <xdr:to>
      <xdr:col>6</xdr:col>
      <xdr:colOff>964406</xdr:colOff>
      <xdr:row>201</xdr:row>
      <xdr:rowOff>23813</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47626</xdr:colOff>
      <xdr:row>202</xdr:row>
      <xdr:rowOff>154781</xdr:rowOff>
    </xdr:from>
    <xdr:to>
      <xdr:col>6</xdr:col>
      <xdr:colOff>970360</xdr:colOff>
      <xdr:row>225</xdr:row>
      <xdr:rowOff>23813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227</xdr:row>
      <xdr:rowOff>11906</xdr:rowOff>
    </xdr:from>
    <xdr:to>
      <xdr:col>6</xdr:col>
      <xdr:colOff>970360</xdr:colOff>
      <xdr:row>249</xdr:row>
      <xdr:rowOff>47625</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47625</xdr:colOff>
      <xdr:row>250</xdr:row>
      <xdr:rowOff>154781</xdr:rowOff>
    </xdr:from>
    <xdr:to>
      <xdr:col>6</xdr:col>
      <xdr:colOff>970359</xdr:colOff>
      <xdr:row>273</xdr:row>
      <xdr:rowOff>23813</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59532</xdr:colOff>
      <xdr:row>274</xdr:row>
      <xdr:rowOff>154781</xdr:rowOff>
    </xdr:from>
    <xdr:to>
      <xdr:col>6</xdr:col>
      <xdr:colOff>982266</xdr:colOff>
      <xdr:row>297</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59532</xdr:colOff>
      <xdr:row>299</xdr:row>
      <xdr:rowOff>0</xdr:rowOff>
    </xdr:from>
    <xdr:to>
      <xdr:col>6</xdr:col>
      <xdr:colOff>982266</xdr:colOff>
      <xdr:row>321</xdr:row>
      <xdr:rowOff>35719</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59532</xdr:colOff>
      <xdr:row>323</xdr:row>
      <xdr:rowOff>0</xdr:rowOff>
    </xdr:from>
    <xdr:to>
      <xdr:col>6</xdr:col>
      <xdr:colOff>982266</xdr:colOff>
      <xdr:row>345</xdr:row>
      <xdr:rowOff>35719</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59531</xdr:colOff>
      <xdr:row>347</xdr:row>
      <xdr:rowOff>0</xdr:rowOff>
    </xdr:from>
    <xdr:to>
      <xdr:col>6</xdr:col>
      <xdr:colOff>982265</xdr:colOff>
      <xdr:row>369</xdr:row>
      <xdr:rowOff>35719</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59531</xdr:colOff>
      <xdr:row>371</xdr:row>
      <xdr:rowOff>1</xdr:rowOff>
    </xdr:from>
    <xdr:to>
      <xdr:col>6</xdr:col>
      <xdr:colOff>982265</xdr:colOff>
      <xdr:row>393</xdr:row>
      <xdr:rowOff>35720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59532</xdr:colOff>
      <xdr:row>395</xdr:row>
      <xdr:rowOff>11906</xdr:rowOff>
    </xdr:from>
    <xdr:to>
      <xdr:col>6</xdr:col>
      <xdr:colOff>982266</xdr:colOff>
      <xdr:row>417</xdr:row>
      <xdr:rowOff>47625</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71438</xdr:colOff>
      <xdr:row>419</xdr:row>
      <xdr:rowOff>11907</xdr:rowOff>
    </xdr:from>
    <xdr:to>
      <xdr:col>6</xdr:col>
      <xdr:colOff>994172</xdr:colOff>
      <xdr:row>441</xdr:row>
      <xdr:rowOff>47626</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83344</xdr:colOff>
      <xdr:row>443</xdr:row>
      <xdr:rowOff>0</xdr:rowOff>
    </xdr:from>
    <xdr:to>
      <xdr:col>6</xdr:col>
      <xdr:colOff>1006078</xdr:colOff>
      <xdr:row>465</xdr:row>
      <xdr:rowOff>35719</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41672</xdr:colOff>
      <xdr:row>467</xdr:row>
      <xdr:rowOff>154781</xdr:rowOff>
    </xdr:from>
    <xdr:to>
      <xdr:col>6</xdr:col>
      <xdr:colOff>964406</xdr:colOff>
      <xdr:row>490</xdr:row>
      <xdr:rowOff>23813</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47626</xdr:colOff>
      <xdr:row>491</xdr:row>
      <xdr:rowOff>154781</xdr:rowOff>
    </xdr:from>
    <xdr:to>
      <xdr:col>6</xdr:col>
      <xdr:colOff>970360</xdr:colOff>
      <xdr:row>514</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47626</xdr:colOff>
      <xdr:row>516</xdr:row>
      <xdr:rowOff>11906</xdr:rowOff>
    </xdr:from>
    <xdr:to>
      <xdr:col>6</xdr:col>
      <xdr:colOff>970360</xdr:colOff>
      <xdr:row>538</xdr:row>
      <xdr:rowOff>47625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47625</xdr:colOff>
      <xdr:row>539</xdr:row>
      <xdr:rowOff>154781</xdr:rowOff>
    </xdr:from>
    <xdr:to>
      <xdr:col>6</xdr:col>
      <xdr:colOff>970359</xdr:colOff>
      <xdr:row>562</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59532</xdr:colOff>
      <xdr:row>563</xdr:row>
      <xdr:rowOff>154781</xdr:rowOff>
    </xdr:from>
    <xdr:to>
      <xdr:col>6</xdr:col>
      <xdr:colOff>982266</xdr:colOff>
      <xdr:row>586</xdr:row>
      <xdr:rowOff>23813</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59532</xdr:colOff>
      <xdr:row>588</xdr:row>
      <xdr:rowOff>0</xdr:rowOff>
    </xdr:from>
    <xdr:to>
      <xdr:col>6</xdr:col>
      <xdr:colOff>982266</xdr:colOff>
      <xdr:row>610</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612</xdr:row>
      <xdr:rowOff>0</xdr:rowOff>
    </xdr:from>
    <xdr:to>
      <xdr:col>6</xdr:col>
      <xdr:colOff>982266</xdr:colOff>
      <xdr:row>634</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59531</xdr:colOff>
      <xdr:row>636</xdr:row>
      <xdr:rowOff>0</xdr:rowOff>
    </xdr:from>
    <xdr:to>
      <xdr:col>6</xdr:col>
      <xdr:colOff>982265</xdr:colOff>
      <xdr:row>658</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59531</xdr:colOff>
      <xdr:row>660</xdr:row>
      <xdr:rowOff>1</xdr:rowOff>
    </xdr:from>
    <xdr:to>
      <xdr:col>6</xdr:col>
      <xdr:colOff>982265</xdr:colOff>
      <xdr:row>682</xdr:row>
      <xdr:rowOff>35720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59532</xdr:colOff>
      <xdr:row>684</xdr:row>
      <xdr:rowOff>11906</xdr:rowOff>
    </xdr:from>
    <xdr:to>
      <xdr:col>6</xdr:col>
      <xdr:colOff>982266</xdr:colOff>
      <xdr:row>706</xdr:row>
      <xdr:rowOff>47625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71438</xdr:colOff>
      <xdr:row>708</xdr:row>
      <xdr:rowOff>11907</xdr:rowOff>
    </xdr:from>
    <xdr:to>
      <xdr:col>6</xdr:col>
      <xdr:colOff>994172</xdr:colOff>
      <xdr:row>730</xdr:row>
      <xdr:rowOff>47626</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83344</xdr:colOff>
      <xdr:row>732</xdr:row>
      <xdr:rowOff>0</xdr:rowOff>
    </xdr:from>
    <xdr:to>
      <xdr:col>6</xdr:col>
      <xdr:colOff>1006078</xdr:colOff>
      <xdr:row>754</xdr:row>
      <xdr:rowOff>35719</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36</xdr:row>
          <xdr:rowOff>152400</xdr:rowOff>
        </xdr:from>
        <xdr:to>
          <xdr:col>3</xdr:col>
          <xdr:colOff>1295400</xdr:colOff>
          <xdr:row>40</xdr:row>
          <xdr:rowOff>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Sit Data and Save Entire Workbook if Data Passes</a:t>
              </a:r>
            </a:p>
          </xdr:txBody>
        </xdr:sp>
        <xdr:clientData fPrintsWithSheet="0"/>
      </xdr:twoCellAnchor>
    </mc:Choice>
    <mc:Fallback/>
  </mc:AlternateContent>
  <xdr:twoCellAnchor>
    <xdr:from>
      <xdr:col>2</xdr:col>
      <xdr:colOff>41672</xdr:colOff>
      <xdr:row>178</xdr:row>
      <xdr:rowOff>154781</xdr:rowOff>
    </xdr:from>
    <xdr:to>
      <xdr:col>6</xdr:col>
      <xdr:colOff>964406</xdr:colOff>
      <xdr:row>201</xdr:row>
      <xdr:rowOff>23813</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47626</xdr:colOff>
      <xdr:row>202</xdr:row>
      <xdr:rowOff>154781</xdr:rowOff>
    </xdr:from>
    <xdr:to>
      <xdr:col>6</xdr:col>
      <xdr:colOff>970360</xdr:colOff>
      <xdr:row>225</xdr:row>
      <xdr:rowOff>23813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227</xdr:row>
      <xdr:rowOff>11906</xdr:rowOff>
    </xdr:from>
    <xdr:to>
      <xdr:col>6</xdr:col>
      <xdr:colOff>970360</xdr:colOff>
      <xdr:row>249</xdr:row>
      <xdr:rowOff>47625</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47625</xdr:colOff>
      <xdr:row>250</xdr:row>
      <xdr:rowOff>154781</xdr:rowOff>
    </xdr:from>
    <xdr:to>
      <xdr:col>6</xdr:col>
      <xdr:colOff>970359</xdr:colOff>
      <xdr:row>273</xdr:row>
      <xdr:rowOff>23813</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59532</xdr:colOff>
      <xdr:row>274</xdr:row>
      <xdr:rowOff>154781</xdr:rowOff>
    </xdr:from>
    <xdr:to>
      <xdr:col>6</xdr:col>
      <xdr:colOff>982266</xdr:colOff>
      <xdr:row>297</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59532</xdr:colOff>
      <xdr:row>299</xdr:row>
      <xdr:rowOff>0</xdr:rowOff>
    </xdr:from>
    <xdr:to>
      <xdr:col>6</xdr:col>
      <xdr:colOff>982266</xdr:colOff>
      <xdr:row>321</xdr:row>
      <xdr:rowOff>35719</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59532</xdr:colOff>
      <xdr:row>323</xdr:row>
      <xdr:rowOff>0</xdr:rowOff>
    </xdr:from>
    <xdr:to>
      <xdr:col>6</xdr:col>
      <xdr:colOff>982266</xdr:colOff>
      <xdr:row>345</xdr:row>
      <xdr:rowOff>35719</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59531</xdr:colOff>
      <xdr:row>347</xdr:row>
      <xdr:rowOff>0</xdr:rowOff>
    </xdr:from>
    <xdr:to>
      <xdr:col>6</xdr:col>
      <xdr:colOff>982265</xdr:colOff>
      <xdr:row>369</xdr:row>
      <xdr:rowOff>35719</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59531</xdr:colOff>
      <xdr:row>371</xdr:row>
      <xdr:rowOff>1</xdr:rowOff>
    </xdr:from>
    <xdr:to>
      <xdr:col>6</xdr:col>
      <xdr:colOff>982265</xdr:colOff>
      <xdr:row>393</xdr:row>
      <xdr:rowOff>35720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59532</xdr:colOff>
      <xdr:row>395</xdr:row>
      <xdr:rowOff>11906</xdr:rowOff>
    </xdr:from>
    <xdr:to>
      <xdr:col>6</xdr:col>
      <xdr:colOff>982266</xdr:colOff>
      <xdr:row>417</xdr:row>
      <xdr:rowOff>47625</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71438</xdr:colOff>
      <xdr:row>419</xdr:row>
      <xdr:rowOff>11907</xdr:rowOff>
    </xdr:from>
    <xdr:to>
      <xdr:col>6</xdr:col>
      <xdr:colOff>994172</xdr:colOff>
      <xdr:row>441</xdr:row>
      <xdr:rowOff>47626</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83344</xdr:colOff>
      <xdr:row>443</xdr:row>
      <xdr:rowOff>0</xdr:rowOff>
    </xdr:from>
    <xdr:to>
      <xdr:col>6</xdr:col>
      <xdr:colOff>1006078</xdr:colOff>
      <xdr:row>465</xdr:row>
      <xdr:rowOff>35719</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41672</xdr:colOff>
      <xdr:row>467</xdr:row>
      <xdr:rowOff>154781</xdr:rowOff>
    </xdr:from>
    <xdr:to>
      <xdr:col>6</xdr:col>
      <xdr:colOff>964406</xdr:colOff>
      <xdr:row>490</xdr:row>
      <xdr:rowOff>23813</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47626</xdr:colOff>
      <xdr:row>491</xdr:row>
      <xdr:rowOff>154781</xdr:rowOff>
    </xdr:from>
    <xdr:to>
      <xdr:col>6</xdr:col>
      <xdr:colOff>970360</xdr:colOff>
      <xdr:row>514</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47626</xdr:colOff>
      <xdr:row>516</xdr:row>
      <xdr:rowOff>11906</xdr:rowOff>
    </xdr:from>
    <xdr:to>
      <xdr:col>6</xdr:col>
      <xdr:colOff>970360</xdr:colOff>
      <xdr:row>538</xdr:row>
      <xdr:rowOff>47625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47625</xdr:colOff>
      <xdr:row>539</xdr:row>
      <xdr:rowOff>154781</xdr:rowOff>
    </xdr:from>
    <xdr:to>
      <xdr:col>6</xdr:col>
      <xdr:colOff>970359</xdr:colOff>
      <xdr:row>562</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59532</xdr:colOff>
      <xdr:row>563</xdr:row>
      <xdr:rowOff>154781</xdr:rowOff>
    </xdr:from>
    <xdr:to>
      <xdr:col>6</xdr:col>
      <xdr:colOff>982266</xdr:colOff>
      <xdr:row>586</xdr:row>
      <xdr:rowOff>23813</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59532</xdr:colOff>
      <xdr:row>588</xdr:row>
      <xdr:rowOff>0</xdr:rowOff>
    </xdr:from>
    <xdr:to>
      <xdr:col>6</xdr:col>
      <xdr:colOff>982266</xdr:colOff>
      <xdr:row>610</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612</xdr:row>
      <xdr:rowOff>0</xdr:rowOff>
    </xdr:from>
    <xdr:to>
      <xdr:col>6</xdr:col>
      <xdr:colOff>982266</xdr:colOff>
      <xdr:row>634</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59531</xdr:colOff>
      <xdr:row>636</xdr:row>
      <xdr:rowOff>0</xdr:rowOff>
    </xdr:from>
    <xdr:to>
      <xdr:col>6</xdr:col>
      <xdr:colOff>982265</xdr:colOff>
      <xdr:row>658</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59531</xdr:colOff>
      <xdr:row>660</xdr:row>
      <xdr:rowOff>1</xdr:rowOff>
    </xdr:from>
    <xdr:to>
      <xdr:col>6</xdr:col>
      <xdr:colOff>982265</xdr:colOff>
      <xdr:row>682</xdr:row>
      <xdr:rowOff>35720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59532</xdr:colOff>
      <xdr:row>684</xdr:row>
      <xdr:rowOff>11906</xdr:rowOff>
    </xdr:from>
    <xdr:to>
      <xdr:col>6</xdr:col>
      <xdr:colOff>982266</xdr:colOff>
      <xdr:row>706</xdr:row>
      <xdr:rowOff>47625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71438</xdr:colOff>
      <xdr:row>708</xdr:row>
      <xdr:rowOff>11907</xdr:rowOff>
    </xdr:from>
    <xdr:to>
      <xdr:col>6</xdr:col>
      <xdr:colOff>994172</xdr:colOff>
      <xdr:row>730</xdr:row>
      <xdr:rowOff>47626</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83344</xdr:colOff>
      <xdr:row>732</xdr:row>
      <xdr:rowOff>0</xdr:rowOff>
    </xdr:from>
    <xdr:to>
      <xdr:col>6</xdr:col>
      <xdr:colOff>1006078</xdr:colOff>
      <xdr:row>754</xdr:row>
      <xdr:rowOff>35719</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N762"/>
  <sheetViews>
    <sheetView tabSelected="1" topLeftCell="A25" zoomScale="85" zoomScaleNormal="85" workbookViewId="0">
      <selection sqref="A1:H143"/>
    </sheetView>
  </sheetViews>
  <sheetFormatPr defaultRowHeight="12.75" x14ac:dyDescent="0.2"/>
  <cols>
    <col min="1" max="1" width="11.140625" customWidth="1"/>
    <col min="2" max="2" width="13.28515625" customWidth="1"/>
    <col min="3" max="3" width="18.85546875" customWidth="1"/>
    <col min="4" max="4" width="17.85546875" customWidth="1"/>
    <col min="5" max="5" width="17.5703125" customWidth="1"/>
    <col min="6" max="6" width="17.85546875" customWidth="1"/>
    <col min="7" max="7" width="28.7109375" customWidth="1"/>
    <col min="8" max="8" width="9.42578125" customWidth="1"/>
    <col min="9" max="9" width="10.42578125" customWidth="1"/>
    <col min="10" max="10" width="11.5703125" customWidth="1"/>
    <col min="11" max="11" width="11" customWidth="1"/>
    <col min="12" max="12" width="17.28515625" customWidth="1"/>
    <col min="13" max="13" width="8.85546875" customWidth="1"/>
    <col min="14" max="14" width="10.85546875" customWidth="1"/>
    <col min="15" max="15" width="16.85546875" customWidth="1"/>
    <col min="16" max="16" width="13" customWidth="1"/>
  </cols>
  <sheetData>
    <row r="1" spans="1:40" x14ac:dyDescent="0.2">
      <c r="B1" s="5"/>
      <c r="C1" s="385" t="s">
        <v>42</v>
      </c>
      <c r="D1" s="385"/>
      <c r="E1" s="385"/>
      <c r="F1" s="32">
        <v>42406.539085648146</v>
      </c>
      <c r="G1" s="5"/>
      <c r="H1" s="43"/>
      <c r="I1" s="43"/>
      <c r="J1" s="43"/>
      <c r="K1" s="43"/>
      <c r="L1" s="43"/>
      <c r="M1" s="43"/>
      <c r="N1" s="43"/>
      <c r="O1" s="43"/>
      <c r="P1" s="43"/>
      <c r="Q1" s="45"/>
      <c r="R1" s="45"/>
      <c r="S1" s="45"/>
      <c r="T1" s="45"/>
      <c r="U1" s="45"/>
      <c r="V1" s="45"/>
      <c r="W1" s="72"/>
      <c r="X1" s="72"/>
      <c r="Y1" s="72"/>
      <c r="Z1" s="72"/>
      <c r="AA1" s="72"/>
      <c r="AB1" s="72"/>
      <c r="AC1" s="72"/>
      <c r="AD1" s="72"/>
      <c r="AE1" s="72"/>
      <c r="AF1" s="72"/>
      <c r="AG1" s="72"/>
      <c r="AH1" s="72"/>
      <c r="AI1" s="72"/>
      <c r="AJ1" s="72"/>
      <c r="AK1" s="72"/>
      <c r="AL1" s="72"/>
      <c r="AM1" s="72"/>
      <c r="AN1" s="72"/>
    </row>
    <row r="2" spans="1:40" ht="13.5" thickBot="1" x14ac:dyDescent="0.25">
      <c r="A2" s="6"/>
      <c r="B2" s="6"/>
      <c r="C2" s="383" t="s">
        <v>11</v>
      </c>
      <c r="D2" s="383"/>
      <c r="E2" s="383"/>
      <c r="F2" s="6"/>
      <c r="G2" s="6"/>
      <c r="H2" s="46"/>
      <c r="I2" s="73"/>
      <c r="J2" s="73" t="s">
        <v>13</v>
      </c>
      <c r="K2" s="74"/>
      <c r="L2" s="73"/>
      <c r="M2" s="73" t="s">
        <v>13</v>
      </c>
      <c r="N2" s="75"/>
      <c r="O2" s="73"/>
      <c r="P2" s="73" t="s">
        <v>13</v>
      </c>
      <c r="Q2" s="45"/>
      <c r="R2" s="45"/>
      <c r="S2" s="45"/>
      <c r="T2" s="45"/>
      <c r="U2" s="45"/>
      <c r="V2" s="45"/>
      <c r="W2" s="72"/>
      <c r="X2" s="72"/>
      <c r="Y2" s="72"/>
      <c r="Z2" s="72"/>
      <c r="AA2" s="72"/>
      <c r="AB2" s="72"/>
      <c r="AC2" s="72"/>
      <c r="AD2" s="72"/>
      <c r="AE2" s="72"/>
      <c r="AF2" s="72"/>
      <c r="AG2" s="72"/>
      <c r="AH2" s="72"/>
      <c r="AI2" s="72"/>
      <c r="AJ2" s="72"/>
      <c r="AK2" s="72"/>
      <c r="AL2" s="72"/>
      <c r="AM2" s="72"/>
      <c r="AN2" s="72"/>
    </row>
    <row r="3" spans="1:40" ht="13.5" thickBot="1" x14ac:dyDescent="0.25">
      <c r="A3" s="9"/>
      <c r="B3" s="386" t="s">
        <v>5</v>
      </c>
      <c r="C3" s="387"/>
      <c r="D3" s="387"/>
      <c r="E3" s="11" t="s">
        <v>6</v>
      </c>
      <c r="F3" s="370" t="s">
        <v>7</v>
      </c>
      <c r="G3" s="371"/>
      <c r="H3" s="46"/>
      <c r="I3" s="73">
        <f>I4</f>
        <v>1</v>
      </c>
      <c r="J3" s="73">
        <v>0</v>
      </c>
      <c r="K3" s="74"/>
      <c r="L3" s="73">
        <f>L4</f>
        <v>1</v>
      </c>
      <c r="M3" s="73">
        <v>0</v>
      </c>
      <c r="N3" s="75"/>
      <c r="O3" s="73">
        <f>O4</f>
        <v>1</v>
      </c>
      <c r="P3" s="73">
        <v>0</v>
      </c>
      <c r="Q3" s="45"/>
      <c r="R3" s="45"/>
      <c r="S3" s="45"/>
      <c r="T3" s="45"/>
      <c r="U3" s="45"/>
      <c r="V3" s="45"/>
      <c r="W3" s="72"/>
      <c r="X3" s="72"/>
      <c r="Y3" s="72"/>
      <c r="Z3" s="72"/>
      <c r="AA3" s="72"/>
      <c r="AB3" s="72"/>
      <c r="AC3" s="72"/>
      <c r="AD3" s="72"/>
      <c r="AE3" s="72"/>
      <c r="AF3" s="72"/>
      <c r="AG3" s="72"/>
      <c r="AH3" s="72"/>
      <c r="AI3" s="72"/>
      <c r="AJ3" s="72"/>
      <c r="AK3" s="72"/>
      <c r="AL3" s="72"/>
      <c r="AM3" s="72"/>
      <c r="AN3" s="72"/>
    </row>
    <row r="4" spans="1:40" x14ac:dyDescent="0.2">
      <c r="A4" s="9"/>
      <c r="B4" s="380" t="s">
        <v>8</v>
      </c>
      <c r="C4" s="381"/>
      <c r="D4" s="381"/>
      <c r="E4" s="12" t="s">
        <v>12</v>
      </c>
      <c r="F4" s="55">
        <v>1.37</v>
      </c>
      <c r="G4" s="16"/>
      <c r="H4" s="46"/>
      <c r="I4" s="73">
        <f>INT(10*C46 +1.5)</f>
        <v>1</v>
      </c>
      <c r="J4" s="73">
        <f>D46</f>
        <v>100</v>
      </c>
      <c r="K4" s="74"/>
      <c r="L4" s="73">
        <f>INT(10*C102 +1.5)</f>
        <v>1</v>
      </c>
      <c r="M4" s="73">
        <f>D102</f>
        <v>0</v>
      </c>
      <c r="N4" s="75"/>
      <c r="O4" s="73">
        <f>INT(10*F94 +1.5)</f>
        <v>1</v>
      </c>
      <c r="P4" s="73">
        <f>G94</f>
        <v>0</v>
      </c>
      <c r="Q4" s="45"/>
      <c r="R4" s="45"/>
      <c r="S4" s="45"/>
      <c r="T4" s="45"/>
      <c r="U4" s="45"/>
      <c r="V4" s="45"/>
      <c r="W4" s="72"/>
      <c r="X4" s="72"/>
      <c r="Y4" s="72"/>
      <c r="Z4" s="72"/>
      <c r="AA4" s="72"/>
      <c r="AB4" s="72"/>
      <c r="AC4" s="72"/>
      <c r="AD4" s="72"/>
      <c r="AE4" s="72"/>
      <c r="AF4" s="72"/>
      <c r="AG4" s="72"/>
      <c r="AH4" s="72"/>
      <c r="AI4" s="72"/>
      <c r="AJ4" s="72"/>
      <c r="AK4" s="72"/>
      <c r="AL4" s="72"/>
      <c r="AM4" s="72"/>
      <c r="AN4" s="72"/>
    </row>
    <row r="5" spans="1:40" ht="13.5" thickBot="1" x14ac:dyDescent="0.25">
      <c r="A5" s="4"/>
      <c r="B5" s="372" t="s">
        <v>9</v>
      </c>
      <c r="C5" s="373"/>
      <c r="D5" s="373"/>
      <c r="E5" s="79" t="s">
        <v>12</v>
      </c>
      <c r="F5" s="56">
        <v>1.5</v>
      </c>
      <c r="G5" s="27"/>
      <c r="H5" s="46"/>
      <c r="I5" s="73">
        <f>INT(10*C47 +1.5)</f>
        <v>101</v>
      </c>
      <c r="J5" s="73">
        <f>D47</f>
        <v>100</v>
      </c>
      <c r="K5" s="74"/>
      <c r="L5" s="73">
        <f>INT(10*C103 +1.5)</f>
        <v>101</v>
      </c>
      <c r="M5" s="73">
        <f>D103</f>
        <v>0</v>
      </c>
      <c r="N5" s="75"/>
      <c r="O5" s="73">
        <f>INT(10*F95 +1.5)</f>
        <v>101</v>
      </c>
      <c r="P5" s="73">
        <f>G95</f>
        <v>0</v>
      </c>
      <c r="Q5" s="45"/>
      <c r="R5" s="45"/>
      <c r="S5" s="45"/>
      <c r="T5" s="45"/>
      <c r="U5" s="45"/>
      <c r="V5" s="45"/>
      <c r="W5" s="72"/>
      <c r="X5" s="72"/>
      <c r="Y5" s="72"/>
      <c r="Z5" s="72"/>
      <c r="AA5" s="72"/>
      <c r="AB5" s="72"/>
      <c r="AC5" s="72"/>
      <c r="AD5" s="72"/>
      <c r="AE5" s="72"/>
      <c r="AF5" s="72"/>
      <c r="AG5" s="72"/>
      <c r="AH5" s="72"/>
      <c r="AI5" s="72"/>
      <c r="AJ5" s="72"/>
      <c r="AK5" s="72"/>
      <c r="AL5" s="72"/>
      <c r="AM5" s="72"/>
      <c r="AN5" s="72"/>
    </row>
    <row r="6" spans="1:40" x14ac:dyDescent="0.2">
      <c r="A6" s="4"/>
      <c r="B6" s="380" t="s">
        <v>39</v>
      </c>
      <c r="C6" s="384"/>
      <c r="D6" s="384"/>
      <c r="E6" s="290" t="s">
        <v>60</v>
      </c>
      <c r="F6" s="291">
        <v>8</v>
      </c>
      <c r="G6" s="292"/>
      <c r="H6" s="46"/>
      <c r="I6" s="73"/>
      <c r="J6" s="73"/>
      <c r="K6" s="74"/>
      <c r="L6" s="73"/>
      <c r="M6" s="73"/>
      <c r="N6" s="75"/>
      <c r="O6" s="73"/>
      <c r="P6" s="73"/>
      <c r="Q6" s="45"/>
      <c r="R6" s="45"/>
      <c r="S6" s="45"/>
      <c r="T6" s="45"/>
      <c r="U6" s="45"/>
      <c r="V6" s="45"/>
      <c r="W6" s="72"/>
      <c r="X6" s="72"/>
      <c r="Y6" s="72"/>
      <c r="Z6" s="72"/>
      <c r="AA6" s="72"/>
      <c r="AB6" s="72"/>
      <c r="AC6" s="72"/>
      <c r="AD6" s="72"/>
      <c r="AE6" s="72"/>
      <c r="AF6" s="72"/>
      <c r="AG6" s="72"/>
      <c r="AH6" s="72"/>
      <c r="AI6" s="72"/>
      <c r="AJ6" s="72"/>
      <c r="AK6" s="72"/>
      <c r="AL6" s="72"/>
      <c r="AM6" s="72"/>
      <c r="AN6" s="72"/>
    </row>
    <row r="7" spans="1:40" x14ac:dyDescent="0.2">
      <c r="A7" s="4"/>
      <c r="B7" s="374" t="s">
        <v>40</v>
      </c>
      <c r="C7" s="375"/>
      <c r="D7" s="375"/>
      <c r="E7" s="31" t="s">
        <v>62</v>
      </c>
      <c r="F7" s="63">
        <v>7</v>
      </c>
      <c r="G7" s="17"/>
      <c r="H7" s="46"/>
      <c r="I7" s="73"/>
      <c r="J7" s="73"/>
      <c r="K7" s="74"/>
      <c r="L7" s="73"/>
      <c r="M7" s="73"/>
      <c r="N7" s="75"/>
      <c r="O7" s="73"/>
      <c r="P7" s="73"/>
      <c r="Q7" s="45"/>
      <c r="R7" s="45"/>
      <c r="S7" s="45"/>
      <c r="T7" s="45"/>
      <c r="U7" s="45"/>
      <c r="V7" s="45"/>
      <c r="W7" s="72"/>
      <c r="X7" s="72"/>
      <c r="Y7" s="72"/>
      <c r="Z7" s="72"/>
      <c r="AA7" s="72"/>
      <c r="AB7" s="72"/>
      <c r="AC7" s="72"/>
      <c r="AD7" s="72"/>
      <c r="AE7" s="72"/>
      <c r="AF7" s="72"/>
      <c r="AG7" s="72"/>
      <c r="AH7" s="72"/>
      <c r="AI7" s="72"/>
      <c r="AJ7" s="72"/>
      <c r="AK7" s="72"/>
      <c r="AL7" s="72"/>
      <c r="AM7" s="72"/>
      <c r="AN7" s="72"/>
    </row>
    <row r="8" spans="1:40" x14ac:dyDescent="0.2">
      <c r="A8" s="4"/>
      <c r="B8" s="374" t="s">
        <v>41</v>
      </c>
      <c r="C8" s="375"/>
      <c r="D8" s="375"/>
      <c r="E8" s="31" t="s">
        <v>62</v>
      </c>
      <c r="F8" s="63">
        <v>6</v>
      </c>
      <c r="G8" s="17"/>
      <c r="H8" s="46"/>
      <c r="I8" s="73"/>
      <c r="J8" s="73"/>
      <c r="K8" s="74"/>
      <c r="L8" s="73"/>
      <c r="M8" s="73"/>
      <c r="N8" s="75"/>
      <c r="O8" s="73"/>
      <c r="P8" s="73"/>
      <c r="Q8" s="45"/>
      <c r="R8" s="45"/>
      <c r="S8" s="45"/>
      <c r="T8" s="45"/>
      <c r="U8" s="45"/>
      <c r="V8" s="45"/>
      <c r="W8" s="72"/>
      <c r="X8" s="72"/>
      <c r="Y8" s="72"/>
      <c r="Z8" s="72"/>
      <c r="AA8" s="72"/>
      <c r="AB8" s="72"/>
      <c r="AC8" s="72"/>
      <c r="AD8" s="72"/>
      <c r="AE8" s="72"/>
      <c r="AF8" s="72"/>
      <c r="AG8" s="72"/>
      <c r="AH8" s="72"/>
      <c r="AI8" s="72"/>
      <c r="AJ8" s="72"/>
      <c r="AK8" s="72"/>
      <c r="AL8" s="72"/>
      <c r="AM8" s="72"/>
      <c r="AN8" s="72"/>
    </row>
    <row r="9" spans="1:40" x14ac:dyDescent="0.2">
      <c r="A9" s="4"/>
      <c r="B9" s="374" t="s">
        <v>43</v>
      </c>
      <c r="C9" s="375"/>
      <c r="D9" s="375"/>
      <c r="E9" s="31" t="s">
        <v>62</v>
      </c>
      <c r="F9" s="63">
        <v>5</v>
      </c>
      <c r="G9" s="17"/>
      <c r="H9" s="46"/>
      <c r="I9" s="73"/>
      <c r="J9" s="73"/>
      <c r="K9" s="74"/>
      <c r="L9" s="73"/>
      <c r="M9" s="73"/>
      <c r="N9" s="75"/>
      <c r="O9" s="73"/>
      <c r="P9" s="73"/>
      <c r="Q9" s="45"/>
      <c r="R9" s="45"/>
      <c r="S9" s="45"/>
      <c r="T9" s="45"/>
      <c r="U9" s="45"/>
      <c r="V9" s="45"/>
      <c r="W9" s="72"/>
      <c r="X9" s="72"/>
      <c r="Y9" s="72"/>
      <c r="Z9" s="72"/>
      <c r="AA9" s="72"/>
      <c r="AB9" s="72"/>
      <c r="AC9" s="72"/>
      <c r="AD9" s="72"/>
      <c r="AE9" s="72"/>
      <c r="AF9" s="72"/>
      <c r="AG9" s="72"/>
      <c r="AH9" s="72"/>
      <c r="AI9" s="72"/>
      <c r="AJ9" s="72"/>
      <c r="AK9" s="72"/>
      <c r="AL9" s="72"/>
      <c r="AM9" s="72"/>
      <c r="AN9" s="72"/>
    </row>
    <row r="10" spans="1:40" x14ac:dyDescent="0.2">
      <c r="A10" s="4"/>
      <c r="B10" s="374" t="s">
        <v>44</v>
      </c>
      <c r="C10" s="375"/>
      <c r="D10" s="375"/>
      <c r="E10" s="31" t="s">
        <v>62</v>
      </c>
      <c r="F10" s="63">
        <v>4</v>
      </c>
      <c r="G10" s="17"/>
      <c r="H10" s="46"/>
      <c r="I10" s="73"/>
      <c r="J10" s="73"/>
      <c r="K10" s="74"/>
      <c r="L10" s="73"/>
      <c r="M10" s="73"/>
      <c r="N10" s="75"/>
      <c r="O10" s="73"/>
      <c r="P10" s="73"/>
      <c r="Q10" s="45"/>
      <c r="R10" s="45"/>
      <c r="S10" s="45"/>
      <c r="T10" s="45"/>
      <c r="U10" s="45"/>
      <c r="V10" s="45"/>
      <c r="W10" s="72"/>
      <c r="X10" s="72"/>
      <c r="Y10" s="72"/>
      <c r="Z10" s="72"/>
      <c r="AA10" s="72"/>
      <c r="AB10" s="72"/>
      <c r="AC10" s="72"/>
      <c r="AD10" s="72"/>
      <c r="AE10" s="72"/>
      <c r="AF10" s="72"/>
      <c r="AG10" s="72"/>
      <c r="AH10" s="72"/>
      <c r="AI10" s="72"/>
      <c r="AJ10" s="72"/>
      <c r="AK10" s="72"/>
      <c r="AL10" s="72"/>
      <c r="AM10" s="72"/>
      <c r="AN10" s="72"/>
    </row>
    <row r="11" spans="1:40" x14ac:dyDescent="0.2">
      <c r="A11" s="4"/>
      <c r="B11" s="374" t="s">
        <v>45</v>
      </c>
      <c r="C11" s="375"/>
      <c r="D11" s="375"/>
      <c r="E11" s="31" t="s">
        <v>62</v>
      </c>
      <c r="F11" s="63">
        <v>3</v>
      </c>
      <c r="G11" s="17"/>
      <c r="H11" s="46"/>
      <c r="I11" s="73"/>
      <c r="J11" s="73"/>
      <c r="K11" s="74"/>
      <c r="L11" s="73"/>
      <c r="M11" s="73"/>
      <c r="N11" s="75"/>
      <c r="O11" s="73"/>
      <c r="P11" s="73"/>
      <c r="Q11" s="45"/>
      <c r="R11" s="45"/>
      <c r="S11" s="45"/>
      <c r="T11" s="45"/>
      <c r="U11" s="45"/>
      <c r="V11" s="45"/>
      <c r="W11" s="72"/>
      <c r="X11" s="72"/>
      <c r="Y11" s="72"/>
      <c r="Z11" s="72"/>
      <c r="AA11" s="72"/>
      <c r="AB11" s="72"/>
      <c r="AC11" s="72"/>
      <c r="AD11" s="72"/>
      <c r="AE11" s="72"/>
      <c r="AF11" s="72"/>
      <c r="AG11" s="72"/>
      <c r="AH11" s="72"/>
      <c r="AI11" s="72"/>
      <c r="AJ11" s="72"/>
      <c r="AK11" s="72"/>
      <c r="AL11" s="72"/>
      <c r="AM11" s="72"/>
      <c r="AN11" s="72"/>
    </row>
    <row r="12" spans="1:40" x14ac:dyDescent="0.2">
      <c r="A12" s="4"/>
      <c r="B12" s="374" t="s">
        <v>46</v>
      </c>
      <c r="C12" s="375"/>
      <c r="D12" s="375"/>
      <c r="E12" s="31" t="s">
        <v>62</v>
      </c>
      <c r="F12" s="63">
        <v>2</v>
      </c>
      <c r="G12" s="34"/>
      <c r="H12" s="46"/>
      <c r="I12" s="74"/>
      <c r="J12" s="74"/>
      <c r="K12" s="74"/>
      <c r="L12" s="74"/>
      <c r="M12" s="74"/>
      <c r="N12" s="75"/>
      <c r="O12" s="75"/>
      <c r="P12" s="75"/>
      <c r="Q12" s="45"/>
      <c r="R12" s="45"/>
      <c r="S12" s="45"/>
      <c r="T12" s="45"/>
      <c r="U12" s="45"/>
      <c r="V12" s="45"/>
      <c r="W12" s="72"/>
      <c r="X12" s="72"/>
      <c r="Y12" s="72"/>
      <c r="Z12" s="72"/>
      <c r="AA12" s="72"/>
      <c r="AB12" s="72"/>
      <c r="AC12" s="72"/>
      <c r="AD12" s="72"/>
      <c r="AE12" s="72"/>
      <c r="AF12" s="72"/>
      <c r="AG12" s="72"/>
      <c r="AH12" s="72"/>
      <c r="AI12" s="72"/>
      <c r="AJ12" s="72"/>
      <c r="AK12" s="72"/>
      <c r="AL12" s="72"/>
      <c r="AM12" s="72"/>
      <c r="AN12" s="72"/>
    </row>
    <row r="13" spans="1:40" x14ac:dyDescent="0.2">
      <c r="A13" s="4"/>
      <c r="B13" s="374" t="s">
        <v>47</v>
      </c>
      <c r="C13" s="375"/>
      <c r="D13" s="375"/>
      <c r="E13" s="31" t="s">
        <v>62</v>
      </c>
      <c r="F13" s="63">
        <v>1</v>
      </c>
      <c r="G13" s="35"/>
      <c r="H13" s="46"/>
      <c r="I13" s="74"/>
      <c r="J13" s="74"/>
      <c r="K13" s="74"/>
      <c r="L13" s="74"/>
      <c r="M13" s="74"/>
      <c r="N13" s="75"/>
      <c r="O13" s="75"/>
      <c r="P13" s="75"/>
      <c r="Q13" s="45"/>
      <c r="R13" s="45"/>
      <c r="S13" s="45"/>
      <c r="T13" s="45"/>
      <c r="U13" s="45"/>
      <c r="V13" s="45"/>
      <c r="W13" s="72"/>
      <c r="X13" s="72"/>
      <c r="Y13" s="72"/>
      <c r="Z13" s="72"/>
      <c r="AA13" s="72"/>
      <c r="AB13" s="72"/>
      <c r="AC13" s="72"/>
      <c r="AD13" s="72"/>
      <c r="AE13" s="72"/>
      <c r="AF13" s="72"/>
      <c r="AG13" s="72"/>
      <c r="AH13" s="72"/>
      <c r="AI13" s="72"/>
      <c r="AJ13" s="72"/>
      <c r="AK13" s="72"/>
      <c r="AL13" s="72"/>
      <c r="AM13" s="72"/>
      <c r="AN13" s="72"/>
    </row>
    <row r="14" spans="1:40" x14ac:dyDescent="0.2">
      <c r="A14" s="4"/>
      <c r="B14" s="374" t="s">
        <v>48</v>
      </c>
      <c r="C14" s="375"/>
      <c r="D14" s="375"/>
      <c r="E14" s="31" t="s">
        <v>62</v>
      </c>
      <c r="F14" s="63">
        <v>0</v>
      </c>
      <c r="G14" s="35"/>
      <c r="H14" s="46"/>
      <c r="I14" s="74"/>
      <c r="J14" s="74"/>
      <c r="K14" s="74"/>
      <c r="L14" s="74"/>
      <c r="M14" s="74"/>
      <c r="N14" s="75"/>
      <c r="O14" s="75"/>
      <c r="P14" s="75"/>
      <c r="Q14" s="45"/>
      <c r="R14" s="45"/>
      <c r="S14" s="45"/>
      <c r="T14" s="45"/>
      <c r="U14" s="45"/>
      <c r="V14" s="45"/>
      <c r="W14" s="72"/>
      <c r="X14" s="72"/>
      <c r="Y14" s="72"/>
      <c r="Z14" s="72"/>
      <c r="AA14" s="72"/>
      <c r="AB14" s="72"/>
      <c r="AC14" s="72"/>
      <c r="AD14" s="72"/>
      <c r="AE14" s="72"/>
      <c r="AF14" s="72"/>
      <c r="AG14" s="72"/>
      <c r="AH14" s="72"/>
      <c r="AI14" s="72"/>
      <c r="AJ14" s="72"/>
      <c r="AK14" s="72"/>
      <c r="AL14" s="72"/>
      <c r="AM14" s="72"/>
      <c r="AN14" s="72"/>
    </row>
    <row r="15" spans="1:40" x14ac:dyDescent="0.2">
      <c r="A15" s="4"/>
      <c r="B15" s="374" t="s">
        <v>49</v>
      </c>
      <c r="C15" s="375"/>
      <c r="D15" s="375"/>
      <c r="E15" s="31" t="s">
        <v>62</v>
      </c>
      <c r="F15" s="63">
        <v>8</v>
      </c>
      <c r="G15" s="35"/>
      <c r="H15" s="46"/>
      <c r="I15" s="74"/>
      <c r="J15" s="74"/>
      <c r="K15" s="74"/>
      <c r="L15" s="74"/>
      <c r="M15" s="74"/>
      <c r="N15" s="75"/>
      <c r="O15" s="75"/>
      <c r="P15" s="75"/>
      <c r="Q15" s="45"/>
      <c r="R15" s="45"/>
      <c r="S15" s="45"/>
      <c r="T15" s="45"/>
      <c r="U15" s="45"/>
      <c r="V15" s="45"/>
      <c r="W15" s="72"/>
      <c r="X15" s="72"/>
      <c r="Y15" s="72"/>
      <c r="Z15" s="72"/>
      <c r="AA15" s="72"/>
      <c r="AB15" s="72"/>
      <c r="AC15" s="72"/>
      <c r="AD15" s="72"/>
      <c r="AE15" s="72"/>
      <c r="AF15" s="72"/>
      <c r="AG15" s="72"/>
      <c r="AH15" s="72"/>
      <c r="AI15" s="72"/>
      <c r="AJ15" s="72"/>
      <c r="AK15" s="72"/>
      <c r="AL15" s="72"/>
      <c r="AM15" s="72"/>
      <c r="AN15" s="72"/>
    </row>
    <row r="16" spans="1:40" x14ac:dyDescent="0.2">
      <c r="A16" s="4"/>
      <c r="B16" s="374" t="s">
        <v>50</v>
      </c>
      <c r="C16" s="375"/>
      <c r="D16" s="375"/>
      <c r="E16" s="31" t="s">
        <v>62</v>
      </c>
      <c r="F16" s="63">
        <v>7</v>
      </c>
      <c r="G16" s="35"/>
      <c r="H16" s="46"/>
      <c r="I16" s="74"/>
      <c r="J16" s="74"/>
      <c r="K16" s="74"/>
      <c r="L16" s="74"/>
      <c r="M16" s="74"/>
      <c r="N16" s="75"/>
      <c r="O16" s="75"/>
      <c r="P16" s="75"/>
      <c r="Q16" s="45"/>
      <c r="R16" s="45"/>
      <c r="S16" s="45"/>
      <c r="T16" s="45"/>
      <c r="U16" s="45"/>
      <c r="V16" s="45"/>
      <c r="W16" s="72"/>
      <c r="X16" s="72"/>
      <c r="Y16" s="72"/>
      <c r="Z16" s="72"/>
      <c r="AA16" s="72"/>
      <c r="AB16" s="72"/>
      <c r="AC16" s="72"/>
      <c r="AD16" s="72"/>
      <c r="AE16" s="72"/>
      <c r="AF16" s="72"/>
      <c r="AG16" s="72"/>
      <c r="AH16" s="72"/>
      <c r="AI16" s="72"/>
      <c r="AJ16" s="72"/>
      <c r="AK16" s="72"/>
      <c r="AL16" s="72"/>
      <c r="AM16" s="72"/>
      <c r="AN16" s="72"/>
    </row>
    <row r="17" spans="1:40" x14ac:dyDescent="0.2">
      <c r="A17" s="4"/>
      <c r="B17" s="374" t="s">
        <v>51</v>
      </c>
      <c r="C17" s="375"/>
      <c r="D17" s="375"/>
      <c r="E17" s="31" t="s">
        <v>62</v>
      </c>
      <c r="F17" s="63">
        <v>6</v>
      </c>
      <c r="G17" s="35"/>
      <c r="H17" s="46"/>
      <c r="I17" s="74"/>
      <c r="J17" s="74"/>
      <c r="K17" s="74"/>
      <c r="L17" s="74"/>
      <c r="M17" s="74"/>
      <c r="N17" s="75"/>
      <c r="O17" s="75"/>
      <c r="P17" s="75"/>
      <c r="Q17" s="45"/>
      <c r="R17" s="45"/>
      <c r="S17" s="45"/>
      <c r="T17" s="45"/>
      <c r="U17" s="45"/>
      <c r="V17" s="45"/>
      <c r="W17" s="72"/>
      <c r="X17" s="72"/>
      <c r="Y17" s="72"/>
      <c r="Z17" s="72"/>
      <c r="AA17" s="72"/>
      <c r="AB17" s="72"/>
      <c r="AC17" s="72"/>
      <c r="AD17" s="72"/>
      <c r="AE17" s="72"/>
      <c r="AF17" s="72"/>
      <c r="AG17" s="72"/>
      <c r="AH17" s="72"/>
      <c r="AI17" s="72"/>
      <c r="AJ17" s="72"/>
      <c r="AK17" s="72"/>
      <c r="AL17" s="72"/>
      <c r="AM17" s="72"/>
      <c r="AN17" s="72"/>
    </row>
    <row r="18" spans="1:40" x14ac:dyDescent="0.2">
      <c r="A18" s="4"/>
      <c r="B18" s="374" t="s">
        <v>52</v>
      </c>
      <c r="C18" s="375"/>
      <c r="D18" s="375"/>
      <c r="E18" s="31" t="s">
        <v>62</v>
      </c>
      <c r="F18" s="63">
        <v>5</v>
      </c>
      <c r="G18" s="35"/>
      <c r="H18" s="46"/>
      <c r="I18" s="74"/>
      <c r="J18" s="74"/>
      <c r="K18" s="74"/>
      <c r="L18" s="74"/>
      <c r="M18" s="74"/>
      <c r="N18" s="75"/>
      <c r="O18" s="75"/>
      <c r="P18" s="75"/>
      <c r="Q18" s="45"/>
      <c r="R18" s="45"/>
      <c r="S18" s="45"/>
      <c r="T18" s="45"/>
      <c r="U18" s="45"/>
      <c r="V18" s="45"/>
      <c r="W18" s="72"/>
      <c r="X18" s="72"/>
      <c r="Y18" s="72"/>
      <c r="Z18" s="72"/>
      <c r="AA18" s="72"/>
      <c r="AB18" s="72"/>
      <c r="AC18" s="72"/>
      <c r="AD18" s="72"/>
      <c r="AE18" s="72"/>
      <c r="AF18" s="72"/>
      <c r="AG18" s="72"/>
      <c r="AH18" s="72"/>
      <c r="AI18" s="72"/>
      <c r="AJ18" s="72"/>
      <c r="AK18" s="72"/>
      <c r="AL18" s="72"/>
      <c r="AM18" s="72"/>
      <c r="AN18" s="72"/>
    </row>
    <row r="19" spans="1:40" x14ac:dyDescent="0.2">
      <c r="A19" s="4"/>
      <c r="B19" s="374" t="s">
        <v>53</v>
      </c>
      <c r="C19" s="375"/>
      <c r="D19" s="375"/>
      <c r="E19" s="31" t="s">
        <v>62</v>
      </c>
      <c r="F19" s="63">
        <v>4</v>
      </c>
      <c r="G19" s="35"/>
      <c r="H19" s="46"/>
      <c r="I19" s="74"/>
      <c r="J19" s="74"/>
      <c r="K19" s="74"/>
      <c r="L19" s="74"/>
      <c r="M19" s="74"/>
      <c r="N19" s="75"/>
      <c r="O19" s="75"/>
      <c r="P19" s="75"/>
      <c r="Q19" s="45"/>
      <c r="R19" s="45"/>
      <c r="S19" s="45"/>
      <c r="T19" s="45"/>
      <c r="U19" s="45"/>
      <c r="V19" s="45"/>
      <c r="W19" s="72"/>
      <c r="X19" s="72"/>
      <c r="Y19" s="72"/>
      <c r="Z19" s="72"/>
      <c r="AA19" s="72"/>
      <c r="AB19" s="72"/>
      <c r="AC19" s="72"/>
      <c r="AD19" s="72"/>
      <c r="AE19" s="72"/>
      <c r="AF19" s="72"/>
      <c r="AG19" s="72"/>
      <c r="AH19" s="72"/>
      <c r="AI19" s="72"/>
      <c r="AJ19" s="72"/>
      <c r="AK19" s="72"/>
      <c r="AL19" s="72"/>
      <c r="AM19" s="72"/>
      <c r="AN19" s="72"/>
    </row>
    <row r="20" spans="1:40" x14ac:dyDescent="0.2">
      <c r="A20" s="4"/>
      <c r="B20" s="374" t="s">
        <v>54</v>
      </c>
      <c r="C20" s="375"/>
      <c r="D20" s="375"/>
      <c r="E20" s="31" t="s">
        <v>62</v>
      </c>
      <c r="F20" s="63">
        <v>3</v>
      </c>
      <c r="G20" s="35"/>
      <c r="H20" s="46"/>
      <c r="I20" s="74"/>
      <c r="J20" s="74"/>
      <c r="K20" s="74"/>
      <c r="L20" s="74"/>
      <c r="M20" s="74"/>
      <c r="N20" s="75"/>
      <c r="O20" s="75"/>
      <c r="P20" s="75"/>
      <c r="Q20" s="45"/>
      <c r="R20" s="45"/>
      <c r="S20" s="45"/>
      <c r="T20" s="45"/>
      <c r="U20" s="45"/>
      <c r="V20" s="45"/>
      <c r="W20" s="72"/>
      <c r="X20" s="72"/>
      <c r="Y20" s="72"/>
      <c r="Z20" s="72"/>
      <c r="AA20" s="72"/>
      <c r="AB20" s="72"/>
      <c r="AC20" s="72"/>
      <c r="AD20" s="72"/>
      <c r="AE20" s="72"/>
      <c r="AF20" s="72"/>
      <c r="AG20" s="72"/>
      <c r="AH20" s="72"/>
      <c r="AI20" s="72"/>
      <c r="AJ20" s="72"/>
      <c r="AK20" s="72"/>
      <c r="AL20" s="72"/>
      <c r="AM20" s="72"/>
      <c r="AN20" s="72"/>
    </row>
    <row r="21" spans="1:40" ht="13.5" thickBot="1" x14ac:dyDescent="0.25">
      <c r="A21" s="4"/>
      <c r="B21" s="382" t="s">
        <v>55</v>
      </c>
      <c r="C21" s="383"/>
      <c r="D21" s="383"/>
      <c r="E21" s="293" t="s">
        <v>62</v>
      </c>
      <c r="F21" s="294">
        <v>2</v>
      </c>
      <c r="G21" s="295"/>
      <c r="H21" s="46"/>
      <c r="I21" s="74"/>
      <c r="J21" s="74"/>
      <c r="K21" s="74"/>
      <c r="L21" s="74"/>
      <c r="M21" s="74"/>
      <c r="N21" s="75"/>
      <c r="O21" s="75"/>
      <c r="P21" s="75"/>
      <c r="Q21" s="45"/>
      <c r="R21" s="45"/>
      <c r="S21" s="45"/>
      <c r="T21" s="45"/>
      <c r="U21" s="45"/>
      <c r="V21" s="45"/>
      <c r="W21" s="72"/>
      <c r="X21" s="72"/>
      <c r="Y21" s="72"/>
      <c r="Z21" s="72"/>
      <c r="AA21" s="72"/>
      <c r="AB21" s="72"/>
      <c r="AC21" s="72"/>
      <c r="AD21" s="72"/>
      <c r="AE21" s="72"/>
      <c r="AF21" s="72"/>
      <c r="AG21" s="72"/>
      <c r="AH21" s="72"/>
      <c r="AI21" s="72"/>
      <c r="AJ21" s="72"/>
      <c r="AK21" s="72"/>
      <c r="AL21" s="72"/>
      <c r="AM21" s="72"/>
      <c r="AN21" s="72"/>
    </row>
    <row r="22" spans="1:40" x14ac:dyDescent="0.2">
      <c r="A22" s="4"/>
      <c r="B22" s="380" t="s">
        <v>56</v>
      </c>
      <c r="C22" s="384"/>
      <c r="D22" s="384"/>
      <c r="E22" s="290" t="s">
        <v>61</v>
      </c>
      <c r="F22" s="291">
        <v>4</v>
      </c>
      <c r="G22" s="297"/>
      <c r="H22" s="46"/>
      <c r="I22" s="74"/>
      <c r="J22" s="74"/>
      <c r="K22" s="74"/>
      <c r="L22" s="74"/>
      <c r="M22" s="74"/>
      <c r="N22" s="75"/>
      <c r="O22" s="75"/>
      <c r="P22" s="75"/>
      <c r="Q22" s="45"/>
      <c r="R22" s="45"/>
      <c r="S22" s="45"/>
      <c r="T22" s="45"/>
      <c r="U22" s="45"/>
      <c r="V22" s="45"/>
      <c r="W22" s="72"/>
      <c r="X22" s="72"/>
      <c r="Y22" s="72"/>
      <c r="Z22" s="72"/>
      <c r="AA22" s="72"/>
      <c r="AB22" s="72"/>
      <c r="AC22" s="72"/>
      <c r="AD22" s="72"/>
      <c r="AE22" s="72"/>
      <c r="AF22" s="72"/>
      <c r="AG22" s="72"/>
      <c r="AH22" s="72"/>
      <c r="AI22" s="72"/>
      <c r="AJ22" s="72"/>
      <c r="AK22" s="72"/>
      <c r="AL22" s="72"/>
      <c r="AM22" s="72"/>
      <c r="AN22" s="72"/>
    </row>
    <row r="23" spans="1:40" x14ac:dyDescent="0.2">
      <c r="A23" s="4"/>
      <c r="B23" s="374" t="s">
        <v>57</v>
      </c>
      <c r="C23" s="375"/>
      <c r="D23" s="375"/>
      <c r="E23" s="31" t="s">
        <v>63</v>
      </c>
      <c r="F23" s="63">
        <v>3</v>
      </c>
      <c r="G23" s="35"/>
      <c r="H23" s="46"/>
      <c r="I23" s="74"/>
      <c r="J23" s="74"/>
      <c r="K23" s="74"/>
      <c r="L23" s="74"/>
      <c r="M23" s="74"/>
      <c r="N23" s="75"/>
      <c r="O23" s="75"/>
      <c r="P23" s="75"/>
      <c r="Q23" s="45"/>
      <c r="R23" s="45"/>
      <c r="S23" s="45"/>
      <c r="T23" s="45"/>
      <c r="U23" s="45"/>
      <c r="V23" s="45"/>
      <c r="W23" s="72"/>
      <c r="X23" s="72"/>
      <c r="Y23" s="72"/>
      <c r="Z23" s="72"/>
      <c r="AA23" s="72"/>
      <c r="AB23" s="72"/>
      <c r="AC23" s="72"/>
      <c r="AD23" s="72"/>
      <c r="AE23" s="72"/>
      <c r="AF23" s="72"/>
      <c r="AG23" s="72"/>
      <c r="AH23" s="72"/>
      <c r="AI23" s="72"/>
      <c r="AJ23" s="72"/>
      <c r="AK23" s="72"/>
      <c r="AL23" s="72"/>
      <c r="AM23" s="72"/>
      <c r="AN23" s="72"/>
    </row>
    <row r="24" spans="1:40" x14ac:dyDescent="0.2">
      <c r="A24" s="4"/>
      <c r="B24" s="374" t="s">
        <v>64</v>
      </c>
      <c r="C24" s="375"/>
      <c r="D24" s="375"/>
      <c r="E24" s="31" t="s">
        <v>63</v>
      </c>
      <c r="F24" s="63">
        <v>2</v>
      </c>
      <c r="G24" s="35"/>
      <c r="H24" s="46"/>
      <c r="I24" s="74"/>
      <c r="J24" s="74"/>
      <c r="K24" s="74"/>
      <c r="L24" s="74"/>
      <c r="M24" s="74"/>
      <c r="N24" s="75"/>
      <c r="O24" s="75"/>
      <c r="P24" s="75"/>
      <c r="Q24" s="45"/>
      <c r="R24" s="45"/>
      <c r="S24" s="45"/>
      <c r="T24" s="45"/>
      <c r="U24" s="45"/>
      <c r="V24" s="45"/>
      <c r="W24" s="72"/>
      <c r="X24" s="72"/>
      <c r="Y24" s="72"/>
      <c r="Z24" s="72"/>
      <c r="AA24" s="72"/>
      <c r="AB24" s="72"/>
      <c r="AC24" s="72"/>
      <c r="AD24" s="72"/>
      <c r="AE24" s="72"/>
      <c r="AF24" s="72"/>
      <c r="AG24" s="72"/>
      <c r="AH24" s="72"/>
      <c r="AI24" s="72"/>
      <c r="AJ24" s="72"/>
      <c r="AK24" s="72"/>
      <c r="AL24" s="72"/>
      <c r="AM24" s="72"/>
      <c r="AN24" s="72"/>
    </row>
    <row r="25" spans="1:40" x14ac:dyDescent="0.2">
      <c r="A25" s="4"/>
      <c r="B25" s="374" t="s">
        <v>65</v>
      </c>
      <c r="C25" s="375"/>
      <c r="D25" s="375"/>
      <c r="E25" s="31" t="s">
        <v>63</v>
      </c>
      <c r="F25" s="63">
        <v>1</v>
      </c>
      <c r="G25" s="35"/>
      <c r="H25" s="46"/>
      <c r="I25" s="74"/>
      <c r="J25" s="74"/>
      <c r="K25" s="74"/>
      <c r="L25" s="74"/>
      <c r="M25" s="74"/>
      <c r="N25" s="75"/>
      <c r="O25" s="75"/>
      <c r="P25" s="75"/>
      <c r="Q25" s="45"/>
      <c r="R25" s="45"/>
      <c r="S25" s="45"/>
      <c r="T25" s="45"/>
      <c r="U25" s="45"/>
      <c r="V25" s="45"/>
      <c r="W25" s="72"/>
      <c r="X25" s="72"/>
      <c r="Y25" s="72"/>
      <c r="Z25" s="72"/>
      <c r="AA25" s="72"/>
      <c r="AB25" s="72"/>
      <c r="AC25" s="72"/>
      <c r="AD25" s="72"/>
      <c r="AE25" s="72"/>
      <c r="AF25" s="72"/>
      <c r="AG25" s="72"/>
      <c r="AH25" s="72"/>
      <c r="AI25" s="72"/>
      <c r="AJ25" s="72"/>
      <c r="AK25" s="72"/>
      <c r="AL25" s="72"/>
      <c r="AM25" s="72"/>
      <c r="AN25" s="72"/>
    </row>
    <row r="26" spans="1:40" x14ac:dyDescent="0.2">
      <c r="A26" s="4"/>
      <c r="B26" s="374" t="s">
        <v>66</v>
      </c>
      <c r="C26" s="375"/>
      <c r="D26" s="375"/>
      <c r="E26" s="31" t="s">
        <v>63</v>
      </c>
      <c r="F26" s="63">
        <v>0</v>
      </c>
      <c r="G26" s="35"/>
      <c r="H26" s="46"/>
      <c r="I26" s="74"/>
      <c r="J26" s="74"/>
      <c r="K26" s="74"/>
      <c r="L26" s="74"/>
      <c r="M26" s="74"/>
      <c r="N26" s="75"/>
      <c r="O26" s="75"/>
      <c r="P26" s="75"/>
      <c r="Q26" s="45"/>
      <c r="R26" s="45"/>
      <c r="S26" s="45"/>
      <c r="T26" s="45"/>
      <c r="U26" s="45"/>
      <c r="V26" s="45"/>
      <c r="W26" s="72"/>
      <c r="X26" s="72"/>
      <c r="Y26" s="72"/>
      <c r="Z26" s="72"/>
      <c r="AA26" s="72"/>
      <c r="AB26" s="72"/>
      <c r="AC26" s="72"/>
      <c r="AD26" s="72"/>
      <c r="AE26" s="72"/>
      <c r="AF26" s="72"/>
      <c r="AG26" s="72"/>
      <c r="AH26" s="72"/>
      <c r="AI26" s="72"/>
      <c r="AJ26" s="72"/>
      <c r="AK26" s="72"/>
      <c r="AL26" s="72"/>
      <c r="AM26" s="72"/>
      <c r="AN26" s="72"/>
    </row>
    <row r="27" spans="1:40" x14ac:dyDescent="0.2">
      <c r="A27" s="4"/>
      <c r="B27" s="374" t="s">
        <v>67</v>
      </c>
      <c r="C27" s="375"/>
      <c r="D27" s="375"/>
      <c r="E27" s="31" t="s">
        <v>63</v>
      </c>
      <c r="F27" s="63">
        <v>4</v>
      </c>
      <c r="G27" s="35"/>
      <c r="H27" s="46"/>
      <c r="I27" s="74"/>
      <c r="J27" s="74"/>
      <c r="K27" s="74"/>
      <c r="L27" s="74"/>
      <c r="M27" s="74"/>
      <c r="N27" s="75"/>
      <c r="O27" s="75"/>
      <c r="P27" s="75"/>
      <c r="Q27" s="45"/>
      <c r="R27" s="45"/>
      <c r="S27" s="45"/>
      <c r="T27" s="45"/>
      <c r="U27" s="45"/>
      <c r="V27" s="45"/>
      <c r="W27" s="72"/>
      <c r="X27" s="72"/>
      <c r="Y27" s="72"/>
      <c r="Z27" s="72"/>
      <c r="AA27" s="72"/>
      <c r="AB27" s="72"/>
      <c r="AC27" s="72"/>
      <c r="AD27" s="72"/>
      <c r="AE27" s="72"/>
      <c r="AF27" s="72"/>
      <c r="AG27" s="72"/>
      <c r="AH27" s="72"/>
      <c r="AI27" s="72"/>
      <c r="AJ27" s="72"/>
      <c r="AK27" s="72"/>
      <c r="AL27" s="72"/>
      <c r="AM27" s="72"/>
      <c r="AN27" s="72"/>
    </row>
    <row r="28" spans="1:40" x14ac:dyDescent="0.2">
      <c r="A28" s="4"/>
      <c r="B28" s="374" t="s">
        <v>68</v>
      </c>
      <c r="C28" s="375"/>
      <c r="D28" s="375"/>
      <c r="E28" s="31" t="s">
        <v>63</v>
      </c>
      <c r="F28" s="63">
        <v>3</v>
      </c>
      <c r="G28" s="35"/>
      <c r="H28" s="46"/>
      <c r="I28" s="74"/>
      <c r="J28" s="74"/>
      <c r="K28" s="74"/>
      <c r="L28" s="74"/>
      <c r="M28" s="74"/>
      <c r="N28" s="75"/>
      <c r="O28" s="75"/>
      <c r="P28" s="75"/>
      <c r="Q28" s="45"/>
      <c r="R28" s="45"/>
      <c r="S28" s="45"/>
      <c r="T28" s="45"/>
      <c r="U28" s="45"/>
      <c r="V28" s="45"/>
      <c r="W28" s="72"/>
      <c r="X28" s="72"/>
      <c r="Y28" s="72"/>
      <c r="Z28" s="72"/>
      <c r="AA28" s="72"/>
      <c r="AB28" s="72"/>
      <c r="AC28" s="72"/>
      <c r="AD28" s="72"/>
      <c r="AE28" s="72"/>
      <c r="AF28" s="72"/>
      <c r="AG28" s="72"/>
      <c r="AH28" s="72"/>
      <c r="AI28" s="72"/>
      <c r="AJ28" s="72"/>
      <c r="AK28" s="72"/>
      <c r="AL28" s="72"/>
      <c r="AM28" s="72"/>
      <c r="AN28" s="72"/>
    </row>
    <row r="29" spans="1:40" ht="13.5" thickBot="1" x14ac:dyDescent="0.25">
      <c r="A29" s="9"/>
      <c r="B29" s="382" t="s">
        <v>69</v>
      </c>
      <c r="C29" s="383"/>
      <c r="D29" s="383"/>
      <c r="E29" s="293" t="s">
        <v>63</v>
      </c>
      <c r="F29" s="298">
        <v>2</v>
      </c>
      <c r="G29" s="295"/>
      <c r="H29" s="46"/>
      <c r="I29" s="73"/>
      <c r="J29" s="73" t="s">
        <v>13</v>
      </c>
      <c r="K29" s="74"/>
      <c r="L29" s="73"/>
      <c r="M29" s="73" t="s">
        <v>13</v>
      </c>
      <c r="N29" s="75"/>
      <c r="O29" s="73"/>
      <c r="P29" s="73" t="s">
        <v>13</v>
      </c>
      <c r="Q29" s="45"/>
      <c r="R29" s="45"/>
      <c r="S29" s="45"/>
      <c r="T29" s="45"/>
      <c r="U29" s="45"/>
      <c r="V29" s="45"/>
      <c r="W29" s="72"/>
      <c r="X29" s="72"/>
      <c r="Y29" s="72"/>
      <c r="Z29" s="72"/>
      <c r="AA29" s="72"/>
      <c r="AB29" s="72"/>
      <c r="AC29" s="72"/>
      <c r="AD29" s="72"/>
      <c r="AE29" s="72"/>
      <c r="AF29" s="72"/>
      <c r="AG29" s="72"/>
      <c r="AH29" s="72"/>
      <c r="AI29" s="72"/>
      <c r="AJ29" s="72"/>
      <c r="AK29" s="72"/>
      <c r="AL29" s="72"/>
      <c r="AM29" s="72"/>
      <c r="AN29" s="72"/>
    </row>
    <row r="30" spans="1:40" x14ac:dyDescent="0.2">
      <c r="A30" s="9"/>
      <c r="B30" s="380" t="s">
        <v>70</v>
      </c>
      <c r="C30" s="381"/>
      <c r="D30" s="391"/>
      <c r="E30" s="290" t="s">
        <v>71</v>
      </c>
      <c r="F30" s="291">
        <v>150</v>
      </c>
      <c r="G30" s="299"/>
      <c r="H30" s="46"/>
      <c r="I30" s="73"/>
      <c r="J30" s="73"/>
      <c r="K30" s="74"/>
      <c r="L30" s="73"/>
      <c r="M30" s="73"/>
      <c r="N30" s="75"/>
      <c r="O30" s="73"/>
      <c r="P30" s="73"/>
      <c r="Q30" s="45"/>
      <c r="R30" s="45"/>
      <c r="S30" s="45"/>
      <c r="T30" s="45"/>
      <c r="U30" s="45"/>
      <c r="V30" s="45"/>
      <c r="W30" s="72"/>
      <c r="X30" s="72"/>
      <c r="Y30" s="72"/>
      <c r="Z30" s="72"/>
      <c r="AA30" s="72"/>
      <c r="AB30" s="72"/>
      <c r="AC30" s="72"/>
      <c r="AD30" s="72"/>
      <c r="AE30" s="72"/>
      <c r="AF30" s="72"/>
      <c r="AG30" s="72"/>
      <c r="AH30" s="72"/>
      <c r="AI30" s="72"/>
      <c r="AJ30" s="72"/>
      <c r="AK30" s="72"/>
      <c r="AL30" s="72"/>
      <c r="AM30" s="72"/>
      <c r="AN30" s="72"/>
    </row>
    <row r="31" spans="1:40" ht="13.5" thickBot="1" x14ac:dyDescent="0.25">
      <c r="A31" s="9"/>
      <c r="B31" s="372" t="s">
        <v>72</v>
      </c>
      <c r="C31" s="373"/>
      <c r="D31" s="392"/>
      <c r="E31" s="293" t="s">
        <v>71</v>
      </c>
      <c r="F31" s="298">
        <v>150</v>
      </c>
      <c r="G31" s="346"/>
      <c r="H31" s="46"/>
      <c r="I31" s="73"/>
      <c r="J31" s="73"/>
      <c r="K31" s="74"/>
      <c r="L31" s="73"/>
      <c r="M31" s="73"/>
      <c r="N31" s="75"/>
      <c r="O31" s="73"/>
      <c r="P31" s="73"/>
      <c r="Q31" s="45"/>
      <c r="R31" s="45"/>
      <c r="S31" s="45"/>
      <c r="T31" s="45"/>
      <c r="U31" s="45"/>
      <c r="V31" s="45"/>
      <c r="W31" s="72"/>
      <c r="X31" s="72"/>
      <c r="Y31" s="72"/>
      <c r="Z31" s="72"/>
      <c r="AA31" s="72"/>
      <c r="AB31" s="72"/>
      <c r="AC31" s="72"/>
      <c r="AD31" s="72"/>
      <c r="AE31" s="72"/>
      <c r="AF31" s="72"/>
      <c r="AG31" s="72"/>
      <c r="AH31" s="72"/>
      <c r="AI31" s="72"/>
      <c r="AJ31" s="72"/>
      <c r="AK31" s="72"/>
      <c r="AL31" s="72"/>
      <c r="AM31" s="72"/>
      <c r="AN31" s="72"/>
    </row>
    <row r="32" spans="1:40" x14ac:dyDescent="0.2">
      <c r="A32" s="9"/>
      <c r="B32" s="380" t="s">
        <v>111</v>
      </c>
      <c r="C32" s="381"/>
      <c r="D32" s="391"/>
      <c r="E32" s="290" t="s">
        <v>113</v>
      </c>
      <c r="F32" s="291">
        <v>0</v>
      </c>
      <c r="G32" s="299"/>
      <c r="H32" s="46"/>
      <c r="I32" s="73"/>
      <c r="J32" s="73"/>
      <c r="K32" s="74"/>
      <c r="L32" s="73"/>
      <c r="M32" s="73"/>
      <c r="N32" s="75"/>
      <c r="O32" s="73"/>
      <c r="P32" s="73"/>
      <c r="Q32" s="45"/>
      <c r="R32" s="45"/>
      <c r="S32" s="45"/>
      <c r="T32" s="45"/>
      <c r="U32" s="45"/>
      <c r="V32" s="45"/>
      <c r="W32" s="72"/>
      <c r="X32" s="72"/>
      <c r="Y32" s="72"/>
      <c r="Z32" s="72"/>
      <c r="AA32" s="72"/>
      <c r="AB32" s="72"/>
      <c r="AC32" s="72"/>
      <c r="AD32" s="72"/>
      <c r="AE32" s="72"/>
      <c r="AF32" s="72"/>
      <c r="AG32" s="72"/>
      <c r="AH32" s="72"/>
      <c r="AI32" s="72"/>
      <c r="AJ32" s="72"/>
      <c r="AK32" s="72"/>
      <c r="AL32" s="72"/>
      <c r="AM32" s="72"/>
      <c r="AN32" s="72"/>
    </row>
    <row r="33" spans="1:40" ht="13.5" thickBot="1" x14ac:dyDescent="0.25">
      <c r="A33" s="9"/>
      <c r="B33" s="372" t="s">
        <v>112</v>
      </c>
      <c r="C33" s="373"/>
      <c r="D33" s="392"/>
      <c r="E33" s="206" t="s">
        <v>113</v>
      </c>
      <c r="F33" s="296">
        <v>1</v>
      </c>
      <c r="G33" s="289"/>
      <c r="H33" s="46"/>
      <c r="I33" s="73"/>
      <c r="J33" s="73"/>
      <c r="K33" s="74"/>
      <c r="L33" s="73"/>
      <c r="M33" s="73"/>
      <c r="N33" s="75"/>
      <c r="O33" s="73"/>
      <c r="P33" s="73"/>
      <c r="Q33" s="45"/>
      <c r="R33" s="45"/>
      <c r="S33" s="45"/>
      <c r="T33" s="45"/>
      <c r="U33" s="45"/>
      <c r="V33" s="45"/>
      <c r="W33" s="72"/>
      <c r="X33" s="72"/>
      <c r="Y33" s="72"/>
      <c r="Z33" s="72"/>
      <c r="AA33" s="72"/>
      <c r="AB33" s="72"/>
      <c r="AC33" s="72"/>
      <c r="AD33" s="72"/>
      <c r="AE33" s="72"/>
      <c r="AF33" s="72"/>
      <c r="AG33" s="72"/>
      <c r="AH33" s="72"/>
      <c r="AI33" s="72"/>
      <c r="AJ33" s="72"/>
      <c r="AK33" s="72"/>
      <c r="AL33" s="72"/>
      <c r="AM33" s="72"/>
      <c r="AN33" s="72"/>
    </row>
    <row r="34" spans="1:40" x14ac:dyDescent="0.2">
      <c r="A34" s="9"/>
      <c r="B34" s="380" t="s">
        <v>107</v>
      </c>
      <c r="C34" s="381"/>
      <c r="D34" s="381"/>
      <c r="E34" s="290" t="s">
        <v>10</v>
      </c>
      <c r="F34" s="377" t="s">
        <v>110</v>
      </c>
      <c r="G34" s="378"/>
      <c r="H34" s="46"/>
      <c r="I34" s="73">
        <f>I38</f>
        <v>1</v>
      </c>
      <c r="J34" s="73">
        <v>0</v>
      </c>
      <c r="K34" s="74"/>
      <c r="L34" s="73">
        <f>L38</f>
        <v>1</v>
      </c>
      <c r="M34" s="73">
        <v>0</v>
      </c>
      <c r="N34" s="75"/>
      <c r="O34" s="73">
        <f>O38</f>
        <v>1</v>
      </c>
      <c r="P34" s="73">
        <v>0</v>
      </c>
      <c r="Q34" s="45"/>
      <c r="R34" s="45"/>
      <c r="S34" s="45"/>
      <c r="T34" s="45"/>
      <c r="U34" s="45"/>
      <c r="V34" s="45"/>
      <c r="W34" s="72"/>
      <c r="X34" s="72"/>
      <c r="Y34" s="72"/>
      <c r="Z34" s="72"/>
      <c r="AA34" s="72"/>
      <c r="AB34" s="72"/>
      <c r="AC34" s="72"/>
      <c r="AD34" s="72"/>
      <c r="AE34" s="72"/>
      <c r="AF34" s="72"/>
      <c r="AG34" s="72"/>
      <c r="AH34" s="72"/>
      <c r="AI34" s="72"/>
      <c r="AJ34" s="72"/>
      <c r="AK34" s="72"/>
      <c r="AL34" s="72"/>
      <c r="AM34" s="72"/>
      <c r="AN34" s="72"/>
    </row>
    <row r="35" spans="1:40" ht="13.5" thickBot="1" x14ac:dyDescent="0.25">
      <c r="A35" s="9"/>
      <c r="B35" s="382" t="s">
        <v>108</v>
      </c>
      <c r="C35" s="388"/>
      <c r="D35" s="388"/>
      <c r="E35" s="293" t="s">
        <v>10</v>
      </c>
      <c r="F35" s="389" t="s">
        <v>109</v>
      </c>
      <c r="G35" s="390"/>
      <c r="H35" s="46"/>
      <c r="I35" s="73"/>
      <c r="J35" s="73"/>
      <c r="K35" s="74"/>
      <c r="L35" s="73"/>
      <c r="M35" s="73"/>
      <c r="N35" s="75"/>
      <c r="O35" s="73"/>
      <c r="P35" s="73"/>
      <c r="Q35" s="45"/>
      <c r="R35" s="45"/>
      <c r="S35" s="45"/>
      <c r="T35" s="45"/>
      <c r="U35" s="45"/>
      <c r="V35" s="45"/>
      <c r="W35" s="72"/>
      <c r="X35" s="72"/>
      <c r="Y35" s="72"/>
      <c r="Z35" s="72"/>
      <c r="AA35" s="72"/>
      <c r="AB35" s="72"/>
      <c r="AC35" s="72"/>
      <c r="AD35" s="72"/>
      <c r="AE35" s="72"/>
      <c r="AF35" s="72"/>
      <c r="AG35" s="72"/>
      <c r="AH35" s="72"/>
      <c r="AI35" s="72"/>
      <c r="AJ35" s="72"/>
      <c r="AK35" s="72"/>
      <c r="AL35" s="72"/>
      <c r="AM35" s="72"/>
      <c r="AN35" s="72"/>
    </row>
    <row r="36" spans="1:40" x14ac:dyDescent="0.2">
      <c r="A36" s="9"/>
      <c r="B36" s="379" t="s">
        <v>58</v>
      </c>
      <c r="C36" s="379"/>
      <c r="D36" s="379"/>
      <c r="E36" s="379"/>
      <c r="F36" s="379"/>
      <c r="G36" s="379"/>
      <c r="H36" s="46"/>
      <c r="I36" s="73"/>
      <c r="J36" s="73"/>
      <c r="K36" s="74"/>
      <c r="L36" s="73"/>
      <c r="M36" s="73"/>
      <c r="N36" s="75"/>
      <c r="O36" s="73"/>
      <c r="P36" s="73"/>
      <c r="Q36" s="45"/>
      <c r="R36" s="45"/>
      <c r="S36" s="45"/>
      <c r="T36" s="45"/>
      <c r="U36" s="45"/>
      <c r="V36" s="45"/>
      <c r="W36" s="72"/>
      <c r="X36" s="72"/>
      <c r="Y36" s="72"/>
      <c r="Z36" s="72"/>
      <c r="AA36" s="72"/>
      <c r="AB36" s="72"/>
      <c r="AC36" s="72"/>
      <c r="AD36" s="72"/>
      <c r="AE36" s="72"/>
      <c r="AF36" s="72"/>
      <c r="AG36" s="72"/>
      <c r="AH36" s="72"/>
      <c r="AI36" s="72"/>
      <c r="AJ36" s="72"/>
      <c r="AK36" s="72"/>
      <c r="AL36" s="72"/>
      <c r="AM36" s="72"/>
      <c r="AN36" s="72"/>
    </row>
    <row r="37" spans="1:40" x14ac:dyDescent="0.2">
      <c r="A37" s="9"/>
      <c r="B37" s="379" t="s">
        <v>59</v>
      </c>
      <c r="C37" s="379"/>
      <c r="D37" s="379"/>
      <c r="E37" s="379"/>
      <c r="F37" s="379"/>
      <c r="G37" s="379"/>
      <c r="H37" s="46"/>
      <c r="I37" s="73"/>
      <c r="J37" s="73"/>
      <c r="K37" s="74"/>
      <c r="L37" s="73"/>
      <c r="M37" s="73"/>
      <c r="N37" s="75"/>
      <c r="O37" s="73"/>
      <c r="P37" s="73"/>
      <c r="Q37" s="45"/>
      <c r="R37" s="45"/>
      <c r="S37" s="45"/>
      <c r="T37" s="45"/>
      <c r="U37" s="45"/>
      <c r="V37" s="45"/>
      <c r="W37" s="72"/>
      <c r="X37" s="72"/>
      <c r="Y37" s="72"/>
      <c r="Z37" s="72"/>
      <c r="AA37" s="72"/>
      <c r="AB37" s="72"/>
      <c r="AC37" s="72"/>
      <c r="AD37" s="72"/>
      <c r="AE37" s="72"/>
      <c r="AF37" s="72"/>
      <c r="AG37" s="72"/>
      <c r="AH37" s="72"/>
      <c r="AI37" s="72"/>
      <c r="AJ37" s="72"/>
      <c r="AK37" s="72"/>
      <c r="AL37" s="72"/>
      <c r="AM37" s="72"/>
      <c r="AN37" s="72"/>
    </row>
    <row r="38" spans="1:40" x14ac:dyDescent="0.2">
      <c r="A38" s="9"/>
      <c r="B38" s="376"/>
      <c r="C38" s="376"/>
      <c r="D38" s="376"/>
      <c r="E38" s="7"/>
      <c r="F38" s="62"/>
      <c r="G38" s="6"/>
      <c r="H38" s="46"/>
      <c r="I38" s="73">
        <f t="shared" ref="I38:I41" si="0">INT(10*C54 +1.5)</f>
        <v>1</v>
      </c>
      <c r="J38" s="73">
        <f t="shared" ref="J38:J41" si="1">D54</f>
        <v>0</v>
      </c>
      <c r="K38" s="74"/>
      <c r="L38" s="73">
        <f t="shared" ref="L38:L41" si="2">INT(10*F46 +1.5)</f>
        <v>1</v>
      </c>
      <c r="M38" s="73">
        <f t="shared" ref="M38:M41" si="3">G46</f>
        <v>131</v>
      </c>
      <c r="N38" s="75"/>
      <c r="O38" s="73">
        <f t="shared" ref="O38:O41" si="4">INT(10*F102 +1.5)</f>
        <v>1</v>
      </c>
      <c r="P38" s="73">
        <f t="shared" ref="P38:P41" si="5">G102</f>
        <v>0</v>
      </c>
      <c r="Q38" s="45"/>
      <c r="R38" s="45"/>
      <c r="S38" s="45"/>
      <c r="T38" s="45"/>
      <c r="U38" s="45"/>
      <c r="V38" s="45"/>
      <c r="W38" s="72"/>
      <c r="X38" s="72"/>
      <c r="Y38" s="72"/>
      <c r="Z38" s="72"/>
      <c r="AA38" s="72"/>
      <c r="AB38" s="72"/>
      <c r="AC38" s="72"/>
      <c r="AD38" s="72"/>
      <c r="AE38" s="72"/>
      <c r="AF38" s="72"/>
      <c r="AG38" s="72"/>
      <c r="AH38" s="72"/>
      <c r="AI38" s="72"/>
      <c r="AJ38" s="72"/>
      <c r="AK38" s="72"/>
      <c r="AL38" s="72"/>
      <c r="AM38" s="72"/>
      <c r="AN38" s="72"/>
    </row>
    <row r="39" spans="1:40" x14ac:dyDescent="0.2">
      <c r="A39" s="6"/>
      <c r="B39" s="6"/>
      <c r="C39" s="22"/>
      <c r="D39" s="22"/>
      <c r="E39" s="22"/>
      <c r="F39" s="62"/>
      <c r="G39" s="6"/>
      <c r="H39" s="46"/>
      <c r="I39" s="73">
        <f t="shared" si="0"/>
        <v>101</v>
      </c>
      <c r="J39" s="73">
        <f t="shared" si="1"/>
        <v>0</v>
      </c>
      <c r="K39" s="74"/>
      <c r="L39" s="73">
        <f t="shared" si="2"/>
        <v>46</v>
      </c>
      <c r="M39" s="73">
        <f t="shared" si="3"/>
        <v>120</v>
      </c>
      <c r="N39" s="75"/>
      <c r="O39" s="73">
        <f t="shared" si="4"/>
        <v>101</v>
      </c>
      <c r="P39" s="73">
        <f t="shared" si="5"/>
        <v>0</v>
      </c>
      <c r="Q39" s="45"/>
      <c r="R39" s="45"/>
      <c r="S39" s="45"/>
      <c r="T39" s="45"/>
      <c r="U39" s="45"/>
      <c r="V39" s="45"/>
      <c r="W39" s="72"/>
      <c r="X39" s="72"/>
      <c r="Y39" s="72"/>
      <c r="Z39" s="72"/>
      <c r="AA39" s="72"/>
      <c r="AB39" s="72"/>
      <c r="AC39" s="72"/>
      <c r="AD39" s="72"/>
      <c r="AE39" s="72"/>
      <c r="AF39" s="72"/>
      <c r="AG39" s="72"/>
      <c r="AH39" s="72"/>
      <c r="AI39" s="72"/>
      <c r="AJ39" s="72"/>
      <c r="AK39" s="72"/>
      <c r="AL39" s="72"/>
      <c r="AM39" s="72"/>
      <c r="AN39" s="72"/>
    </row>
    <row r="40" spans="1:40" ht="18" x14ac:dyDescent="0.25">
      <c r="A40" s="366"/>
      <c r="B40" s="366"/>
      <c r="C40" s="21"/>
      <c r="D40" s="20"/>
      <c r="E40" s="28"/>
      <c r="F40" s="364" t="s">
        <v>114</v>
      </c>
      <c r="G40" s="365"/>
      <c r="H40" s="45"/>
      <c r="I40" s="73">
        <f t="shared" si="0"/>
        <v>175</v>
      </c>
      <c r="J40" s="73">
        <f t="shared" si="1"/>
        <v>0</v>
      </c>
      <c r="K40" s="76"/>
      <c r="L40" s="73">
        <f t="shared" si="2"/>
        <v>150</v>
      </c>
      <c r="M40" s="73">
        <f t="shared" si="3"/>
        <v>100</v>
      </c>
      <c r="N40" s="76"/>
      <c r="O40" s="73">
        <f t="shared" si="4"/>
        <v>501</v>
      </c>
      <c r="P40" s="73">
        <f t="shared" si="5"/>
        <v>0</v>
      </c>
      <c r="Q40" s="45"/>
      <c r="R40" s="45"/>
      <c r="S40" s="45"/>
      <c r="T40" s="45"/>
      <c r="U40" s="45"/>
      <c r="V40" s="45"/>
      <c r="W40" s="72"/>
      <c r="X40" s="72"/>
      <c r="Y40" s="72"/>
      <c r="Z40" s="72"/>
      <c r="AA40" s="72"/>
      <c r="AB40" s="72"/>
      <c r="AC40" s="72"/>
      <c r="AD40" s="72"/>
      <c r="AE40" s="72"/>
      <c r="AF40" s="72"/>
      <c r="AG40" s="72"/>
      <c r="AH40" s="72"/>
      <c r="AI40" s="72"/>
      <c r="AJ40" s="72"/>
      <c r="AK40" s="72"/>
      <c r="AL40" s="72"/>
      <c r="AM40" s="72"/>
      <c r="AN40" s="72"/>
    </row>
    <row r="41" spans="1:40" x14ac:dyDescent="0.2">
      <c r="A41" s="10"/>
      <c r="B41" s="9"/>
      <c r="C41" s="28"/>
      <c r="D41" s="29"/>
      <c r="E41" s="30"/>
      <c r="F41" s="13"/>
      <c r="G41" s="9"/>
      <c r="H41" s="45"/>
      <c r="I41" s="73">
        <f t="shared" si="0"/>
        <v>199</v>
      </c>
      <c r="J41" s="73">
        <f t="shared" si="1"/>
        <v>60</v>
      </c>
      <c r="K41" s="77"/>
      <c r="L41" s="73">
        <f t="shared" si="2"/>
        <v>571</v>
      </c>
      <c r="M41" s="73">
        <f t="shared" si="3"/>
        <v>100</v>
      </c>
      <c r="N41" s="75"/>
      <c r="O41" s="73">
        <f t="shared" si="4"/>
        <v>751</v>
      </c>
      <c r="P41" s="73">
        <f t="shared" si="5"/>
        <v>0</v>
      </c>
      <c r="Q41" s="45"/>
      <c r="R41" s="45"/>
      <c r="S41" s="45"/>
      <c r="T41" s="45"/>
      <c r="U41" s="45"/>
      <c r="V41" s="45"/>
      <c r="W41" s="72"/>
      <c r="X41" s="72"/>
      <c r="Y41" s="72"/>
      <c r="Z41" s="72"/>
      <c r="AA41" s="72"/>
      <c r="AB41" s="72"/>
      <c r="AC41" s="72"/>
      <c r="AD41" s="72"/>
      <c r="AE41" s="72"/>
      <c r="AF41" s="72"/>
      <c r="AG41" s="72"/>
      <c r="AH41" s="72"/>
      <c r="AI41" s="72"/>
      <c r="AJ41" s="72"/>
      <c r="AK41" s="72"/>
      <c r="AL41" s="72"/>
      <c r="AM41" s="72"/>
      <c r="AN41" s="72"/>
    </row>
    <row r="42" spans="1:40" ht="13.5" thickBot="1" x14ac:dyDescent="0.25">
      <c r="A42" s="3"/>
      <c r="B42" s="4"/>
      <c r="C42" s="4"/>
      <c r="E42" s="4"/>
      <c r="F42" s="14"/>
      <c r="G42" s="14"/>
      <c r="H42" s="44"/>
      <c r="I42" s="73">
        <f>INT(10*C60 +1.5)</f>
        <v>951</v>
      </c>
      <c r="J42" s="73">
        <f>D60</f>
        <v>0</v>
      </c>
      <c r="K42" s="76"/>
      <c r="L42" s="73">
        <f>INT(10*F52 +1.5)</f>
        <v>951</v>
      </c>
      <c r="M42" s="73">
        <f>G52</f>
        <v>100</v>
      </c>
      <c r="N42" s="73"/>
      <c r="O42" s="73">
        <f>INT(10*F108 +1.5)</f>
        <v>951</v>
      </c>
      <c r="P42" s="73">
        <f>G108</f>
        <v>0</v>
      </c>
      <c r="Q42" s="45"/>
      <c r="R42" s="45"/>
      <c r="S42" s="45"/>
      <c r="T42" s="45"/>
      <c r="U42" s="45"/>
      <c r="V42" s="45"/>
      <c r="W42" s="72"/>
      <c r="X42" s="72"/>
      <c r="Y42" s="72"/>
      <c r="Z42" s="72"/>
      <c r="AA42" s="72"/>
      <c r="AB42" s="72"/>
      <c r="AC42" s="72"/>
      <c r="AD42" s="72"/>
      <c r="AE42" s="72"/>
      <c r="AF42" s="72"/>
      <c r="AG42" s="72"/>
      <c r="AH42" s="72"/>
      <c r="AI42" s="72"/>
      <c r="AJ42" s="72"/>
      <c r="AK42" s="72"/>
      <c r="AL42" s="72"/>
      <c r="AM42" s="72"/>
      <c r="AN42" s="72"/>
    </row>
    <row r="43" spans="1:40" x14ac:dyDescent="0.2">
      <c r="A43" s="211"/>
      <c r="B43" s="212"/>
      <c r="C43" s="367" t="s">
        <v>3</v>
      </c>
      <c r="D43" s="367"/>
      <c r="E43" s="367"/>
      <c r="F43" s="368" t="s">
        <v>4</v>
      </c>
      <c r="G43" s="367"/>
      <c r="H43" s="367"/>
      <c r="I43" s="213"/>
      <c r="J43" s="324"/>
      <c r="K43" s="369" t="s">
        <v>3</v>
      </c>
      <c r="L43" s="359"/>
      <c r="M43" s="360"/>
      <c r="N43" s="359" t="s">
        <v>4</v>
      </c>
      <c r="O43" s="359"/>
      <c r="P43" s="360"/>
      <c r="Q43" s="45"/>
      <c r="R43" s="45"/>
      <c r="S43" s="45"/>
      <c r="T43" s="45"/>
      <c r="U43" s="45"/>
      <c r="V43" s="45"/>
      <c r="W43" s="72"/>
      <c r="X43" s="72"/>
      <c r="Y43" s="72"/>
      <c r="Z43" s="72"/>
      <c r="AA43" s="72"/>
      <c r="AB43" s="72"/>
      <c r="AC43" s="72"/>
      <c r="AD43" s="72"/>
      <c r="AE43" s="72"/>
      <c r="AF43" s="72"/>
      <c r="AG43" s="72"/>
      <c r="AH43" s="72"/>
      <c r="AI43" s="72"/>
      <c r="AJ43" s="72"/>
      <c r="AK43" s="72"/>
      <c r="AL43" s="72"/>
      <c r="AM43" s="72"/>
      <c r="AN43" s="72"/>
    </row>
    <row r="44" spans="1:40" x14ac:dyDescent="0.2">
      <c r="A44" s="215"/>
      <c r="B44" s="216"/>
      <c r="C44" s="217"/>
      <c r="D44" s="217"/>
      <c r="E44" s="217"/>
      <c r="F44" s="215"/>
      <c r="G44" s="217"/>
      <c r="H44" s="340"/>
      <c r="I44" s="218"/>
      <c r="J44" s="325"/>
      <c r="K44" s="218"/>
      <c r="L44" s="220"/>
      <c r="M44" s="260"/>
      <c r="N44" s="220"/>
      <c r="O44" s="220"/>
      <c r="P44" s="313"/>
      <c r="Q44" s="45"/>
      <c r="R44" s="45"/>
      <c r="S44" s="45"/>
      <c r="T44" s="45"/>
      <c r="U44" s="45"/>
      <c r="V44" s="45"/>
      <c r="W44" s="72"/>
      <c r="X44" s="72"/>
      <c r="Y44" s="72"/>
      <c r="Z44" s="72"/>
      <c r="AA44" s="72"/>
      <c r="AB44" s="72"/>
      <c r="AC44" s="72"/>
      <c r="AD44" s="72"/>
      <c r="AE44" s="72"/>
      <c r="AF44" s="72"/>
      <c r="AG44" s="72"/>
      <c r="AH44" s="72"/>
      <c r="AI44" s="72"/>
      <c r="AJ44" s="72"/>
      <c r="AK44" s="72"/>
      <c r="AL44" s="72"/>
      <c r="AM44" s="72"/>
      <c r="AN44" s="72"/>
    </row>
    <row r="45" spans="1:40" ht="13.5" thickBot="1" x14ac:dyDescent="0.25">
      <c r="A45" s="221" t="s">
        <v>73</v>
      </c>
      <c r="B45" s="222" t="s">
        <v>0</v>
      </c>
      <c r="C45" s="223" t="s">
        <v>1</v>
      </c>
      <c r="D45" s="224" t="s">
        <v>2</v>
      </c>
      <c r="E45" s="225" t="s">
        <v>19</v>
      </c>
      <c r="F45" s="226" t="s">
        <v>1</v>
      </c>
      <c r="G45" s="225" t="s">
        <v>2</v>
      </c>
      <c r="H45" s="225" t="s">
        <v>19</v>
      </c>
      <c r="I45" s="227" t="s">
        <v>73</v>
      </c>
      <c r="J45" s="314" t="s">
        <v>0</v>
      </c>
      <c r="K45" s="227" t="s">
        <v>1</v>
      </c>
      <c r="L45" s="230" t="s">
        <v>2</v>
      </c>
      <c r="M45" s="228" t="s">
        <v>19</v>
      </c>
      <c r="N45" s="341" t="s">
        <v>1</v>
      </c>
      <c r="O45" s="314" t="s">
        <v>2</v>
      </c>
      <c r="P45" s="228" t="s">
        <v>19</v>
      </c>
      <c r="Q45" s="45"/>
      <c r="R45" s="45"/>
      <c r="S45" s="45"/>
      <c r="T45" s="45"/>
      <c r="U45" s="45"/>
      <c r="V45" s="45"/>
      <c r="W45" s="72"/>
      <c r="X45" s="72"/>
      <c r="Y45" s="72"/>
      <c r="Z45" s="72"/>
      <c r="AA45" s="72"/>
      <c r="AB45" s="72"/>
      <c r="AC45" s="72"/>
      <c r="AD45" s="72"/>
      <c r="AE45" s="72"/>
      <c r="AF45" s="72"/>
      <c r="AG45" s="72"/>
      <c r="AH45" s="72"/>
      <c r="AI45" s="72"/>
      <c r="AJ45" s="72"/>
      <c r="AK45" s="72"/>
      <c r="AL45" s="72"/>
      <c r="AM45" s="72"/>
      <c r="AN45" s="72"/>
    </row>
    <row r="46" spans="1:40" x14ac:dyDescent="0.2">
      <c r="A46" s="277" t="s">
        <v>74</v>
      </c>
      <c r="B46" s="232" t="s">
        <v>23</v>
      </c>
      <c r="C46" s="146">
        <f t="shared" ref="C46:D51" si="6">A184</f>
        <v>0</v>
      </c>
      <c r="D46" s="147">
        <f t="shared" si="6"/>
        <v>100</v>
      </c>
      <c r="E46" s="169">
        <f>B181</f>
        <v>60</v>
      </c>
      <c r="F46" s="148">
        <f t="shared" ref="F46:G51" si="7">O184</f>
        <v>0</v>
      </c>
      <c r="G46" s="149">
        <f t="shared" si="7"/>
        <v>131</v>
      </c>
      <c r="H46" s="185">
        <f>P181</f>
        <v>60</v>
      </c>
      <c r="I46" s="321" t="s">
        <v>91</v>
      </c>
      <c r="J46" s="322" t="s">
        <v>99</v>
      </c>
      <c r="K46" s="174">
        <f>A569</f>
        <v>0</v>
      </c>
      <c r="L46" s="173">
        <f>B569</f>
        <v>175</v>
      </c>
      <c r="M46" s="331">
        <f>B566</f>
        <v>30</v>
      </c>
      <c r="N46" s="172">
        <f>O569</f>
        <v>0</v>
      </c>
      <c r="O46" s="173">
        <f>P569</f>
        <v>150</v>
      </c>
      <c r="P46" s="315">
        <f>P566</f>
        <v>60</v>
      </c>
      <c r="Q46" s="45"/>
      <c r="R46" s="45"/>
      <c r="S46" s="45"/>
      <c r="T46" s="45"/>
      <c r="U46" s="45"/>
      <c r="V46" s="45"/>
      <c r="W46" s="72"/>
      <c r="X46" s="72"/>
      <c r="Y46" s="72"/>
      <c r="Z46" s="72"/>
      <c r="AA46" s="72"/>
      <c r="AB46" s="72"/>
      <c r="AC46" s="72"/>
      <c r="AD46" s="72"/>
      <c r="AE46" s="72"/>
      <c r="AF46" s="72"/>
      <c r="AG46" s="72"/>
      <c r="AH46" s="72"/>
      <c r="AI46" s="72"/>
      <c r="AJ46" s="72"/>
      <c r="AK46" s="72"/>
      <c r="AL46" s="72"/>
      <c r="AM46" s="72"/>
      <c r="AN46" s="72"/>
    </row>
    <row r="47" spans="1:40" x14ac:dyDescent="0.2">
      <c r="A47" s="231"/>
      <c r="B47" s="235"/>
      <c r="C47" s="151">
        <f t="shared" si="6"/>
        <v>10</v>
      </c>
      <c r="D47" s="152">
        <f t="shared" si="6"/>
        <v>100</v>
      </c>
      <c r="E47" s="236"/>
      <c r="F47" s="153">
        <f t="shared" si="7"/>
        <v>4.51</v>
      </c>
      <c r="G47" s="154">
        <f t="shared" si="7"/>
        <v>120</v>
      </c>
      <c r="H47" s="150"/>
      <c r="I47" s="233"/>
      <c r="J47" s="317"/>
      <c r="K47" s="326">
        <f t="shared" ref="K47:K53" si="8">A570</f>
        <v>25</v>
      </c>
      <c r="L47" s="323">
        <f t="shared" ref="L47:L53" si="9">B570</f>
        <v>175</v>
      </c>
      <c r="M47" s="327"/>
      <c r="N47" s="181">
        <f t="shared" ref="N47:O53" si="10">O570</f>
        <v>5</v>
      </c>
      <c r="O47" s="323">
        <f t="shared" si="10"/>
        <v>150</v>
      </c>
      <c r="P47" s="316"/>
      <c r="Q47" s="45"/>
      <c r="R47" s="45"/>
      <c r="S47" s="45"/>
      <c r="T47" s="45"/>
      <c r="U47" s="45"/>
      <c r="V47" s="45"/>
      <c r="W47" s="72"/>
      <c r="X47" s="72"/>
      <c r="Y47" s="72"/>
      <c r="Z47" s="72"/>
      <c r="AA47" s="72"/>
      <c r="AB47" s="72"/>
      <c r="AC47" s="72"/>
      <c r="AD47" s="72"/>
      <c r="AE47" s="72"/>
      <c r="AF47" s="72"/>
      <c r="AG47" s="72"/>
      <c r="AH47" s="72"/>
      <c r="AI47" s="72"/>
      <c r="AJ47" s="72"/>
      <c r="AK47" s="72"/>
      <c r="AL47" s="72"/>
      <c r="AM47" s="72"/>
      <c r="AN47" s="72"/>
    </row>
    <row r="48" spans="1:40" x14ac:dyDescent="0.2">
      <c r="A48" s="231"/>
      <c r="B48" s="235"/>
      <c r="C48" s="151">
        <f t="shared" si="6"/>
        <v>17.36</v>
      </c>
      <c r="D48" s="152">
        <f t="shared" si="6"/>
        <v>100</v>
      </c>
      <c r="E48" s="236"/>
      <c r="F48" s="153">
        <f t="shared" si="7"/>
        <v>14.93</v>
      </c>
      <c r="G48" s="154">
        <f t="shared" si="7"/>
        <v>100</v>
      </c>
      <c r="H48" s="150"/>
      <c r="I48" s="233"/>
      <c r="J48" s="317"/>
      <c r="K48" s="326">
        <f t="shared" si="8"/>
        <v>50</v>
      </c>
      <c r="L48" s="323">
        <f t="shared" si="9"/>
        <v>175</v>
      </c>
      <c r="M48" s="327"/>
      <c r="N48" s="181">
        <f t="shared" si="10"/>
        <v>9.3800000000000008</v>
      </c>
      <c r="O48" s="323">
        <f t="shared" si="10"/>
        <v>150</v>
      </c>
      <c r="P48" s="316"/>
      <c r="Q48" s="45"/>
      <c r="R48" s="45"/>
      <c r="S48" s="45"/>
      <c r="T48" s="45"/>
      <c r="U48" s="45"/>
      <c r="V48" s="45"/>
      <c r="W48" s="72"/>
      <c r="X48" s="72"/>
      <c r="Y48" s="72"/>
      <c r="Z48" s="72"/>
      <c r="AA48" s="72"/>
      <c r="AB48" s="72"/>
      <c r="AC48" s="72"/>
      <c r="AD48" s="72"/>
      <c r="AE48" s="72"/>
      <c r="AF48" s="72"/>
      <c r="AG48" s="72"/>
      <c r="AH48" s="72"/>
      <c r="AI48" s="72"/>
      <c r="AJ48" s="72"/>
      <c r="AK48" s="72"/>
      <c r="AL48" s="72"/>
      <c r="AM48" s="72"/>
      <c r="AN48" s="72"/>
    </row>
    <row r="49" spans="1:40" x14ac:dyDescent="0.2">
      <c r="A49" s="231"/>
      <c r="B49" s="235"/>
      <c r="C49" s="151">
        <f t="shared" si="6"/>
        <v>19.79</v>
      </c>
      <c r="D49" s="152">
        <f t="shared" si="6"/>
        <v>0</v>
      </c>
      <c r="E49" s="236"/>
      <c r="F49" s="153">
        <f t="shared" si="7"/>
        <v>57</v>
      </c>
      <c r="G49" s="154">
        <f t="shared" si="7"/>
        <v>100</v>
      </c>
      <c r="H49" s="150"/>
      <c r="I49" s="233"/>
      <c r="J49" s="317"/>
      <c r="K49" s="326">
        <f t="shared" si="8"/>
        <v>75</v>
      </c>
      <c r="L49" s="323">
        <f t="shared" si="9"/>
        <v>175</v>
      </c>
      <c r="M49" s="327"/>
      <c r="N49" s="181">
        <f t="shared" si="10"/>
        <v>11.81</v>
      </c>
      <c r="O49" s="323">
        <f t="shared" si="10"/>
        <v>0</v>
      </c>
      <c r="P49" s="316"/>
      <c r="Q49" s="45"/>
      <c r="R49" s="45"/>
      <c r="S49" s="45"/>
      <c r="T49" s="45"/>
      <c r="U49" s="45"/>
      <c r="V49" s="45"/>
      <c r="W49" s="72"/>
      <c r="X49" s="72"/>
      <c r="Y49" s="72"/>
      <c r="Z49" s="72"/>
      <c r="AA49" s="72"/>
      <c r="AB49" s="72"/>
      <c r="AC49" s="72"/>
      <c r="AD49" s="72"/>
      <c r="AE49" s="72"/>
      <c r="AF49" s="72"/>
      <c r="AG49" s="72"/>
      <c r="AH49" s="72"/>
      <c r="AI49" s="72"/>
      <c r="AJ49" s="72"/>
      <c r="AK49" s="72"/>
      <c r="AL49" s="72"/>
      <c r="AM49" s="72"/>
      <c r="AN49" s="72"/>
    </row>
    <row r="50" spans="1:40" x14ac:dyDescent="0.2">
      <c r="A50" s="231"/>
      <c r="B50" s="235"/>
      <c r="C50" s="151">
        <f t="shared" si="6"/>
        <v>64.239999999999995</v>
      </c>
      <c r="D50" s="152">
        <f t="shared" si="6"/>
        <v>0</v>
      </c>
      <c r="E50" s="236"/>
      <c r="F50" s="153">
        <f t="shared" si="7"/>
        <v>79</v>
      </c>
      <c r="G50" s="154">
        <f t="shared" si="7"/>
        <v>100</v>
      </c>
      <c r="H50" s="150"/>
      <c r="I50" s="233"/>
      <c r="J50" s="317"/>
      <c r="K50" s="326">
        <f t="shared" si="8"/>
        <v>88</v>
      </c>
      <c r="L50" s="323">
        <f t="shared" si="9"/>
        <v>175</v>
      </c>
      <c r="M50" s="327"/>
      <c r="N50" s="181">
        <f t="shared" si="10"/>
        <v>86.81</v>
      </c>
      <c r="O50" s="323">
        <f t="shared" si="10"/>
        <v>0</v>
      </c>
      <c r="P50" s="316"/>
      <c r="Q50" s="45"/>
      <c r="R50" s="45"/>
      <c r="S50" s="45"/>
      <c r="T50" s="45"/>
      <c r="U50" s="45"/>
      <c r="V50" s="45"/>
      <c r="W50" s="72"/>
      <c r="X50" s="72"/>
      <c r="Y50" s="72"/>
      <c r="Z50" s="72"/>
      <c r="AA50" s="72"/>
      <c r="AB50" s="72"/>
      <c r="AC50" s="72"/>
      <c r="AD50" s="72"/>
      <c r="AE50" s="72"/>
      <c r="AF50" s="72"/>
      <c r="AG50" s="72"/>
      <c r="AH50" s="72"/>
      <c r="AI50" s="72"/>
      <c r="AJ50" s="72"/>
      <c r="AK50" s="72"/>
      <c r="AL50" s="72"/>
      <c r="AM50" s="72"/>
      <c r="AN50" s="72"/>
    </row>
    <row r="51" spans="1:40" x14ac:dyDescent="0.2">
      <c r="A51" s="231"/>
      <c r="B51" s="235"/>
      <c r="C51" s="151">
        <f t="shared" si="6"/>
        <v>75.349999999999994</v>
      </c>
      <c r="D51" s="152">
        <f t="shared" si="6"/>
        <v>150</v>
      </c>
      <c r="E51" s="236"/>
      <c r="F51" s="153">
        <f t="shared" si="7"/>
        <v>85</v>
      </c>
      <c r="G51" s="154">
        <f t="shared" si="7"/>
        <v>100</v>
      </c>
      <c r="H51" s="150"/>
      <c r="I51" s="233"/>
      <c r="J51" s="317"/>
      <c r="K51" s="326">
        <f t="shared" si="8"/>
        <v>94</v>
      </c>
      <c r="L51" s="323">
        <f t="shared" si="9"/>
        <v>175</v>
      </c>
      <c r="M51" s="327"/>
      <c r="N51" s="181">
        <f t="shared" si="10"/>
        <v>89.93</v>
      </c>
      <c r="O51" s="323">
        <f t="shared" si="10"/>
        <v>150</v>
      </c>
      <c r="P51" s="316"/>
      <c r="Q51" s="45"/>
      <c r="R51" s="45"/>
      <c r="S51" s="45"/>
      <c r="T51" s="45"/>
      <c r="U51" s="45"/>
      <c r="V51" s="45"/>
      <c r="W51" s="72"/>
      <c r="X51" s="72"/>
      <c r="Y51" s="72"/>
      <c r="Z51" s="72"/>
      <c r="AA51" s="72"/>
      <c r="AB51" s="72"/>
      <c r="AC51" s="72"/>
      <c r="AD51" s="72"/>
      <c r="AE51" s="72"/>
      <c r="AF51" s="72"/>
      <c r="AG51" s="72"/>
      <c r="AH51" s="72"/>
      <c r="AI51" s="72"/>
      <c r="AJ51" s="72"/>
      <c r="AK51" s="72"/>
      <c r="AL51" s="72"/>
      <c r="AM51" s="72"/>
      <c r="AN51" s="72"/>
    </row>
    <row r="52" spans="1:40" x14ac:dyDescent="0.2">
      <c r="A52" s="231"/>
      <c r="B52" s="235"/>
      <c r="C52" s="151">
        <f>A190</f>
        <v>92.01</v>
      </c>
      <c r="D52" s="152">
        <f>B190</f>
        <v>131</v>
      </c>
      <c r="E52" s="236"/>
      <c r="F52" s="153">
        <f>O190</f>
        <v>95</v>
      </c>
      <c r="G52" s="154">
        <f>P190</f>
        <v>100</v>
      </c>
      <c r="H52" s="150"/>
      <c r="I52" s="233"/>
      <c r="J52" s="317"/>
      <c r="K52" s="326">
        <f t="shared" si="8"/>
        <v>95</v>
      </c>
      <c r="L52" s="323">
        <f t="shared" si="9"/>
        <v>175</v>
      </c>
      <c r="M52" s="327"/>
      <c r="N52" s="181">
        <f t="shared" si="10"/>
        <v>93.06</v>
      </c>
      <c r="O52" s="323">
        <f t="shared" si="10"/>
        <v>150</v>
      </c>
      <c r="P52" s="316"/>
      <c r="Q52" s="45"/>
      <c r="R52" s="45"/>
      <c r="S52" s="45"/>
      <c r="T52" s="45"/>
      <c r="U52" s="45"/>
      <c r="V52" s="45"/>
      <c r="W52" s="72"/>
      <c r="X52" s="72"/>
      <c r="Y52" s="72"/>
      <c r="Z52" s="72"/>
      <c r="AA52" s="72"/>
      <c r="AB52" s="72"/>
      <c r="AC52" s="72"/>
      <c r="AD52" s="72"/>
      <c r="AE52" s="72"/>
      <c r="AF52" s="72"/>
      <c r="AG52" s="72"/>
      <c r="AH52" s="72"/>
      <c r="AI52" s="72"/>
      <c r="AJ52" s="72"/>
      <c r="AK52" s="72"/>
      <c r="AL52" s="72"/>
      <c r="AM52" s="72"/>
      <c r="AN52" s="72"/>
    </row>
    <row r="53" spans="1:40" ht="13.5" thickBot="1" x14ac:dyDescent="0.25">
      <c r="A53" s="238"/>
      <c r="B53" s="239"/>
      <c r="C53" s="155">
        <f>A191</f>
        <v>100</v>
      </c>
      <c r="D53" s="156">
        <f>B191</f>
        <v>131</v>
      </c>
      <c r="E53" s="240"/>
      <c r="F53" s="157">
        <f>O191</f>
        <v>100</v>
      </c>
      <c r="G53" s="158">
        <f>P191</f>
        <v>100</v>
      </c>
      <c r="H53" s="159"/>
      <c r="I53" s="241"/>
      <c r="J53" s="318"/>
      <c r="K53" s="328">
        <f t="shared" si="8"/>
        <v>100</v>
      </c>
      <c r="L53" s="329">
        <f t="shared" si="9"/>
        <v>175</v>
      </c>
      <c r="M53" s="330"/>
      <c r="N53" s="332">
        <f t="shared" si="10"/>
        <v>100</v>
      </c>
      <c r="O53" s="329">
        <f t="shared" si="10"/>
        <v>150</v>
      </c>
      <c r="P53" s="319"/>
      <c r="Q53" s="45"/>
      <c r="R53" s="45"/>
      <c r="S53" s="45"/>
      <c r="T53" s="45"/>
      <c r="U53" s="45"/>
      <c r="V53" s="45"/>
      <c r="W53" s="72"/>
      <c r="X53" s="72"/>
      <c r="Y53" s="72"/>
      <c r="Z53" s="72"/>
      <c r="AA53" s="72"/>
      <c r="AB53" s="72"/>
      <c r="AC53" s="72"/>
      <c r="AD53" s="72"/>
      <c r="AE53" s="72"/>
      <c r="AF53" s="72"/>
      <c r="AG53" s="72"/>
      <c r="AH53" s="72"/>
      <c r="AI53" s="72"/>
      <c r="AJ53" s="72"/>
      <c r="AK53" s="72"/>
      <c r="AL53" s="72"/>
      <c r="AM53" s="72"/>
      <c r="AN53" s="72"/>
    </row>
    <row r="54" spans="1:40" x14ac:dyDescent="0.2">
      <c r="A54" s="277" t="s">
        <v>75</v>
      </c>
      <c r="B54" s="232" t="s">
        <v>24</v>
      </c>
      <c r="C54" s="146">
        <f t="shared" ref="C54:D59" si="11">A208</f>
        <v>0</v>
      </c>
      <c r="D54" s="147">
        <f t="shared" si="11"/>
        <v>0</v>
      </c>
      <c r="E54" s="244">
        <f>B205</f>
        <v>30</v>
      </c>
      <c r="F54" s="160">
        <f t="shared" ref="F54:G59" si="12">O208</f>
        <v>0</v>
      </c>
      <c r="G54" s="161">
        <f t="shared" si="12"/>
        <v>0</v>
      </c>
      <c r="H54" s="186">
        <f>P205</f>
        <v>60</v>
      </c>
      <c r="I54" s="321" t="s">
        <v>92</v>
      </c>
      <c r="J54" s="322" t="s">
        <v>100</v>
      </c>
      <c r="K54" s="174">
        <f>A593</f>
        <v>0</v>
      </c>
      <c r="L54" s="173">
        <f>B593</f>
        <v>150</v>
      </c>
      <c r="M54" s="331">
        <f>B590</f>
        <v>30</v>
      </c>
      <c r="N54" s="172">
        <f>O593</f>
        <v>0</v>
      </c>
      <c r="O54" s="173">
        <f>P593</f>
        <v>0</v>
      </c>
      <c r="P54" s="315">
        <f>P590</f>
        <v>60</v>
      </c>
      <c r="Q54" s="45"/>
      <c r="R54" s="45"/>
      <c r="S54" s="45"/>
      <c r="T54" s="45"/>
      <c r="U54" s="45"/>
      <c r="V54" s="45"/>
      <c r="W54" s="72"/>
      <c r="X54" s="72"/>
      <c r="Y54" s="72"/>
      <c r="Z54" s="72"/>
      <c r="AA54" s="72"/>
      <c r="AB54" s="72"/>
      <c r="AC54" s="72"/>
      <c r="AD54" s="72"/>
      <c r="AE54" s="72"/>
      <c r="AF54" s="72"/>
      <c r="AG54" s="72"/>
      <c r="AH54" s="72"/>
      <c r="AI54" s="72"/>
      <c r="AJ54" s="72"/>
      <c r="AK54" s="72"/>
      <c r="AL54" s="72"/>
      <c r="AM54" s="72"/>
      <c r="AN54" s="72"/>
    </row>
    <row r="55" spans="1:40" x14ac:dyDescent="0.2">
      <c r="A55" s="231"/>
      <c r="B55" s="235"/>
      <c r="C55" s="151">
        <f t="shared" si="11"/>
        <v>10</v>
      </c>
      <c r="D55" s="152">
        <f t="shared" si="11"/>
        <v>0</v>
      </c>
      <c r="E55" s="236"/>
      <c r="F55" s="153">
        <f t="shared" si="12"/>
        <v>10</v>
      </c>
      <c r="G55" s="154">
        <f t="shared" si="12"/>
        <v>0</v>
      </c>
      <c r="H55" s="150"/>
      <c r="I55" s="233"/>
      <c r="J55" s="317"/>
      <c r="K55" s="326">
        <f t="shared" ref="K55:K61" si="13">A594</f>
        <v>25</v>
      </c>
      <c r="L55" s="323">
        <f t="shared" ref="L55:L61" si="14">B594</f>
        <v>150</v>
      </c>
      <c r="M55" s="327"/>
      <c r="N55" s="181">
        <f t="shared" ref="N55:O61" si="15">O594</f>
        <v>5</v>
      </c>
      <c r="O55" s="323">
        <f t="shared" si="15"/>
        <v>0</v>
      </c>
      <c r="P55" s="316"/>
      <c r="Q55" s="45"/>
      <c r="R55" s="45"/>
      <c r="S55" s="45"/>
      <c r="T55" s="45"/>
      <c r="U55" s="45"/>
      <c r="V55" s="45"/>
      <c r="W55" s="72"/>
      <c r="X55" s="72"/>
      <c r="Y55" s="72"/>
      <c r="Z55" s="72"/>
      <c r="AA55" s="72"/>
      <c r="AB55" s="72"/>
      <c r="AC55" s="72"/>
      <c r="AD55" s="72"/>
      <c r="AE55" s="72"/>
      <c r="AF55" s="72"/>
      <c r="AG55" s="72"/>
      <c r="AH55" s="72"/>
      <c r="AI55" s="72"/>
      <c r="AJ55" s="72"/>
      <c r="AK55" s="72"/>
      <c r="AL55" s="72"/>
      <c r="AM55" s="72"/>
      <c r="AN55" s="72"/>
    </row>
    <row r="56" spans="1:40" x14ac:dyDescent="0.2">
      <c r="A56" s="231"/>
      <c r="B56" s="235"/>
      <c r="C56" s="151">
        <f t="shared" si="11"/>
        <v>17.36</v>
      </c>
      <c r="D56" s="152">
        <f t="shared" si="11"/>
        <v>0</v>
      </c>
      <c r="E56" s="236"/>
      <c r="F56" s="153">
        <f t="shared" si="12"/>
        <v>50</v>
      </c>
      <c r="G56" s="154">
        <f t="shared" si="12"/>
        <v>0</v>
      </c>
      <c r="H56" s="150"/>
      <c r="I56" s="233"/>
      <c r="J56" s="317"/>
      <c r="K56" s="326">
        <f t="shared" si="13"/>
        <v>50</v>
      </c>
      <c r="L56" s="323">
        <f t="shared" si="14"/>
        <v>150</v>
      </c>
      <c r="M56" s="327"/>
      <c r="N56" s="181">
        <f t="shared" si="15"/>
        <v>9.3800000000000008</v>
      </c>
      <c r="O56" s="323">
        <f t="shared" si="15"/>
        <v>0</v>
      </c>
      <c r="P56" s="316"/>
      <c r="Q56" s="45"/>
      <c r="R56" s="45"/>
      <c r="S56" s="45"/>
      <c r="T56" s="45"/>
      <c r="U56" s="45"/>
      <c r="V56" s="45"/>
      <c r="W56" s="72"/>
      <c r="X56" s="72"/>
      <c r="Y56" s="72"/>
      <c r="Z56" s="72"/>
      <c r="AA56" s="72"/>
      <c r="AB56" s="72"/>
      <c r="AC56" s="72"/>
      <c r="AD56" s="72"/>
      <c r="AE56" s="72"/>
      <c r="AF56" s="72"/>
      <c r="AG56" s="72"/>
      <c r="AH56" s="72"/>
      <c r="AI56" s="72"/>
      <c r="AJ56" s="72"/>
      <c r="AK56" s="72"/>
      <c r="AL56" s="72"/>
      <c r="AM56" s="72"/>
      <c r="AN56" s="72"/>
    </row>
    <row r="57" spans="1:40" x14ac:dyDescent="0.2">
      <c r="A57" s="231"/>
      <c r="B57" s="235"/>
      <c r="C57" s="151">
        <f t="shared" si="11"/>
        <v>19.79</v>
      </c>
      <c r="D57" s="152">
        <f t="shared" si="11"/>
        <v>60</v>
      </c>
      <c r="E57" s="236"/>
      <c r="F57" s="153">
        <f t="shared" si="12"/>
        <v>75</v>
      </c>
      <c r="G57" s="154">
        <f t="shared" si="12"/>
        <v>0</v>
      </c>
      <c r="H57" s="150"/>
      <c r="I57" s="233"/>
      <c r="J57" s="317"/>
      <c r="K57" s="326">
        <f t="shared" si="13"/>
        <v>75</v>
      </c>
      <c r="L57" s="323">
        <f t="shared" si="14"/>
        <v>150</v>
      </c>
      <c r="M57" s="327"/>
      <c r="N57" s="181">
        <f t="shared" si="15"/>
        <v>11.81</v>
      </c>
      <c r="O57" s="323">
        <f t="shared" si="15"/>
        <v>0</v>
      </c>
      <c r="P57" s="316"/>
      <c r="Q57" s="45"/>
      <c r="R57" s="45"/>
      <c r="S57" s="45"/>
      <c r="T57" s="45"/>
      <c r="U57" s="45"/>
      <c r="V57" s="45"/>
      <c r="W57" s="72"/>
      <c r="X57" s="72"/>
      <c r="Y57" s="72"/>
      <c r="Z57" s="72"/>
      <c r="AA57" s="72"/>
      <c r="AB57" s="72"/>
      <c r="AC57" s="72"/>
      <c r="AD57" s="72"/>
      <c r="AE57" s="72"/>
      <c r="AF57" s="72"/>
      <c r="AG57" s="72"/>
      <c r="AH57" s="72"/>
      <c r="AI57" s="72"/>
      <c r="AJ57" s="72"/>
      <c r="AK57" s="72"/>
      <c r="AL57" s="72"/>
      <c r="AM57" s="72"/>
      <c r="AN57" s="72"/>
    </row>
    <row r="58" spans="1:40" x14ac:dyDescent="0.2">
      <c r="A58" s="231"/>
      <c r="B58" s="235"/>
      <c r="C58" s="151">
        <f t="shared" si="11"/>
        <v>69.790000000000006</v>
      </c>
      <c r="D58" s="152">
        <f t="shared" si="11"/>
        <v>60</v>
      </c>
      <c r="E58" s="236"/>
      <c r="F58" s="153">
        <f t="shared" si="12"/>
        <v>88</v>
      </c>
      <c r="G58" s="154">
        <f t="shared" si="12"/>
        <v>0</v>
      </c>
      <c r="H58" s="150"/>
      <c r="I58" s="233"/>
      <c r="J58" s="317"/>
      <c r="K58" s="326">
        <f t="shared" si="13"/>
        <v>88</v>
      </c>
      <c r="L58" s="323">
        <f t="shared" si="14"/>
        <v>150</v>
      </c>
      <c r="M58" s="327"/>
      <c r="N58" s="181">
        <f t="shared" si="15"/>
        <v>86.81</v>
      </c>
      <c r="O58" s="323">
        <f t="shared" si="15"/>
        <v>0</v>
      </c>
      <c r="P58" s="316"/>
      <c r="Q58" s="45"/>
      <c r="R58" s="45"/>
      <c r="S58" s="45"/>
      <c r="T58" s="45"/>
      <c r="U58" s="45"/>
      <c r="V58" s="45"/>
      <c r="W58" s="72"/>
      <c r="X58" s="72"/>
      <c r="Y58" s="72"/>
      <c r="Z58" s="72"/>
      <c r="AA58" s="72"/>
      <c r="AB58" s="72"/>
      <c r="AC58" s="72"/>
      <c r="AD58" s="72"/>
      <c r="AE58" s="72"/>
      <c r="AF58" s="72"/>
      <c r="AG58" s="72"/>
      <c r="AH58" s="72"/>
      <c r="AI58" s="72"/>
      <c r="AJ58" s="72"/>
      <c r="AK58" s="72"/>
      <c r="AL58" s="72"/>
      <c r="AM58" s="72"/>
      <c r="AN58" s="72"/>
    </row>
    <row r="59" spans="1:40" x14ac:dyDescent="0.2">
      <c r="A59" s="231"/>
      <c r="B59" s="235"/>
      <c r="C59" s="151">
        <f t="shared" si="11"/>
        <v>92.01</v>
      </c>
      <c r="D59" s="152">
        <f t="shared" si="11"/>
        <v>0</v>
      </c>
      <c r="E59" s="236"/>
      <c r="F59" s="153">
        <f t="shared" si="12"/>
        <v>94</v>
      </c>
      <c r="G59" s="154">
        <f t="shared" si="12"/>
        <v>0</v>
      </c>
      <c r="H59" s="150"/>
      <c r="I59" s="233"/>
      <c r="J59" s="317"/>
      <c r="K59" s="326">
        <f t="shared" si="13"/>
        <v>94</v>
      </c>
      <c r="L59" s="323">
        <f t="shared" si="14"/>
        <v>150</v>
      </c>
      <c r="M59" s="327"/>
      <c r="N59" s="181">
        <f t="shared" si="15"/>
        <v>89.93</v>
      </c>
      <c r="O59" s="323">
        <f t="shared" si="15"/>
        <v>0</v>
      </c>
      <c r="P59" s="316"/>
      <c r="Q59" s="45"/>
      <c r="R59" s="45"/>
      <c r="S59" s="45"/>
      <c r="T59" s="45"/>
      <c r="U59" s="45"/>
      <c r="V59" s="45"/>
      <c r="W59" s="72"/>
      <c r="X59" s="72"/>
      <c r="Y59" s="72"/>
      <c r="Z59" s="72"/>
      <c r="AA59" s="72"/>
      <c r="AB59" s="72"/>
      <c r="AC59" s="72"/>
      <c r="AD59" s="72"/>
      <c r="AE59" s="72"/>
      <c r="AF59" s="72"/>
      <c r="AG59" s="72"/>
      <c r="AH59" s="72"/>
      <c r="AI59" s="72"/>
      <c r="AJ59" s="72"/>
      <c r="AK59" s="72"/>
      <c r="AL59" s="72"/>
      <c r="AM59" s="72"/>
      <c r="AN59" s="72"/>
    </row>
    <row r="60" spans="1:40" x14ac:dyDescent="0.2">
      <c r="A60" s="231"/>
      <c r="B60" s="235"/>
      <c r="C60" s="151">
        <f>A214</f>
        <v>95</v>
      </c>
      <c r="D60" s="152">
        <f>B214</f>
        <v>0</v>
      </c>
      <c r="E60" s="236"/>
      <c r="F60" s="153">
        <f>O214</f>
        <v>95</v>
      </c>
      <c r="G60" s="154">
        <f>P214</f>
        <v>0</v>
      </c>
      <c r="H60" s="150"/>
      <c r="I60" s="233"/>
      <c r="J60" s="317"/>
      <c r="K60" s="326">
        <f t="shared" si="13"/>
        <v>95</v>
      </c>
      <c r="L60" s="323">
        <f t="shared" si="14"/>
        <v>150</v>
      </c>
      <c r="M60" s="327"/>
      <c r="N60" s="181">
        <f t="shared" si="15"/>
        <v>93.06</v>
      </c>
      <c r="O60" s="323">
        <f t="shared" si="15"/>
        <v>0</v>
      </c>
      <c r="P60" s="316"/>
      <c r="Q60" s="45"/>
      <c r="R60" s="45"/>
      <c r="S60" s="45"/>
      <c r="T60" s="45"/>
      <c r="U60" s="45"/>
      <c r="V60" s="45"/>
      <c r="W60" s="72"/>
      <c r="X60" s="72"/>
      <c r="Y60" s="72"/>
      <c r="Z60" s="72"/>
      <c r="AA60" s="72"/>
      <c r="AB60" s="72"/>
      <c r="AC60" s="72"/>
      <c r="AD60" s="72"/>
      <c r="AE60" s="72"/>
      <c r="AF60" s="72"/>
      <c r="AG60" s="72"/>
      <c r="AH60" s="72"/>
      <c r="AI60" s="72"/>
      <c r="AJ60" s="72"/>
      <c r="AK60" s="72"/>
      <c r="AL60" s="72"/>
      <c r="AM60" s="72"/>
      <c r="AN60" s="72"/>
    </row>
    <row r="61" spans="1:40" ht="13.5" thickBot="1" x14ac:dyDescent="0.25">
      <c r="A61" s="238"/>
      <c r="B61" s="239"/>
      <c r="C61" s="155">
        <f>A215</f>
        <v>100</v>
      </c>
      <c r="D61" s="156">
        <f>B215</f>
        <v>0</v>
      </c>
      <c r="E61" s="240"/>
      <c r="F61" s="157">
        <f>O215</f>
        <v>100</v>
      </c>
      <c r="G61" s="158">
        <f>P215</f>
        <v>0</v>
      </c>
      <c r="H61" s="159"/>
      <c r="I61" s="233"/>
      <c r="J61" s="317"/>
      <c r="K61" s="333">
        <f t="shared" si="13"/>
        <v>100</v>
      </c>
      <c r="L61" s="334">
        <f t="shared" si="14"/>
        <v>150</v>
      </c>
      <c r="M61" s="335"/>
      <c r="N61" s="183">
        <f t="shared" si="15"/>
        <v>100</v>
      </c>
      <c r="O61" s="334">
        <f t="shared" si="15"/>
        <v>0</v>
      </c>
      <c r="P61" s="316"/>
      <c r="Q61" s="45"/>
      <c r="R61" s="45"/>
      <c r="S61" s="45"/>
      <c r="T61" s="45"/>
      <c r="U61" s="45"/>
      <c r="V61" s="45"/>
      <c r="W61" s="72"/>
      <c r="X61" s="72"/>
      <c r="Y61" s="72"/>
      <c r="Z61" s="72"/>
      <c r="AA61" s="72"/>
      <c r="AB61" s="72"/>
      <c r="AC61" s="72"/>
      <c r="AD61" s="72"/>
      <c r="AE61" s="72"/>
      <c r="AF61" s="72"/>
      <c r="AG61" s="72"/>
      <c r="AH61" s="72"/>
      <c r="AI61" s="72"/>
      <c r="AJ61" s="72"/>
      <c r="AK61" s="72"/>
      <c r="AL61" s="72"/>
      <c r="AM61" s="72"/>
      <c r="AN61" s="72"/>
    </row>
    <row r="62" spans="1:40" x14ac:dyDescent="0.2">
      <c r="A62" s="277" t="s">
        <v>76</v>
      </c>
      <c r="B62" s="232" t="s">
        <v>25</v>
      </c>
      <c r="C62" s="146">
        <f t="shared" ref="C62:D67" si="16">A232</f>
        <v>0</v>
      </c>
      <c r="D62" s="147">
        <f t="shared" si="16"/>
        <v>60</v>
      </c>
      <c r="E62" s="169">
        <f>B229</f>
        <v>60</v>
      </c>
      <c r="F62" s="148">
        <f t="shared" ref="F62:G67" si="17">O232</f>
        <v>0</v>
      </c>
      <c r="G62" s="149">
        <f t="shared" si="17"/>
        <v>60</v>
      </c>
      <c r="H62" s="185">
        <f>P229</f>
        <v>30</v>
      </c>
      <c r="I62" s="336" t="s">
        <v>93</v>
      </c>
      <c r="J62" s="337" t="s">
        <v>101</v>
      </c>
      <c r="K62" s="180">
        <f>A617</f>
        <v>0</v>
      </c>
      <c r="L62" s="179">
        <f>B617</f>
        <v>200</v>
      </c>
      <c r="M62" s="338">
        <f>B614</f>
        <v>30</v>
      </c>
      <c r="N62" s="178">
        <f>O617</f>
        <v>0</v>
      </c>
      <c r="O62" s="179">
        <f>P617</f>
        <v>150</v>
      </c>
      <c r="P62" s="187">
        <f>P614</f>
        <v>60</v>
      </c>
      <c r="Q62" s="45"/>
      <c r="R62" s="45"/>
      <c r="S62" s="45"/>
      <c r="T62" s="45"/>
      <c r="U62" s="45"/>
      <c r="V62" s="45"/>
      <c r="W62" s="72"/>
      <c r="X62" s="72"/>
      <c r="Y62" s="72"/>
      <c r="Z62" s="72"/>
      <c r="AA62" s="72"/>
      <c r="AB62" s="72"/>
      <c r="AC62" s="72"/>
      <c r="AD62" s="72"/>
      <c r="AE62" s="72"/>
      <c r="AF62" s="72"/>
      <c r="AG62" s="72"/>
      <c r="AH62" s="72"/>
      <c r="AI62" s="72"/>
      <c r="AJ62" s="72"/>
      <c r="AK62" s="72"/>
      <c r="AL62" s="72"/>
      <c r="AM62" s="72"/>
      <c r="AN62" s="72"/>
    </row>
    <row r="63" spans="1:40" x14ac:dyDescent="0.2">
      <c r="A63" s="231"/>
      <c r="B63" s="235"/>
      <c r="C63" s="151">
        <f t="shared" si="16"/>
        <v>10</v>
      </c>
      <c r="D63" s="152">
        <f t="shared" si="16"/>
        <v>60</v>
      </c>
      <c r="E63" s="236"/>
      <c r="F63" s="153">
        <f t="shared" si="17"/>
        <v>10</v>
      </c>
      <c r="G63" s="154">
        <f t="shared" si="17"/>
        <v>60</v>
      </c>
      <c r="H63" s="150"/>
      <c r="I63" s="233"/>
      <c r="J63" s="317"/>
      <c r="K63" s="326">
        <f t="shared" ref="K63:K69" si="18">A618</f>
        <v>25</v>
      </c>
      <c r="L63" s="323">
        <f t="shared" ref="L63:L69" si="19">B618</f>
        <v>200</v>
      </c>
      <c r="M63" s="327"/>
      <c r="N63" s="181">
        <f t="shared" ref="N63:O69" si="20">O618</f>
        <v>5</v>
      </c>
      <c r="O63" s="323">
        <f t="shared" si="20"/>
        <v>150</v>
      </c>
      <c r="P63" s="316"/>
      <c r="Q63" s="45"/>
      <c r="R63" s="45"/>
      <c r="S63" s="45"/>
      <c r="T63" s="45"/>
      <c r="U63" s="45"/>
      <c r="V63" s="45"/>
      <c r="W63" s="72"/>
      <c r="X63" s="72"/>
      <c r="Y63" s="72"/>
      <c r="Z63" s="72"/>
      <c r="AA63" s="72"/>
      <c r="AB63" s="72"/>
      <c r="AC63" s="72"/>
      <c r="AD63" s="72"/>
      <c r="AE63" s="72"/>
      <c r="AF63" s="72"/>
      <c r="AG63" s="72"/>
      <c r="AH63" s="72"/>
      <c r="AI63" s="72"/>
      <c r="AJ63" s="72"/>
      <c r="AK63" s="72"/>
      <c r="AL63" s="72"/>
      <c r="AM63" s="72"/>
      <c r="AN63" s="72"/>
    </row>
    <row r="64" spans="1:40" x14ac:dyDescent="0.2">
      <c r="A64" s="231"/>
      <c r="B64" s="235"/>
      <c r="C64" s="151">
        <f t="shared" si="16"/>
        <v>17.36</v>
      </c>
      <c r="D64" s="152">
        <f t="shared" si="16"/>
        <v>60</v>
      </c>
      <c r="E64" s="236"/>
      <c r="F64" s="153">
        <f t="shared" si="17"/>
        <v>20</v>
      </c>
      <c r="G64" s="154">
        <f t="shared" si="17"/>
        <v>60</v>
      </c>
      <c r="H64" s="150"/>
      <c r="I64" s="233"/>
      <c r="J64" s="317"/>
      <c r="K64" s="326">
        <f t="shared" si="18"/>
        <v>50</v>
      </c>
      <c r="L64" s="323">
        <f t="shared" si="19"/>
        <v>200</v>
      </c>
      <c r="M64" s="327"/>
      <c r="N64" s="181">
        <f t="shared" si="20"/>
        <v>9.3800000000000008</v>
      </c>
      <c r="O64" s="323">
        <f t="shared" si="20"/>
        <v>150</v>
      </c>
      <c r="P64" s="316"/>
      <c r="Q64" s="45"/>
      <c r="R64" s="45"/>
      <c r="S64" s="45"/>
      <c r="T64" s="45"/>
      <c r="U64" s="45"/>
      <c r="V64" s="45"/>
      <c r="W64" s="72"/>
      <c r="X64" s="72"/>
      <c r="Y64" s="72"/>
      <c r="Z64" s="72"/>
      <c r="AA64" s="72"/>
      <c r="AB64" s="72"/>
      <c r="AC64" s="72"/>
      <c r="AD64" s="72"/>
      <c r="AE64" s="72"/>
      <c r="AF64" s="72"/>
      <c r="AG64" s="72"/>
      <c r="AH64" s="72"/>
      <c r="AI64" s="72"/>
      <c r="AJ64" s="72"/>
      <c r="AK64" s="72"/>
      <c r="AL64" s="72"/>
      <c r="AM64" s="72"/>
      <c r="AN64" s="72"/>
    </row>
    <row r="65" spans="1:40" x14ac:dyDescent="0.2">
      <c r="A65" s="231"/>
      <c r="B65" s="235"/>
      <c r="C65" s="151">
        <f t="shared" si="16"/>
        <v>19.79</v>
      </c>
      <c r="D65" s="152">
        <f t="shared" si="16"/>
        <v>0</v>
      </c>
      <c r="E65" s="236"/>
      <c r="F65" s="153">
        <f t="shared" si="17"/>
        <v>50</v>
      </c>
      <c r="G65" s="154">
        <f t="shared" si="17"/>
        <v>60</v>
      </c>
      <c r="H65" s="150"/>
      <c r="I65" s="233"/>
      <c r="J65" s="317"/>
      <c r="K65" s="326">
        <f t="shared" si="18"/>
        <v>75</v>
      </c>
      <c r="L65" s="323">
        <f t="shared" si="19"/>
        <v>200</v>
      </c>
      <c r="M65" s="327"/>
      <c r="N65" s="181">
        <f t="shared" si="20"/>
        <v>11.81</v>
      </c>
      <c r="O65" s="323">
        <f t="shared" si="20"/>
        <v>0</v>
      </c>
      <c r="P65" s="316"/>
      <c r="Q65" s="45"/>
      <c r="R65" s="45"/>
      <c r="S65" s="45"/>
      <c r="T65" s="45"/>
      <c r="U65" s="45"/>
      <c r="V65" s="45"/>
      <c r="W65" s="72"/>
      <c r="X65" s="72"/>
      <c r="Y65" s="72"/>
      <c r="Z65" s="72"/>
      <c r="AA65" s="72"/>
      <c r="AB65" s="72"/>
      <c r="AC65" s="72"/>
      <c r="AD65" s="72"/>
      <c r="AE65" s="72"/>
      <c r="AF65" s="72"/>
      <c r="AG65" s="72"/>
      <c r="AH65" s="72"/>
      <c r="AI65" s="72"/>
      <c r="AJ65" s="72"/>
      <c r="AK65" s="72"/>
      <c r="AL65" s="72"/>
      <c r="AM65" s="72"/>
      <c r="AN65" s="72"/>
    </row>
    <row r="66" spans="1:40" x14ac:dyDescent="0.2">
      <c r="A66" s="231"/>
      <c r="B66" s="235"/>
      <c r="C66" s="151">
        <f t="shared" si="16"/>
        <v>67.010000000000005</v>
      </c>
      <c r="D66" s="152">
        <f t="shared" si="16"/>
        <v>0</v>
      </c>
      <c r="E66" s="236"/>
      <c r="F66" s="153">
        <f t="shared" si="17"/>
        <v>93.06</v>
      </c>
      <c r="G66" s="154">
        <f t="shared" si="17"/>
        <v>60</v>
      </c>
      <c r="H66" s="150"/>
      <c r="I66" s="233"/>
      <c r="J66" s="317"/>
      <c r="K66" s="326">
        <f t="shared" si="18"/>
        <v>88</v>
      </c>
      <c r="L66" s="323">
        <f t="shared" si="19"/>
        <v>200</v>
      </c>
      <c r="M66" s="327"/>
      <c r="N66" s="181">
        <f t="shared" si="20"/>
        <v>86.81</v>
      </c>
      <c r="O66" s="323">
        <f t="shared" si="20"/>
        <v>0</v>
      </c>
      <c r="P66" s="316"/>
      <c r="Q66" s="45"/>
      <c r="R66" s="45"/>
      <c r="S66" s="45"/>
      <c r="T66" s="45"/>
      <c r="U66" s="45"/>
      <c r="V66" s="45"/>
      <c r="W66" s="72"/>
      <c r="X66" s="72"/>
      <c r="Y66" s="72"/>
      <c r="Z66" s="72"/>
      <c r="AA66" s="72"/>
      <c r="AB66" s="72"/>
      <c r="AC66" s="72"/>
      <c r="AD66" s="72"/>
      <c r="AE66" s="72"/>
      <c r="AF66" s="72"/>
      <c r="AG66" s="72"/>
      <c r="AH66" s="72"/>
      <c r="AI66" s="72"/>
      <c r="AJ66" s="72"/>
      <c r="AK66" s="72"/>
      <c r="AL66" s="72"/>
      <c r="AM66" s="72"/>
      <c r="AN66" s="72"/>
    </row>
    <row r="67" spans="1:40" x14ac:dyDescent="0.2">
      <c r="A67" s="231"/>
      <c r="B67" s="235"/>
      <c r="C67" s="151">
        <f t="shared" si="16"/>
        <v>80.900000000000006</v>
      </c>
      <c r="D67" s="152">
        <f t="shared" si="16"/>
        <v>60</v>
      </c>
      <c r="E67" s="236"/>
      <c r="F67" s="153">
        <f t="shared" si="17"/>
        <v>97</v>
      </c>
      <c r="G67" s="154">
        <f t="shared" si="17"/>
        <v>60</v>
      </c>
      <c r="H67" s="150"/>
      <c r="I67" s="233"/>
      <c r="J67" s="317"/>
      <c r="K67" s="326">
        <f t="shared" si="18"/>
        <v>94</v>
      </c>
      <c r="L67" s="323">
        <f t="shared" si="19"/>
        <v>200</v>
      </c>
      <c r="M67" s="327"/>
      <c r="N67" s="181">
        <f t="shared" si="20"/>
        <v>89.93</v>
      </c>
      <c r="O67" s="323">
        <f t="shared" si="20"/>
        <v>150</v>
      </c>
      <c r="P67" s="316"/>
      <c r="Q67" s="45"/>
      <c r="R67" s="45"/>
      <c r="S67" s="45"/>
      <c r="T67" s="45"/>
      <c r="U67" s="45"/>
      <c r="V67" s="45"/>
      <c r="W67" s="72"/>
      <c r="X67" s="72"/>
      <c r="Y67" s="72"/>
      <c r="Z67" s="72"/>
      <c r="AA67" s="72"/>
      <c r="AB67" s="72"/>
      <c r="AC67" s="72"/>
      <c r="AD67" s="72"/>
      <c r="AE67" s="72"/>
      <c r="AF67" s="72"/>
      <c r="AG67" s="72"/>
      <c r="AH67" s="72"/>
      <c r="AI67" s="72"/>
      <c r="AJ67" s="72"/>
      <c r="AK67" s="72"/>
      <c r="AL67" s="72"/>
      <c r="AM67" s="72"/>
      <c r="AN67" s="72"/>
    </row>
    <row r="68" spans="1:40" x14ac:dyDescent="0.2">
      <c r="A68" s="231"/>
      <c r="B68" s="235"/>
      <c r="C68" s="151">
        <f>A238</f>
        <v>90</v>
      </c>
      <c r="D68" s="152">
        <f>B238</f>
        <v>60</v>
      </c>
      <c r="E68" s="236"/>
      <c r="F68" s="153">
        <f>O238</f>
        <v>99</v>
      </c>
      <c r="G68" s="154">
        <f>P238</f>
        <v>60</v>
      </c>
      <c r="H68" s="150"/>
      <c r="I68" s="233"/>
      <c r="J68" s="317"/>
      <c r="K68" s="326">
        <f t="shared" si="18"/>
        <v>95</v>
      </c>
      <c r="L68" s="323">
        <f t="shared" si="19"/>
        <v>200</v>
      </c>
      <c r="M68" s="327"/>
      <c r="N68" s="181">
        <f t="shared" si="20"/>
        <v>93.06</v>
      </c>
      <c r="O68" s="323">
        <f t="shared" si="20"/>
        <v>150</v>
      </c>
      <c r="P68" s="316"/>
      <c r="Q68" s="45"/>
      <c r="R68" s="45"/>
      <c r="S68" s="45"/>
      <c r="T68" s="45"/>
      <c r="U68" s="45"/>
      <c r="V68" s="45"/>
      <c r="W68" s="72"/>
      <c r="X68" s="72"/>
      <c r="Y68" s="72"/>
      <c r="Z68" s="72"/>
      <c r="AA68" s="72"/>
      <c r="AB68" s="72"/>
      <c r="AC68" s="72"/>
      <c r="AD68" s="72"/>
      <c r="AE68" s="72"/>
      <c r="AF68" s="72"/>
      <c r="AG68" s="72"/>
      <c r="AH68" s="72"/>
      <c r="AI68" s="72"/>
      <c r="AJ68" s="72"/>
      <c r="AK68" s="72"/>
      <c r="AL68" s="72"/>
      <c r="AM68" s="72"/>
      <c r="AN68" s="72"/>
    </row>
    <row r="69" spans="1:40" ht="13.5" thickBot="1" x14ac:dyDescent="0.25">
      <c r="A69" s="231"/>
      <c r="B69" s="235"/>
      <c r="C69" s="300">
        <f>A239</f>
        <v>100</v>
      </c>
      <c r="D69" s="201">
        <f>B239</f>
        <v>60</v>
      </c>
      <c r="E69" s="236"/>
      <c r="F69" s="162">
        <f>O239</f>
        <v>100</v>
      </c>
      <c r="G69" s="163">
        <f>P239</f>
        <v>60</v>
      </c>
      <c r="H69" s="150"/>
      <c r="I69" s="241"/>
      <c r="J69" s="318"/>
      <c r="K69" s="328">
        <f t="shared" si="18"/>
        <v>100</v>
      </c>
      <c r="L69" s="329">
        <f t="shared" si="19"/>
        <v>200</v>
      </c>
      <c r="M69" s="330"/>
      <c r="N69" s="332">
        <f t="shared" si="20"/>
        <v>100</v>
      </c>
      <c r="O69" s="329">
        <f t="shared" si="20"/>
        <v>150</v>
      </c>
      <c r="P69" s="319"/>
      <c r="Q69" s="45"/>
      <c r="R69" s="45"/>
      <c r="S69" s="45"/>
      <c r="T69" s="45"/>
      <c r="U69" s="45"/>
      <c r="V69" s="45"/>
      <c r="W69" s="72"/>
      <c r="X69" s="72"/>
      <c r="Y69" s="72"/>
      <c r="Z69" s="72"/>
      <c r="AA69" s="72"/>
      <c r="AB69" s="72"/>
      <c r="AC69" s="72"/>
      <c r="AD69" s="72"/>
      <c r="AE69" s="72"/>
      <c r="AF69" s="72"/>
      <c r="AG69" s="72"/>
      <c r="AH69" s="72"/>
      <c r="AI69" s="72"/>
      <c r="AJ69" s="72"/>
      <c r="AK69" s="72"/>
      <c r="AL69" s="72"/>
      <c r="AM69" s="72"/>
      <c r="AN69" s="72"/>
    </row>
    <row r="70" spans="1:40" x14ac:dyDescent="0.2">
      <c r="A70" s="278" t="s">
        <v>77</v>
      </c>
      <c r="B70" s="243" t="s">
        <v>26</v>
      </c>
      <c r="C70" s="164">
        <f t="shared" ref="C70:D75" si="21">A256</f>
        <v>0</v>
      </c>
      <c r="D70" s="165">
        <f t="shared" si="21"/>
        <v>150</v>
      </c>
      <c r="E70" s="245">
        <f>B253</f>
        <v>60</v>
      </c>
      <c r="F70" s="160">
        <f t="shared" ref="F70:G75" si="22">O256</f>
        <v>0</v>
      </c>
      <c r="G70" s="161">
        <f t="shared" si="22"/>
        <v>150</v>
      </c>
      <c r="H70" s="186">
        <f>P253</f>
        <v>30</v>
      </c>
      <c r="I70" s="321" t="s">
        <v>94</v>
      </c>
      <c r="J70" s="322" t="s">
        <v>102</v>
      </c>
      <c r="K70" s="174">
        <f>A641</f>
        <v>0</v>
      </c>
      <c r="L70" s="173">
        <f>B641</f>
        <v>0</v>
      </c>
      <c r="M70" s="331">
        <f>B638</f>
        <v>30</v>
      </c>
      <c r="N70" s="172">
        <f>O641</f>
        <v>0</v>
      </c>
      <c r="O70" s="173">
        <f>P641</f>
        <v>200</v>
      </c>
      <c r="P70" s="315">
        <f>P638</f>
        <v>60</v>
      </c>
      <c r="Q70" s="45"/>
      <c r="R70" s="45"/>
      <c r="S70" s="45"/>
      <c r="T70" s="45"/>
      <c r="U70" s="45"/>
      <c r="V70" s="45"/>
      <c r="W70" s="72"/>
      <c r="X70" s="72"/>
      <c r="Y70" s="72"/>
      <c r="Z70" s="72"/>
      <c r="AA70" s="72"/>
      <c r="AB70" s="72"/>
      <c r="AC70" s="72"/>
      <c r="AD70" s="72"/>
      <c r="AE70" s="72"/>
      <c r="AF70" s="72"/>
      <c r="AG70" s="72"/>
      <c r="AH70" s="72"/>
      <c r="AI70" s="72"/>
      <c r="AJ70" s="72"/>
      <c r="AK70" s="72"/>
      <c r="AL70" s="72"/>
      <c r="AM70" s="72"/>
      <c r="AN70" s="72"/>
    </row>
    <row r="71" spans="1:40" x14ac:dyDescent="0.2">
      <c r="A71" s="231"/>
      <c r="B71" s="235"/>
      <c r="C71" s="151">
        <f t="shared" si="21"/>
        <v>17.36</v>
      </c>
      <c r="D71" s="152">
        <f t="shared" si="21"/>
        <v>100</v>
      </c>
      <c r="E71" s="246"/>
      <c r="F71" s="153">
        <f t="shared" si="22"/>
        <v>10</v>
      </c>
      <c r="G71" s="154">
        <f t="shared" si="22"/>
        <v>150</v>
      </c>
      <c r="H71" s="150"/>
      <c r="I71" s="233"/>
      <c r="J71" s="317"/>
      <c r="K71" s="326">
        <f t="shared" ref="K71:K77" si="23">A642</f>
        <v>25</v>
      </c>
      <c r="L71" s="323">
        <f t="shared" ref="L71:L77" si="24">B642</f>
        <v>0</v>
      </c>
      <c r="M71" s="327"/>
      <c r="N71" s="181">
        <f t="shared" ref="N71:O77" si="25">O642</f>
        <v>5</v>
      </c>
      <c r="O71" s="323">
        <f t="shared" si="25"/>
        <v>200</v>
      </c>
      <c r="P71" s="316"/>
      <c r="Q71" s="45"/>
      <c r="R71" s="45"/>
      <c r="S71" s="45"/>
      <c r="T71" s="45"/>
      <c r="U71" s="45"/>
      <c r="V71" s="45"/>
      <c r="W71" s="72"/>
      <c r="X71" s="72"/>
      <c r="Y71" s="72"/>
      <c r="Z71" s="72"/>
      <c r="AA71" s="72"/>
      <c r="AB71" s="72"/>
      <c r="AC71" s="72"/>
      <c r="AD71" s="72"/>
      <c r="AE71" s="72"/>
      <c r="AF71" s="72"/>
      <c r="AG71" s="72"/>
      <c r="AH71" s="72"/>
      <c r="AI71" s="72"/>
      <c r="AJ71" s="72"/>
      <c r="AK71" s="72"/>
      <c r="AL71" s="72"/>
      <c r="AM71" s="72"/>
      <c r="AN71" s="72"/>
    </row>
    <row r="72" spans="1:40" x14ac:dyDescent="0.2">
      <c r="A72" s="231"/>
      <c r="B72" s="235"/>
      <c r="C72" s="151">
        <f t="shared" si="21"/>
        <v>19.79</v>
      </c>
      <c r="D72" s="152">
        <f t="shared" si="21"/>
        <v>0</v>
      </c>
      <c r="E72" s="246"/>
      <c r="F72" s="153">
        <f t="shared" si="22"/>
        <v>50</v>
      </c>
      <c r="G72" s="154">
        <f t="shared" si="22"/>
        <v>150</v>
      </c>
      <c r="H72" s="150"/>
      <c r="I72" s="233"/>
      <c r="J72" s="317"/>
      <c r="K72" s="326">
        <f t="shared" si="23"/>
        <v>50</v>
      </c>
      <c r="L72" s="323">
        <f t="shared" si="24"/>
        <v>0</v>
      </c>
      <c r="M72" s="327"/>
      <c r="N72" s="181">
        <f t="shared" si="25"/>
        <v>9.3800000000000008</v>
      </c>
      <c r="O72" s="323">
        <f t="shared" si="25"/>
        <v>200</v>
      </c>
      <c r="P72" s="316"/>
      <c r="Q72" s="45"/>
      <c r="R72" s="45"/>
      <c r="S72" s="45"/>
      <c r="T72" s="45"/>
      <c r="U72" s="45"/>
      <c r="V72" s="45"/>
      <c r="W72" s="72"/>
      <c r="X72" s="72"/>
      <c r="Y72" s="72"/>
      <c r="Z72" s="72"/>
      <c r="AA72" s="72"/>
      <c r="AB72" s="72"/>
      <c r="AC72" s="72"/>
      <c r="AD72" s="72"/>
      <c r="AE72" s="72"/>
      <c r="AF72" s="72"/>
      <c r="AG72" s="72"/>
      <c r="AH72" s="72"/>
      <c r="AI72" s="72"/>
      <c r="AJ72" s="72"/>
      <c r="AK72" s="72"/>
      <c r="AL72" s="72"/>
      <c r="AM72" s="72"/>
      <c r="AN72" s="72"/>
    </row>
    <row r="73" spans="1:40" x14ac:dyDescent="0.2">
      <c r="A73" s="231"/>
      <c r="B73" s="235"/>
      <c r="C73" s="151">
        <f t="shared" si="21"/>
        <v>89.24</v>
      </c>
      <c r="D73" s="152">
        <f t="shared" si="21"/>
        <v>0</v>
      </c>
      <c r="E73" s="246"/>
      <c r="F73" s="153">
        <f t="shared" si="22"/>
        <v>89.93</v>
      </c>
      <c r="G73" s="154">
        <f t="shared" si="22"/>
        <v>150</v>
      </c>
      <c r="H73" s="150"/>
      <c r="I73" s="233"/>
      <c r="J73" s="317"/>
      <c r="K73" s="326">
        <f t="shared" si="23"/>
        <v>75</v>
      </c>
      <c r="L73" s="323">
        <f t="shared" si="24"/>
        <v>0</v>
      </c>
      <c r="M73" s="327"/>
      <c r="N73" s="181">
        <f t="shared" si="25"/>
        <v>11.81</v>
      </c>
      <c r="O73" s="323">
        <f t="shared" si="25"/>
        <v>200</v>
      </c>
      <c r="P73" s="316"/>
      <c r="Q73" s="45"/>
      <c r="R73" s="45"/>
      <c r="S73" s="45"/>
      <c r="T73" s="45"/>
      <c r="U73" s="45"/>
      <c r="V73" s="45"/>
      <c r="W73" s="72"/>
      <c r="X73" s="72"/>
      <c r="Y73" s="72"/>
      <c r="Z73" s="72"/>
      <c r="AA73" s="72"/>
      <c r="AB73" s="72"/>
      <c r="AC73" s="72"/>
      <c r="AD73" s="72"/>
      <c r="AE73" s="72"/>
      <c r="AF73" s="72"/>
      <c r="AG73" s="72"/>
      <c r="AH73" s="72"/>
      <c r="AI73" s="72"/>
      <c r="AJ73" s="72"/>
      <c r="AK73" s="72"/>
      <c r="AL73" s="72"/>
      <c r="AM73" s="72"/>
      <c r="AN73" s="72"/>
    </row>
    <row r="74" spans="1:40" x14ac:dyDescent="0.2">
      <c r="A74" s="231"/>
      <c r="B74" s="235"/>
      <c r="C74" s="151">
        <f t="shared" si="21"/>
        <v>92.01</v>
      </c>
      <c r="D74" s="152">
        <f t="shared" si="21"/>
        <v>150</v>
      </c>
      <c r="E74" s="246"/>
      <c r="F74" s="153">
        <f t="shared" si="22"/>
        <v>95</v>
      </c>
      <c r="G74" s="154">
        <f t="shared" si="22"/>
        <v>150</v>
      </c>
      <c r="H74" s="150"/>
      <c r="I74" s="233"/>
      <c r="J74" s="317"/>
      <c r="K74" s="326">
        <f t="shared" si="23"/>
        <v>88</v>
      </c>
      <c r="L74" s="323">
        <f t="shared" si="24"/>
        <v>0</v>
      </c>
      <c r="M74" s="327"/>
      <c r="N74" s="181">
        <f t="shared" si="25"/>
        <v>86.81</v>
      </c>
      <c r="O74" s="323">
        <f t="shared" si="25"/>
        <v>200</v>
      </c>
      <c r="P74" s="316"/>
      <c r="Q74" s="45"/>
      <c r="R74" s="45"/>
      <c r="S74" s="45"/>
      <c r="T74" s="45"/>
      <c r="U74" s="45"/>
      <c r="V74" s="45"/>
      <c r="W74" s="72"/>
      <c r="X74" s="72"/>
      <c r="Y74" s="72"/>
      <c r="Z74" s="72"/>
      <c r="AA74" s="72"/>
      <c r="AB74" s="72"/>
      <c r="AC74" s="72"/>
      <c r="AD74" s="72"/>
      <c r="AE74" s="72"/>
      <c r="AF74" s="72"/>
      <c r="AG74" s="72"/>
      <c r="AH74" s="72"/>
      <c r="AI74" s="72"/>
      <c r="AJ74" s="72"/>
      <c r="AK74" s="72"/>
      <c r="AL74" s="72"/>
      <c r="AM74" s="72"/>
      <c r="AN74" s="72"/>
    </row>
    <row r="75" spans="1:40" x14ac:dyDescent="0.2">
      <c r="A75" s="231"/>
      <c r="B75" s="235"/>
      <c r="C75" s="151">
        <f t="shared" si="21"/>
        <v>94</v>
      </c>
      <c r="D75" s="152">
        <f t="shared" si="21"/>
        <v>150</v>
      </c>
      <c r="E75" s="246"/>
      <c r="F75" s="153">
        <f t="shared" si="22"/>
        <v>98</v>
      </c>
      <c r="G75" s="154">
        <f t="shared" si="22"/>
        <v>150</v>
      </c>
      <c r="H75" s="150"/>
      <c r="I75" s="233"/>
      <c r="J75" s="317"/>
      <c r="K75" s="326">
        <f t="shared" si="23"/>
        <v>94</v>
      </c>
      <c r="L75" s="323">
        <f t="shared" si="24"/>
        <v>0</v>
      </c>
      <c r="M75" s="327"/>
      <c r="N75" s="181">
        <f t="shared" si="25"/>
        <v>89.93</v>
      </c>
      <c r="O75" s="323">
        <f t="shared" si="25"/>
        <v>200</v>
      </c>
      <c r="P75" s="316"/>
      <c r="Q75" s="45"/>
      <c r="R75" s="45"/>
      <c r="S75" s="45"/>
      <c r="T75" s="45"/>
      <c r="U75" s="45"/>
      <c r="V75" s="45"/>
      <c r="W75" s="72"/>
      <c r="X75" s="72"/>
      <c r="Y75" s="72"/>
      <c r="Z75" s="72"/>
      <c r="AA75" s="72"/>
      <c r="AB75" s="72"/>
      <c r="AC75" s="72"/>
      <c r="AD75" s="72"/>
      <c r="AE75" s="72"/>
      <c r="AF75" s="72"/>
      <c r="AG75" s="72"/>
      <c r="AH75" s="72"/>
      <c r="AI75" s="72"/>
      <c r="AJ75" s="72"/>
      <c r="AK75" s="72"/>
      <c r="AL75" s="72"/>
      <c r="AM75" s="72"/>
      <c r="AN75" s="72"/>
    </row>
    <row r="76" spans="1:40" x14ac:dyDescent="0.2">
      <c r="A76" s="231"/>
      <c r="B76" s="235"/>
      <c r="C76" s="151">
        <f>A262</f>
        <v>96</v>
      </c>
      <c r="D76" s="152">
        <f>B262</f>
        <v>150</v>
      </c>
      <c r="E76" s="246"/>
      <c r="F76" s="153">
        <f>O262</f>
        <v>99</v>
      </c>
      <c r="G76" s="154">
        <f>P262</f>
        <v>150</v>
      </c>
      <c r="H76" s="150"/>
      <c r="I76" s="233"/>
      <c r="J76" s="317"/>
      <c r="K76" s="326">
        <f t="shared" si="23"/>
        <v>95</v>
      </c>
      <c r="L76" s="323">
        <f t="shared" si="24"/>
        <v>0</v>
      </c>
      <c r="M76" s="327"/>
      <c r="N76" s="181">
        <f t="shared" si="25"/>
        <v>93.06</v>
      </c>
      <c r="O76" s="323">
        <f t="shared" si="25"/>
        <v>200</v>
      </c>
      <c r="P76" s="316"/>
      <c r="Q76" s="45"/>
      <c r="R76" s="45"/>
      <c r="S76" s="45"/>
      <c r="T76" s="45"/>
      <c r="U76" s="45"/>
      <c r="V76" s="45"/>
      <c r="W76" s="72"/>
      <c r="X76" s="72"/>
      <c r="Y76" s="72"/>
      <c r="Z76" s="72"/>
      <c r="AA76" s="72"/>
      <c r="AB76" s="72"/>
      <c r="AC76" s="72"/>
      <c r="AD76" s="72"/>
      <c r="AE76" s="72"/>
      <c r="AF76" s="72"/>
      <c r="AG76" s="72"/>
      <c r="AH76" s="72"/>
      <c r="AI76" s="72"/>
      <c r="AJ76" s="72"/>
      <c r="AK76" s="72"/>
      <c r="AL76" s="72"/>
      <c r="AM76" s="72"/>
      <c r="AN76" s="72"/>
    </row>
    <row r="77" spans="1:40" ht="13.5" thickBot="1" x14ac:dyDescent="0.25">
      <c r="A77" s="238"/>
      <c r="B77" s="239"/>
      <c r="C77" s="155">
        <f>A263</f>
        <v>100</v>
      </c>
      <c r="D77" s="156">
        <f>B263</f>
        <v>150</v>
      </c>
      <c r="E77" s="247"/>
      <c r="F77" s="157">
        <f>O263</f>
        <v>100</v>
      </c>
      <c r="G77" s="158">
        <f>P263</f>
        <v>150</v>
      </c>
      <c r="H77" s="159"/>
      <c r="I77" s="233"/>
      <c r="J77" s="317"/>
      <c r="K77" s="333">
        <f t="shared" si="23"/>
        <v>100</v>
      </c>
      <c r="L77" s="334">
        <f t="shared" si="24"/>
        <v>0</v>
      </c>
      <c r="M77" s="335"/>
      <c r="N77" s="183">
        <f t="shared" si="25"/>
        <v>100</v>
      </c>
      <c r="O77" s="334">
        <f t="shared" si="25"/>
        <v>200</v>
      </c>
      <c r="P77" s="316"/>
      <c r="Q77" s="45"/>
      <c r="R77" s="45"/>
      <c r="S77" s="45"/>
      <c r="T77" s="45"/>
      <c r="U77" s="45"/>
      <c r="V77" s="45"/>
      <c r="W77" s="72"/>
      <c r="X77" s="72"/>
      <c r="Y77" s="72"/>
      <c r="Z77" s="72"/>
      <c r="AA77" s="72"/>
      <c r="AB77" s="72"/>
      <c r="AC77" s="72"/>
      <c r="AD77" s="72"/>
      <c r="AE77" s="72"/>
      <c r="AF77" s="72"/>
      <c r="AG77" s="72"/>
      <c r="AH77" s="72"/>
      <c r="AI77" s="72"/>
      <c r="AJ77" s="72"/>
      <c r="AK77" s="72"/>
      <c r="AL77" s="72"/>
      <c r="AM77" s="72"/>
      <c r="AN77" s="72"/>
    </row>
    <row r="78" spans="1:40" x14ac:dyDescent="0.2">
      <c r="A78" s="277" t="s">
        <v>78</v>
      </c>
      <c r="B78" s="232" t="s">
        <v>27</v>
      </c>
      <c r="C78" s="146">
        <f t="shared" ref="C78:D83" si="26">A280</f>
        <v>0</v>
      </c>
      <c r="D78" s="147">
        <f t="shared" si="26"/>
        <v>150</v>
      </c>
      <c r="E78" s="169">
        <f>B277</f>
        <v>60</v>
      </c>
      <c r="F78" s="148">
        <f t="shared" ref="F78:G83" si="27">O280</f>
        <v>0</v>
      </c>
      <c r="G78" s="149">
        <f t="shared" si="27"/>
        <v>150</v>
      </c>
      <c r="H78" s="185">
        <f>P277</f>
        <v>30</v>
      </c>
      <c r="I78" s="336" t="s">
        <v>95</v>
      </c>
      <c r="J78" s="337" t="s">
        <v>103</v>
      </c>
      <c r="K78" s="180">
        <f>A665</f>
        <v>0</v>
      </c>
      <c r="L78" s="179">
        <f>B665</f>
        <v>150</v>
      </c>
      <c r="M78" s="338">
        <f>B662</f>
        <v>30</v>
      </c>
      <c r="N78" s="178">
        <f>O665</f>
        <v>0</v>
      </c>
      <c r="O78" s="179">
        <f>P665</f>
        <v>0</v>
      </c>
      <c r="P78" s="187">
        <f>P662</f>
        <v>60</v>
      </c>
      <c r="Q78" s="45"/>
      <c r="R78" s="45"/>
      <c r="S78" s="45"/>
      <c r="T78" s="45"/>
      <c r="U78" s="45"/>
      <c r="V78" s="45"/>
      <c r="W78" s="72"/>
      <c r="X78" s="72"/>
      <c r="Y78" s="72"/>
      <c r="Z78" s="72"/>
      <c r="AA78" s="72"/>
      <c r="AB78" s="72"/>
      <c r="AC78" s="72"/>
      <c r="AD78" s="72"/>
      <c r="AE78" s="72"/>
      <c r="AF78" s="72"/>
      <c r="AG78" s="72"/>
      <c r="AH78" s="72"/>
      <c r="AI78" s="72"/>
      <c r="AJ78" s="72"/>
      <c r="AK78" s="72"/>
      <c r="AL78" s="72"/>
      <c r="AM78" s="72"/>
      <c r="AN78" s="72"/>
    </row>
    <row r="79" spans="1:40" x14ac:dyDescent="0.2">
      <c r="A79" s="231"/>
      <c r="B79" s="235"/>
      <c r="C79" s="151">
        <f t="shared" si="26"/>
        <v>17.36</v>
      </c>
      <c r="D79" s="152">
        <f t="shared" si="26"/>
        <v>100</v>
      </c>
      <c r="E79" s="236"/>
      <c r="F79" s="153">
        <f t="shared" si="27"/>
        <v>10</v>
      </c>
      <c r="G79" s="154">
        <f t="shared" si="27"/>
        <v>150</v>
      </c>
      <c r="H79" s="150"/>
      <c r="I79" s="233"/>
      <c r="J79" s="317"/>
      <c r="K79" s="326">
        <f t="shared" ref="K79:K85" si="28">A666</f>
        <v>25</v>
      </c>
      <c r="L79" s="323">
        <f t="shared" ref="L79:L85" si="29">B666</f>
        <v>150</v>
      </c>
      <c r="M79" s="327"/>
      <c r="N79" s="181">
        <f t="shared" ref="N79:O85" si="30">O666</f>
        <v>5</v>
      </c>
      <c r="O79" s="323">
        <f t="shared" si="30"/>
        <v>0</v>
      </c>
      <c r="P79" s="316"/>
      <c r="Q79" s="45"/>
      <c r="R79" s="45"/>
      <c r="S79" s="45"/>
      <c r="T79" s="45"/>
      <c r="U79" s="45"/>
      <c r="V79" s="45"/>
      <c r="W79" s="72"/>
      <c r="X79" s="72"/>
      <c r="Y79" s="72"/>
      <c r="Z79" s="72"/>
      <c r="AA79" s="72"/>
      <c r="AB79" s="72"/>
      <c r="AC79" s="72"/>
      <c r="AD79" s="72"/>
      <c r="AE79" s="72"/>
      <c r="AF79" s="72"/>
      <c r="AG79" s="72"/>
      <c r="AH79" s="72"/>
      <c r="AI79" s="72"/>
      <c r="AJ79" s="72"/>
      <c r="AK79" s="72"/>
      <c r="AL79" s="72"/>
      <c r="AM79" s="72"/>
      <c r="AN79" s="72"/>
    </row>
    <row r="80" spans="1:40" x14ac:dyDescent="0.2">
      <c r="A80" s="231"/>
      <c r="B80" s="235"/>
      <c r="C80" s="151">
        <f t="shared" si="26"/>
        <v>19.79</v>
      </c>
      <c r="D80" s="152">
        <f t="shared" si="26"/>
        <v>0</v>
      </c>
      <c r="E80" s="236"/>
      <c r="F80" s="153">
        <f t="shared" si="27"/>
        <v>50</v>
      </c>
      <c r="G80" s="154">
        <f t="shared" si="27"/>
        <v>150</v>
      </c>
      <c r="H80" s="150"/>
      <c r="I80" s="233"/>
      <c r="J80" s="317"/>
      <c r="K80" s="326">
        <f t="shared" si="28"/>
        <v>50</v>
      </c>
      <c r="L80" s="323">
        <f t="shared" si="29"/>
        <v>150</v>
      </c>
      <c r="M80" s="327"/>
      <c r="N80" s="181">
        <f t="shared" si="30"/>
        <v>9.3800000000000008</v>
      </c>
      <c r="O80" s="323">
        <f t="shared" si="30"/>
        <v>0</v>
      </c>
      <c r="P80" s="316"/>
      <c r="Q80" s="45"/>
      <c r="R80" s="45"/>
      <c r="S80" s="45"/>
      <c r="T80" s="45"/>
      <c r="U80" s="45"/>
      <c r="V80" s="45"/>
      <c r="W80" s="72"/>
      <c r="X80" s="72"/>
      <c r="Y80" s="72"/>
      <c r="Z80" s="72"/>
      <c r="AA80" s="72"/>
      <c r="AB80" s="72"/>
      <c r="AC80" s="72"/>
      <c r="AD80" s="72"/>
      <c r="AE80" s="72"/>
      <c r="AF80" s="72"/>
      <c r="AG80" s="72"/>
      <c r="AH80" s="72"/>
      <c r="AI80" s="72"/>
      <c r="AJ80" s="72"/>
      <c r="AK80" s="72"/>
      <c r="AL80" s="72"/>
      <c r="AM80" s="72"/>
      <c r="AN80" s="72"/>
    </row>
    <row r="81" spans="1:40" x14ac:dyDescent="0.2">
      <c r="A81" s="231"/>
      <c r="B81" s="235"/>
      <c r="C81" s="151">
        <f t="shared" si="26"/>
        <v>86.46</v>
      </c>
      <c r="D81" s="152">
        <f t="shared" si="26"/>
        <v>0</v>
      </c>
      <c r="E81" s="236"/>
      <c r="F81" s="153">
        <f t="shared" si="27"/>
        <v>93.06</v>
      </c>
      <c r="G81" s="154">
        <f t="shared" si="27"/>
        <v>150</v>
      </c>
      <c r="H81" s="150"/>
      <c r="I81" s="233"/>
      <c r="J81" s="317"/>
      <c r="K81" s="326">
        <f t="shared" si="28"/>
        <v>75</v>
      </c>
      <c r="L81" s="323">
        <f t="shared" si="29"/>
        <v>150</v>
      </c>
      <c r="M81" s="327"/>
      <c r="N81" s="181">
        <f t="shared" si="30"/>
        <v>11.81</v>
      </c>
      <c r="O81" s="323">
        <f t="shared" si="30"/>
        <v>0</v>
      </c>
      <c r="P81" s="316"/>
      <c r="Q81" s="45"/>
      <c r="R81" s="45"/>
      <c r="S81" s="45"/>
      <c r="T81" s="45"/>
      <c r="U81" s="45"/>
      <c r="V81" s="45"/>
      <c r="W81" s="72"/>
      <c r="X81" s="72"/>
      <c r="Y81" s="72"/>
      <c r="Z81" s="72"/>
      <c r="AA81" s="72"/>
      <c r="AB81" s="72"/>
      <c r="AC81" s="72"/>
      <c r="AD81" s="72"/>
      <c r="AE81" s="72"/>
      <c r="AF81" s="72"/>
      <c r="AG81" s="72"/>
      <c r="AH81" s="72"/>
      <c r="AI81" s="72"/>
      <c r="AJ81" s="72"/>
      <c r="AK81" s="72"/>
      <c r="AL81" s="72"/>
      <c r="AM81" s="72"/>
      <c r="AN81" s="72"/>
    </row>
    <row r="82" spans="1:40" x14ac:dyDescent="0.2">
      <c r="A82" s="231"/>
      <c r="B82" s="235"/>
      <c r="C82" s="151">
        <f t="shared" si="26"/>
        <v>92.01</v>
      </c>
      <c r="D82" s="152">
        <f t="shared" si="26"/>
        <v>150</v>
      </c>
      <c r="E82" s="236"/>
      <c r="F82" s="153">
        <f t="shared" si="27"/>
        <v>96.53</v>
      </c>
      <c r="G82" s="154">
        <f t="shared" si="27"/>
        <v>150</v>
      </c>
      <c r="H82" s="150"/>
      <c r="I82" s="233"/>
      <c r="J82" s="317"/>
      <c r="K82" s="326">
        <f t="shared" si="28"/>
        <v>88</v>
      </c>
      <c r="L82" s="323">
        <f t="shared" si="29"/>
        <v>150</v>
      </c>
      <c r="M82" s="327"/>
      <c r="N82" s="181">
        <f t="shared" si="30"/>
        <v>86.81</v>
      </c>
      <c r="O82" s="323">
        <f t="shared" si="30"/>
        <v>0</v>
      </c>
      <c r="P82" s="316"/>
      <c r="Q82" s="45"/>
      <c r="R82" s="45"/>
      <c r="S82" s="45"/>
      <c r="T82" s="45"/>
      <c r="U82" s="45"/>
      <c r="V82" s="45"/>
      <c r="W82" s="72"/>
      <c r="X82" s="72"/>
      <c r="Y82" s="72"/>
      <c r="Z82" s="72"/>
      <c r="AA82" s="72"/>
      <c r="AB82" s="72"/>
      <c r="AC82" s="72"/>
      <c r="AD82" s="72"/>
      <c r="AE82" s="72"/>
      <c r="AF82" s="72"/>
      <c r="AG82" s="72"/>
      <c r="AH82" s="72"/>
      <c r="AI82" s="72"/>
      <c r="AJ82" s="72"/>
      <c r="AK82" s="72"/>
      <c r="AL82" s="72"/>
      <c r="AM82" s="72"/>
      <c r="AN82" s="72"/>
    </row>
    <row r="83" spans="1:40" x14ac:dyDescent="0.2">
      <c r="A83" s="231"/>
      <c r="B83" s="235"/>
      <c r="C83" s="151">
        <f t="shared" si="26"/>
        <v>96</v>
      </c>
      <c r="D83" s="152">
        <f t="shared" si="26"/>
        <v>150</v>
      </c>
      <c r="E83" s="236"/>
      <c r="F83" s="153">
        <f t="shared" si="27"/>
        <v>98</v>
      </c>
      <c r="G83" s="154">
        <f t="shared" si="27"/>
        <v>150</v>
      </c>
      <c r="H83" s="150"/>
      <c r="I83" s="233"/>
      <c r="J83" s="317"/>
      <c r="K83" s="326">
        <f t="shared" si="28"/>
        <v>94</v>
      </c>
      <c r="L83" s="323">
        <f t="shared" si="29"/>
        <v>150</v>
      </c>
      <c r="M83" s="327"/>
      <c r="N83" s="181">
        <f t="shared" si="30"/>
        <v>89.93</v>
      </c>
      <c r="O83" s="323">
        <f t="shared" si="30"/>
        <v>0</v>
      </c>
      <c r="P83" s="316"/>
      <c r="Q83" s="45"/>
      <c r="R83" s="45"/>
      <c r="S83" s="45"/>
      <c r="T83" s="45"/>
      <c r="U83" s="45"/>
      <c r="V83" s="45"/>
      <c r="W83" s="72"/>
      <c r="X83" s="72"/>
      <c r="Y83" s="72"/>
      <c r="Z83" s="72"/>
      <c r="AA83" s="72"/>
      <c r="AB83" s="72"/>
      <c r="AC83" s="72"/>
      <c r="AD83" s="72"/>
      <c r="AE83" s="72"/>
      <c r="AF83" s="72"/>
      <c r="AG83" s="72"/>
      <c r="AH83" s="72"/>
      <c r="AI83" s="72"/>
      <c r="AJ83" s="72"/>
      <c r="AK83" s="72"/>
      <c r="AL83" s="72"/>
      <c r="AM83" s="72"/>
      <c r="AN83" s="72"/>
    </row>
    <row r="84" spans="1:40" x14ac:dyDescent="0.2">
      <c r="A84" s="231"/>
      <c r="B84" s="235"/>
      <c r="C84" s="151">
        <f>A286</f>
        <v>98</v>
      </c>
      <c r="D84" s="152">
        <f>B286</f>
        <v>150</v>
      </c>
      <c r="E84" s="236"/>
      <c r="F84" s="153">
        <f>O286</f>
        <v>99</v>
      </c>
      <c r="G84" s="154">
        <f>P286</f>
        <v>150</v>
      </c>
      <c r="H84" s="150"/>
      <c r="I84" s="233"/>
      <c r="J84" s="317"/>
      <c r="K84" s="326">
        <f t="shared" si="28"/>
        <v>95</v>
      </c>
      <c r="L84" s="323">
        <f t="shared" si="29"/>
        <v>150</v>
      </c>
      <c r="M84" s="327"/>
      <c r="N84" s="181">
        <f t="shared" si="30"/>
        <v>93.06</v>
      </c>
      <c r="O84" s="323">
        <f t="shared" si="30"/>
        <v>0</v>
      </c>
      <c r="P84" s="316"/>
      <c r="Q84" s="45"/>
      <c r="R84" s="45"/>
      <c r="S84" s="45"/>
      <c r="T84" s="45"/>
      <c r="U84" s="45"/>
      <c r="V84" s="45"/>
      <c r="W84" s="72"/>
      <c r="X84" s="72"/>
      <c r="Y84" s="72"/>
      <c r="Z84" s="72"/>
      <c r="AA84" s="72"/>
      <c r="AB84" s="72"/>
      <c r="AC84" s="72"/>
      <c r="AD84" s="72"/>
      <c r="AE84" s="72"/>
      <c r="AF84" s="72"/>
      <c r="AG84" s="72"/>
      <c r="AH84" s="72"/>
      <c r="AI84" s="72"/>
      <c r="AJ84" s="72"/>
      <c r="AK84" s="72"/>
      <c r="AL84" s="72"/>
      <c r="AM84" s="72"/>
      <c r="AN84" s="72"/>
    </row>
    <row r="85" spans="1:40" ht="13.5" thickBot="1" x14ac:dyDescent="0.25">
      <c r="A85" s="231"/>
      <c r="B85" s="235"/>
      <c r="C85" s="300">
        <f>A287</f>
        <v>100</v>
      </c>
      <c r="D85" s="201">
        <f>B287</f>
        <v>150</v>
      </c>
      <c r="E85" s="236"/>
      <c r="F85" s="162">
        <f>O287</f>
        <v>100</v>
      </c>
      <c r="G85" s="163">
        <f>P287</f>
        <v>150</v>
      </c>
      <c r="H85" s="150"/>
      <c r="I85" s="241"/>
      <c r="J85" s="318"/>
      <c r="K85" s="328">
        <f t="shared" si="28"/>
        <v>100</v>
      </c>
      <c r="L85" s="329">
        <f t="shared" si="29"/>
        <v>150</v>
      </c>
      <c r="M85" s="330"/>
      <c r="N85" s="332">
        <f t="shared" si="30"/>
        <v>100</v>
      </c>
      <c r="O85" s="329">
        <f t="shared" si="30"/>
        <v>0</v>
      </c>
      <c r="P85" s="319"/>
      <c r="Q85" s="45"/>
      <c r="R85" s="45"/>
      <c r="S85" s="45"/>
      <c r="T85" s="45"/>
      <c r="U85" s="45"/>
      <c r="V85" s="45"/>
      <c r="W85" s="72"/>
      <c r="X85" s="72"/>
      <c r="Y85" s="72"/>
      <c r="Z85" s="72"/>
      <c r="AA85" s="72"/>
      <c r="AB85" s="72"/>
      <c r="AC85" s="72"/>
      <c r="AD85" s="72"/>
      <c r="AE85" s="72"/>
      <c r="AF85" s="72"/>
      <c r="AG85" s="72"/>
      <c r="AH85" s="72"/>
      <c r="AI85" s="72"/>
      <c r="AJ85" s="72"/>
      <c r="AK85" s="72"/>
      <c r="AL85" s="72"/>
      <c r="AM85" s="72"/>
      <c r="AN85" s="72"/>
    </row>
    <row r="86" spans="1:40" x14ac:dyDescent="0.2">
      <c r="A86" s="278" t="s">
        <v>79</v>
      </c>
      <c r="B86" s="243" t="s">
        <v>28</v>
      </c>
      <c r="C86" s="164">
        <f t="shared" ref="C86:D91" si="31">A304</f>
        <v>0</v>
      </c>
      <c r="D86" s="165">
        <f t="shared" si="31"/>
        <v>0</v>
      </c>
      <c r="E86" s="245">
        <f>B301</f>
        <v>30</v>
      </c>
      <c r="F86" s="160">
        <f t="shared" ref="F86:G91" si="32">O304</f>
        <v>0</v>
      </c>
      <c r="G86" s="161">
        <f t="shared" si="32"/>
        <v>0</v>
      </c>
      <c r="H86" s="186">
        <f>P301</f>
        <v>60</v>
      </c>
      <c r="I86" s="321" t="s">
        <v>96</v>
      </c>
      <c r="J86" s="322" t="s">
        <v>104</v>
      </c>
      <c r="K86" s="174">
        <f>A689</f>
        <v>0</v>
      </c>
      <c r="L86" s="173">
        <f>B689</f>
        <v>0</v>
      </c>
      <c r="M86" s="331">
        <f>B686</f>
        <v>30</v>
      </c>
      <c r="N86" s="172">
        <f>O689</f>
        <v>0</v>
      </c>
      <c r="O86" s="173">
        <f>P689</f>
        <v>250</v>
      </c>
      <c r="P86" s="315">
        <f>P686</f>
        <v>60</v>
      </c>
      <c r="Q86" s="45"/>
      <c r="R86" s="45"/>
      <c r="S86" s="45"/>
      <c r="T86" s="45"/>
      <c r="U86" s="45"/>
      <c r="V86" s="45"/>
      <c r="W86" s="72"/>
      <c r="X86" s="72"/>
      <c r="Y86" s="72"/>
      <c r="Z86" s="72"/>
      <c r="AA86" s="72"/>
      <c r="AB86" s="72"/>
      <c r="AC86" s="72"/>
      <c r="AD86" s="72"/>
      <c r="AE86" s="72"/>
      <c r="AF86" s="72"/>
      <c r="AG86" s="72"/>
      <c r="AH86" s="72"/>
      <c r="AI86" s="72"/>
      <c r="AJ86" s="72"/>
      <c r="AK86" s="72"/>
      <c r="AL86" s="72"/>
      <c r="AM86" s="72"/>
      <c r="AN86" s="72"/>
    </row>
    <row r="87" spans="1:40" x14ac:dyDescent="0.2">
      <c r="A87" s="231"/>
      <c r="B87" s="235"/>
      <c r="C87" s="151">
        <f t="shared" si="31"/>
        <v>10</v>
      </c>
      <c r="D87" s="152">
        <f t="shared" si="31"/>
        <v>0</v>
      </c>
      <c r="E87" s="246"/>
      <c r="F87" s="153">
        <f t="shared" si="32"/>
        <v>10</v>
      </c>
      <c r="G87" s="154">
        <f t="shared" si="32"/>
        <v>0</v>
      </c>
      <c r="H87" s="150"/>
      <c r="I87" s="233"/>
      <c r="J87" s="317"/>
      <c r="K87" s="326">
        <f t="shared" ref="K87:K93" si="33">A690</f>
        <v>25</v>
      </c>
      <c r="L87" s="323">
        <f t="shared" ref="L87:L93" si="34">B690</f>
        <v>0</v>
      </c>
      <c r="M87" s="327"/>
      <c r="N87" s="181">
        <f t="shared" ref="N87:O93" si="35">O690</f>
        <v>5</v>
      </c>
      <c r="O87" s="323">
        <f t="shared" si="35"/>
        <v>250</v>
      </c>
      <c r="P87" s="316"/>
      <c r="Q87" s="45"/>
      <c r="R87" s="45"/>
      <c r="S87" s="45"/>
      <c r="T87" s="45"/>
      <c r="U87" s="45"/>
      <c r="V87" s="45"/>
      <c r="W87" s="72"/>
      <c r="X87" s="72"/>
      <c r="Y87" s="72"/>
      <c r="Z87" s="72"/>
      <c r="AA87" s="72"/>
      <c r="AB87" s="72"/>
      <c r="AC87" s="72"/>
      <c r="AD87" s="72"/>
      <c r="AE87" s="72"/>
      <c r="AF87" s="72"/>
      <c r="AG87" s="72"/>
      <c r="AH87" s="72"/>
      <c r="AI87" s="72"/>
      <c r="AJ87" s="72"/>
      <c r="AK87" s="72"/>
      <c r="AL87" s="72"/>
      <c r="AM87" s="72"/>
      <c r="AN87" s="72"/>
    </row>
    <row r="88" spans="1:40" x14ac:dyDescent="0.2">
      <c r="A88" s="231"/>
      <c r="B88" s="235"/>
      <c r="C88" s="151">
        <f t="shared" si="31"/>
        <v>17.36</v>
      </c>
      <c r="D88" s="152">
        <f t="shared" si="31"/>
        <v>0</v>
      </c>
      <c r="E88" s="246"/>
      <c r="F88" s="153">
        <f t="shared" si="32"/>
        <v>50</v>
      </c>
      <c r="G88" s="154">
        <f t="shared" si="32"/>
        <v>0</v>
      </c>
      <c r="H88" s="150"/>
      <c r="I88" s="233"/>
      <c r="J88" s="317"/>
      <c r="K88" s="326">
        <f t="shared" si="33"/>
        <v>50</v>
      </c>
      <c r="L88" s="323">
        <f t="shared" si="34"/>
        <v>0</v>
      </c>
      <c r="M88" s="327"/>
      <c r="N88" s="181">
        <f t="shared" si="35"/>
        <v>9.3800000000000008</v>
      </c>
      <c r="O88" s="323">
        <f t="shared" si="35"/>
        <v>250</v>
      </c>
      <c r="P88" s="316"/>
      <c r="Q88" s="45"/>
      <c r="R88" s="45"/>
      <c r="S88" s="45"/>
      <c r="T88" s="45"/>
      <c r="U88" s="45"/>
      <c r="V88" s="45"/>
      <c r="W88" s="72"/>
      <c r="X88" s="72"/>
      <c r="Y88" s="72"/>
      <c r="Z88" s="72"/>
      <c r="AA88" s="72"/>
      <c r="AB88" s="72"/>
      <c r="AC88" s="72"/>
      <c r="AD88" s="72"/>
      <c r="AE88" s="72"/>
      <c r="AF88" s="72"/>
      <c r="AG88" s="72"/>
      <c r="AH88" s="72"/>
      <c r="AI88" s="72"/>
      <c r="AJ88" s="72"/>
      <c r="AK88" s="72"/>
      <c r="AL88" s="72"/>
      <c r="AM88" s="72"/>
      <c r="AN88" s="72"/>
    </row>
    <row r="89" spans="1:40" x14ac:dyDescent="0.2">
      <c r="A89" s="231"/>
      <c r="B89" s="235"/>
      <c r="C89" s="151">
        <f t="shared" si="31"/>
        <v>19.79</v>
      </c>
      <c r="D89" s="152">
        <f t="shared" si="31"/>
        <v>150</v>
      </c>
      <c r="E89" s="246"/>
      <c r="F89" s="153">
        <f t="shared" si="32"/>
        <v>75</v>
      </c>
      <c r="G89" s="154">
        <f t="shared" si="32"/>
        <v>0</v>
      </c>
      <c r="H89" s="150"/>
      <c r="I89" s="233"/>
      <c r="J89" s="317"/>
      <c r="K89" s="326">
        <f t="shared" si="33"/>
        <v>75</v>
      </c>
      <c r="L89" s="323">
        <f t="shared" si="34"/>
        <v>0</v>
      </c>
      <c r="M89" s="327"/>
      <c r="N89" s="181">
        <f t="shared" si="35"/>
        <v>11.81</v>
      </c>
      <c r="O89" s="323">
        <f t="shared" si="35"/>
        <v>250</v>
      </c>
      <c r="P89" s="316"/>
      <c r="Q89" s="45"/>
      <c r="R89" s="45"/>
      <c r="S89" s="45"/>
      <c r="T89" s="45"/>
      <c r="U89" s="45"/>
      <c r="V89" s="45"/>
      <c r="W89" s="72"/>
      <c r="X89" s="72"/>
      <c r="Y89" s="72"/>
      <c r="Z89" s="72"/>
      <c r="AA89" s="72"/>
      <c r="AB89" s="72"/>
      <c r="AC89" s="72"/>
      <c r="AD89" s="72"/>
      <c r="AE89" s="72"/>
      <c r="AF89" s="72"/>
      <c r="AG89" s="72"/>
      <c r="AH89" s="72"/>
      <c r="AI89" s="72"/>
      <c r="AJ89" s="72"/>
      <c r="AK89" s="72"/>
      <c r="AL89" s="72"/>
      <c r="AM89" s="72"/>
      <c r="AN89" s="72"/>
    </row>
    <row r="90" spans="1:40" x14ac:dyDescent="0.2">
      <c r="A90" s="231"/>
      <c r="B90" s="235"/>
      <c r="C90" s="151">
        <f t="shared" si="31"/>
        <v>69.790000000000006</v>
      </c>
      <c r="D90" s="152">
        <f t="shared" si="31"/>
        <v>150</v>
      </c>
      <c r="E90" s="246"/>
      <c r="F90" s="153">
        <f t="shared" si="32"/>
        <v>88</v>
      </c>
      <c r="G90" s="154">
        <f t="shared" si="32"/>
        <v>0</v>
      </c>
      <c r="H90" s="150"/>
      <c r="I90" s="233"/>
      <c r="J90" s="317"/>
      <c r="K90" s="326">
        <f t="shared" si="33"/>
        <v>88</v>
      </c>
      <c r="L90" s="323">
        <f t="shared" si="34"/>
        <v>0</v>
      </c>
      <c r="M90" s="327"/>
      <c r="N90" s="181">
        <f t="shared" si="35"/>
        <v>86.81</v>
      </c>
      <c r="O90" s="323">
        <f t="shared" si="35"/>
        <v>250</v>
      </c>
      <c r="P90" s="316"/>
      <c r="Q90" s="45"/>
      <c r="R90" s="45"/>
      <c r="S90" s="45"/>
      <c r="T90" s="45"/>
      <c r="U90" s="45"/>
      <c r="V90" s="45"/>
      <c r="W90" s="72"/>
      <c r="X90" s="72"/>
      <c r="Y90" s="72"/>
      <c r="Z90" s="72"/>
      <c r="AA90" s="72"/>
      <c r="AB90" s="72"/>
      <c r="AC90" s="72"/>
      <c r="AD90" s="72"/>
      <c r="AE90" s="72"/>
      <c r="AF90" s="72"/>
      <c r="AG90" s="72"/>
      <c r="AH90" s="72"/>
      <c r="AI90" s="72"/>
      <c r="AJ90" s="72"/>
      <c r="AK90" s="72"/>
      <c r="AL90" s="72"/>
      <c r="AM90" s="72"/>
      <c r="AN90" s="72"/>
    </row>
    <row r="91" spans="1:40" x14ac:dyDescent="0.2">
      <c r="A91" s="231"/>
      <c r="B91" s="235"/>
      <c r="C91" s="151">
        <f t="shared" si="31"/>
        <v>92.01</v>
      </c>
      <c r="D91" s="152">
        <f t="shared" si="31"/>
        <v>0</v>
      </c>
      <c r="E91" s="246"/>
      <c r="F91" s="153">
        <f t="shared" si="32"/>
        <v>94</v>
      </c>
      <c r="G91" s="154">
        <f t="shared" si="32"/>
        <v>0</v>
      </c>
      <c r="H91" s="150"/>
      <c r="I91" s="233"/>
      <c r="J91" s="317"/>
      <c r="K91" s="326">
        <f t="shared" si="33"/>
        <v>94</v>
      </c>
      <c r="L91" s="323">
        <f t="shared" si="34"/>
        <v>0</v>
      </c>
      <c r="M91" s="327"/>
      <c r="N91" s="181">
        <f t="shared" si="35"/>
        <v>89.93</v>
      </c>
      <c r="O91" s="323">
        <f t="shared" si="35"/>
        <v>250</v>
      </c>
      <c r="P91" s="316"/>
      <c r="Q91" s="45"/>
      <c r="R91" s="45"/>
      <c r="S91" s="45"/>
      <c r="T91" s="45"/>
      <c r="U91" s="45"/>
      <c r="V91" s="45"/>
      <c r="W91" s="72"/>
      <c r="X91" s="72"/>
      <c r="Y91" s="72"/>
      <c r="Z91" s="72"/>
      <c r="AA91" s="72"/>
      <c r="AB91" s="72"/>
      <c r="AC91" s="72"/>
      <c r="AD91" s="72"/>
      <c r="AE91" s="72"/>
      <c r="AF91" s="72"/>
      <c r="AG91" s="72"/>
      <c r="AH91" s="72"/>
      <c r="AI91" s="72"/>
      <c r="AJ91" s="72"/>
      <c r="AK91" s="72"/>
      <c r="AL91" s="72"/>
      <c r="AM91" s="72"/>
      <c r="AN91" s="72"/>
    </row>
    <row r="92" spans="1:40" x14ac:dyDescent="0.2">
      <c r="A92" s="231"/>
      <c r="B92" s="235"/>
      <c r="C92" s="151">
        <f>A310</f>
        <v>95</v>
      </c>
      <c r="D92" s="152">
        <f>B310</f>
        <v>0</v>
      </c>
      <c r="E92" s="246"/>
      <c r="F92" s="153">
        <f>O310</f>
        <v>95</v>
      </c>
      <c r="G92" s="154">
        <f>P310</f>
        <v>0</v>
      </c>
      <c r="H92" s="150"/>
      <c r="I92" s="233"/>
      <c r="J92" s="317"/>
      <c r="K92" s="326">
        <f t="shared" si="33"/>
        <v>95</v>
      </c>
      <c r="L92" s="323">
        <f t="shared" si="34"/>
        <v>0</v>
      </c>
      <c r="M92" s="327"/>
      <c r="N92" s="181">
        <f t="shared" si="35"/>
        <v>93.06</v>
      </c>
      <c r="O92" s="323">
        <f t="shared" si="35"/>
        <v>250</v>
      </c>
      <c r="P92" s="316"/>
      <c r="Q92" s="45"/>
      <c r="R92" s="45"/>
      <c r="S92" s="45"/>
      <c r="T92" s="45"/>
      <c r="U92" s="45"/>
      <c r="V92" s="45"/>
      <c r="W92" s="72"/>
      <c r="X92" s="72"/>
      <c r="Y92" s="72"/>
      <c r="Z92" s="72"/>
      <c r="AA92" s="72"/>
      <c r="AB92" s="72"/>
      <c r="AC92" s="72"/>
      <c r="AD92" s="72"/>
      <c r="AE92" s="72"/>
      <c r="AF92" s="72"/>
      <c r="AG92" s="72"/>
      <c r="AH92" s="72"/>
      <c r="AI92" s="72"/>
      <c r="AJ92" s="72"/>
      <c r="AK92" s="72"/>
      <c r="AL92" s="72"/>
      <c r="AM92" s="72"/>
      <c r="AN92" s="72"/>
    </row>
    <row r="93" spans="1:40" ht="13.5" thickBot="1" x14ac:dyDescent="0.25">
      <c r="A93" s="238"/>
      <c r="B93" s="239"/>
      <c r="C93" s="155">
        <f>A311</f>
        <v>100</v>
      </c>
      <c r="D93" s="156">
        <f>B311</f>
        <v>0</v>
      </c>
      <c r="E93" s="247"/>
      <c r="F93" s="157">
        <f>O311</f>
        <v>100</v>
      </c>
      <c r="G93" s="158">
        <f>P311</f>
        <v>0</v>
      </c>
      <c r="H93" s="159"/>
      <c r="I93" s="233"/>
      <c r="J93" s="317"/>
      <c r="K93" s="333">
        <f t="shared" si="33"/>
        <v>100</v>
      </c>
      <c r="L93" s="334">
        <f t="shared" si="34"/>
        <v>0</v>
      </c>
      <c r="M93" s="335"/>
      <c r="N93" s="183">
        <f t="shared" si="35"/>
        <v>100</v>
      </c>
      <c r="O93" s="334">
        <f t="shared" si="35"/>
        <v>250</v>
      </c>
      <c r="P93" s="316"/>
      <c r="Q93" s="45"/>
      <c r="R93" s="45"/>
      <c r="S93" s="45"/>
      <c r="T93" s="45"/>
      <c r="U93" s="45"/>
      <c r="V93" s="45"/>
      <c r="W93" s="72"/>
      <c r="X93" s="72"/>
      <c r="Y93" s="72"/>
      <c r="Z93" s="72"/>
      <c r="AA93" s="72"/>
      <c r="AB93" s="72"/>
      <c r="AC93" s="72"/>
      <c r="AD93" s="72"/>
      <c r="AE93" s="72"/>
      <c r="AF93" s="72"/>
      <c r="AG93" s="72"/>
      <c r="AH93" s="72"/>
      <c r="AI93" s="72"/>
      <c r="AJ93" s="72"/>
      <c r="AK93" s="72"/>
      <c r="AL93" s="72"/>
      <c r="AM93" s="72"/>
      <c r="AN93" s="72"/>
    </row>
    <row r="94" spans="1:40" x14ac:dyDescent="0.2">
      <c r="A94" s="278" t="s">
        <v>80</v>
      </c>
      <c r="B94" s="243" t="s">
        <v>29</v>
      </c>
      <c r="C94" s="164">
        <f t="shared" ref="C94:D99" si="36">A328</f>
        <v>0</v>
      </c>
      <c r="D94" s="165">
        <f t="shared" si="36"/>
        <v>0</v>
      </c>
      <c r="E94" s="244">
        <f>B325</f>
        <v>30</v>
      </c>
      <c r="F94" s="160">
        <f t="shared" ref="F94:G99" si="37">O328</f>
        <v>0</v>
      </c>
      <c r="G94" s="161">
        <f t="shared" si="37"/>
        <v>0</v>
      </c>
      <c r="H94" s="186">
        <f>P325</f>
        <v>60</v>
      </c>
      <c r="I94" s="336" t="s">
        <v>97</v>
      </c>
      <c r="J94" s="337" t="s">
        <v>105</v>
      </c>
      <c r="K94" s="180">
        <f>A713</f>
        <v>0</v>
      </c>
      <c r="L94" s="179">
        <f>B713</f>
        <v>150</v>
      </c>
      <c r="M94" s="338">
        <f>B710</f>
        <v>30</v>
      </c>
      <c r="N94" s="178">
        <f>O713</f>
        <v>0</v>
      </c>
      <c r="O94" s="179">
        <f>P713</f>
        <v>25</v>
      </c>
      <c r="P94" s="187">
        <f>P710</f>
        <v>60</v>
      </c>
      <c r="Q94" s="45"/>
      <c r="R94" s="45"/>
      <c r="S94" s="45"/>
      <c r="T94" s="45"/>
      <c r="U94" s="45"/>
      <c r="V94" s="45"/>
      <c r="W94" s="72"/>
      <c r="X94" s="72"/>
      <c r="Y94" s="72"/>
      <c r="Z94" s="72"/>
      <c r="AA94" s="72"/>
      <c r="AB94" s="72"/>
      <c r="AC94" s="72"/>
      <c r="AD94" s="72"/>
      <c r="AE94" s="72"/>
      <c r="AF94" s="72"/>
      <c r="AG94" s="72"/>
      <c r="AH94" s="72"/>
      <c r="AI94" s="72"/>
      <c r="AJ94" s="72"/>
      <c r="AK94" s="72"/>
      <c r="AL94" s="72"/>
      <c r="AM94" s="72"/>
      <c r="AN94" s="72"/>
    </row>
    <row r="95" spans="1:40" x14ac:dyDescent="0.2">
      <c r="A95" s="231"/>
      <c r="B95" s="235"/>
      <c r="C95" s="151">
        <f t="shared" si="36"/>
        <v>10</v>
      </c>
      <c r="D95" s="152">
        <f t="shared" si="36"/>
        <v>0</v>
      </c>
      <c r="E95" s="236"/>
      <c r="F95" s="153">
        <f t="shared" si="37"/>
        <v>10</v>
      </c>
      <c r="G95" s="154">
        <f t="shared" si="37"/>
        <v>0</v>
      </c>
      <c r="H95" s="150"/>
      <c r="I95" s="233"/>
      <c r="J95" s="317"/>
      <c r="K95" s="326">
        <f t="shared" ref="K95:K101" si="38">A714</f>
        <v>25</v>
      </c>
      <c r="L95" s="323">
        <f t="shared" ref="L95:L101" si="39">B714</f>
        <v>150</v>
      </c>
      <c r="M95" s="327"/>
      <c r="N95" s="181">
        <f t="shared" ref="N95:O101" si="40">O714</f>
        <v>5</v>
      </c>
      <c r="O95" s="323">
        <f t="shared" si="40"/>
        <v>25</v>
      </c>
      <c r="P95" s="316"/>
      <c r="Q95" s="45"/>
      <c r="R95" s="45"/>
      <c r="S95" s="45"/>
      <c r="T95" s="45"/>
      <c r="U95" s="45"/>
      <c r="V95" s="45"/>
      <c r="W95" s="72"/>
      <c r="X95" s="72"/>
      <c r="Y95" s="72"/>
      <c r="Z95" s="72"/>
      <c r="AA95" s="72"/>
      <c r="AB95" s="72"/>
      <c r="AC95" s="72"/>
      <c r="AD95" s="72"/>
      <c r="AE95" s="72"/>
      <c r="AF95" s="72"/>
      <c r="AG95" s="72"/>
      <c r="AH95" s="72"/>
      <c r="AI95" s="72"/>
      <c r="AJ95" s="72"/>
      <c r="AK95" s="72"/>
      <c r="AL95" s="72"/>
      <c r="AM95" s="72"/>
      <c r="AN95" s="72"/>
    </row>
    <row r="96" spans="1:40" x14ac:dyDescent="0.2">
      <c r="A96" s="248"/>
      <c r="B96" s="249"/>
      <c r="C96" s="151">
        <f t="shared" si="36"/>
        <v>17.36</v>
      </c>
      <c r="D96" s="152">
        <f t="shared" si="36"/>
        <v>0</v>
      </c>
      <c r="E96" s="236"/>
      <c r="F96" s="153">
        <f t="shared" si="37"/>
        <v>50</v>
      </c>
      <c r="G96" s="154">
        <f t="shared" si="37"/>
        <v>0</v>
      </c>
      <c r="H96" s="150"/>
      <c r="I96" s="233"/>
      <c r="J96" s="317"/>
      <c r="K96" s="326">
        <f t="shared" si="38"/>
        <v>50</v>
      </c>
      <c r="L96" s="323">
        <f t="shared" si="39"/>
        <v>150</v>
      </c>
      <c r="M96" s="327"/>
      <c r="N96" s="181">
        <f t="shared" si="40"/>
        <v>9.3800000000000008</v>
      </c>
      <c r="O96" s="323">
        <f t="shared" si="40"/>
        <v>25</v>
      </c>
      <c r="P96" s="320"/>
      <c r="Q96" s="45"/>
      <c r="R96" s="45"/>
      <c r="S96" s="45"/>
      <c r="T96" s="45"/>
      <c r="U96" s="45"/>
      <c r="V96" s="45"/>
      <c r="W96" s="72"/>
      <c r="X96" s="72"/>
      <c r="Y96" s="72"/>
      <c r="Z96" s="72"/>
      <c r="AA96" s="72"/>
      <c r="AB96" s="72"/>
      <c r="AC96" s="72"/>
      <c r="AD96" s="72"/>
      <c r="AE96" s="72"/>
      <c r="AF96" s="72"/>
      <c r="AG96" s="72"/>
      <c r="AH96" s="72"/>
      <c r="AI96" s="72"/>
      <c r="AJ96" s="72"/>
      <c r="AK96" s="72"/>
      <c r="AL96" s="72"/>
      <c r="AM96" s="72"/>
      <c r="AN96" s="72"/>
    </row>
    <row r="97" spans="1:40" x14ac:dyDescent="0.2">
      <c r="A97" s="248"/>
      <c r="B97" s="249"/>
      <c r="C97" s="151">
        <f t="shared" si="36"/>
        <v>19.79</v>
      </c>
      <c r="D97" s="152">
        <f t="shared" si="36"/>
        <v>60</v>
      </c>
      <c r="E97" s="236"/>
      <c r="F97" s="153">
        <f t="shared" si="37"/>
        <v>75</v>
      </c>
      <c r="G97" s="154">
        <f t="shared" si="37"/>
        <v>0</v>
      </c>
      <c r="H97" s="150"/>
      <c r="I97" s="233"/>
      <c r="J97" s="317"/>
      <c r="K97" s="326">
        <f t="shared" si="38"/>
        <v>75</v>
      </c>
      <c r="L97" s="323">
        <f t="shared" si="39"/>
        <v>150</v>
      </c>
      <c r="M97" s="327"/>
      <c r="N97" s="181">
        <f t="shared" si="40"/>
        <v>11.81</v>
      </c>
      <c r="O97" s="323">
        <f t="shared" si="40"/>
        <v>25</v>
      </c>
      <c r="P97" s="320"/>
      <c r="Q97" s="45"/>
      <c r="R97" s="45"/>
      <c r="S97" s="45"/>
      <c r="T97" s="45"/>
      <c r="U97" s="45"/>
      <c r="V97" s="45"/>
      <c r="W97" s="72"/>
      <c r="X97" s="72"/>
      <c r="Y97" s="72"/>
      <c r="Z97" s="72"/>
      <c r="AA97" s="72"/>
      <c r="AB97" s="72"/>
      <c r="AC97" s="72"/>
      <c r="AD97" s="72"/>
      <c r="AE97" s="72"/>
      <c r="AF97" s="72"/>
      <c r="AG97" s="72"/>
      <c r="AH97" s="72"/>
      <c r="AI97" s="72"/>
      <c r="AJ97" s="72"/>
      <c r="AK97" s="72"/>
      <c r="AL97" s="72"/>
      <c r="AM97" s="72"/>
      <c r="AN97" s="72"/>
    </row>
    <row r="98" spans="1:40" x14ac:dyDescent="0.2">
      <c r="A98" s="248"/>
      <c r="B98" s="249"/>
      <c r="C98" s="151">
        <f t="shared" si="36"/>
        <v>69.790000000000006</v>
      </c>
      <c r="D98" s="152">
        <f t="shared" si="36"/>
        <v>60</v>
      </c>
      <c r="E98" s="236"/>
      <c r="F98" s="153">
        <f t="shared" si="37"/>
        <v>88</v>
      </c>
      <c r="G98" s="154">
        <f t="shared" si="37"/>
        <v>0</v>
      </c>
      <c r="H98" s="150"/>
      <c r="I98" s="233"/>
      <c r="J98" s="317"/>
      <c r="K98" s="326">
        <f t="shared" si="38"/>
        <v>88</v>
      </c>
      <c r="L98" s="323">
        <f t="shared" si="39"/>
        <v>150</v>
      </c>
      <c r="M98" s="327"/>
      <c r="N98" s="181">
        <f t="shared" si="40"/>
        <v>86.81</v>
      </c>
      <c r="O98" s="323">
        <f t="shared" si="40"/>
        <v>25</v>
      </c>
      <c r="P98" s="320"/>
      <c r="Q98" s="45"/>
      <c r="R98" s="45"/>
      <c r="S98" s="45"/>
      <c r="T98" s="45"/>
      <c r="U98" s="45"/>
      <c r="V98" s="45"/>
      <c r="W98" s="72"/>
      <c r="X98" s="72"/>
      <c r="Y98" s="72"/>
      <c r="Z98" s="72"/>
      <c r="AA98" s="72"/>
      <c r="AB98" s="72"/>
      <c r="AC98" s="72"/>
      <c r="AD98" s="72"/>
      <c r="AE98" s="72"/>
      <c r="AF98" s="72"/>
      <c r="AG98" s="72"/>
      <c r="AH98" s="72"/>
      <c r="AI98" s="72"/>
      <c r="AJ98" s="72"/>
      <c r="AK98" s="72"/>
      <c r="AL98" s="72"/>
      <c r="AM98" s="72"/>
      <c r="AN98" s="72"/>
    </row>
    <row r="99" spans="1:40" x14ac:dyDescent="0.2">
      <c r="A99" s="248"/>
      <c r="B99" s="249"/>
      <c r="C99" s="151">
        <f t="shared" si="36"/>
        <v>92.01</v>
      </c>
      <c r="D99" s="152">
        <f t="shared" si="36"/>
        <v>0</v>
      </c>
      <c r="E99" s="236"/>
      <c r="F99" s="153">
        <f t="shared" si="37"/>
        <v>94</v>
      </c>
      <c r="G99" s="154">
        <f t="shared" si="37"/>
        <v>0</v>
      </c>
      <c r="H99" s="150"/>
      <c r="I99" s="233"/>
      <c r="J99" s="317"/>
      <c r="K99" s="326">
        <f t="shared" si="38"/>
        <v>94</v>
      </c>
      <c r="L99" s="323">
        <f t="shared" si="39"/>
        <v>150</v>
      </c>
      <c r="M99" s="327"/>
      <c r="N99" s="181">
        <f t="shared" si="40"/>
        <v>89.93</v>
      </c>
      <c r="O99" s="323">
        <f t="shared" si="40"/>
        <v>25</v>
      </c>
      <c r="P99" s="320"/>
      <c r="Q99" s="45"/>
      <c r="R99" s="45"/>
      <c r="S99" s="45"/>
      <c r="T99" s="45"/>
      <c r="U99" s="45"/>
      <c r="V99" s="45"/>
      <c r="W99" s="72"/>
      <c r="X99" s="72"/>
      <c r="Y99" s="72"/>
      <c r="Z99" s="72"/>
      <c r="AA99" s="72"/>
      <c r="AB99" s="72"/>
      <c r="AC99" s="72"/>
      <c r="AD99" s="72"/>
      <c r="AE99" s="72"/>
      <c r="AF99" s="72"/>
      <c r="AG99" s="72"/>
      <c r="AH99" s="72"/>
      <c r="AI99" s="72"/>
      <c r="AJ99" s="72"/>
      <c r="AK99" s="72"/>
      <c r="AL99" s="72"/>
      <c r="AM99" s="72"/>
      <c r="AN99" s="72"/>
    </row>
    <row r="100" spans="1:40" x14ac:dyDescent="0.2">
      <c r="A100" s="248"/>
      <c r="B100" s="249"/>
      <c r="C100" s="151">
        <f>A334</f>
        <v>95</v>
      </c>
      <c r="D100" s="152">
        <f>B334</f>
        <v>0</v>
      </c>
      <c r="E100" s="236"/>
      <c r="F100" s="153">
        <f>O334</f>
        <v>95</v>
      </c>
      <c r="G100" s="154">
        <f>P334</f>
        <v>0</v>
      </c>
      <c r="H100" s="150"/>
      <c r="I100" s="233"/>
      <c r="J100" s="317"/>
      <c r="K100" s="326">
        <f t="shared" si="38"/>
        <v>95</v>
      </c>
      <c r="L100" s="323">
        <f t="shared" si="39"/>
        <v>150</v>
      </c>
      <c r="M100" s="327"/>
      <c r="N100" s="181">
        <f t="shared" si="40"/>
        <v>93.06</v>
      </c>
      <c r="O100" s="323">
        <f t="shared" si="40"/>
        <v>25</v>
      </c>
      <c r="P100" s="320"/>
      <c r="Q100" s="45"/>
      <c r="R100" s="45"/>
      <c r="S100" s="45"/>
      <c r="T100" s="45"/>
      <c r="U100" s="45"/>
      <c r="V100" s="45"/>
      <c r="W100" s="72"/>
      <c r="X100" s="72"/>
      <c r="Y100" s="72"/>
      <c r="Z100" s="72"/>
      <c r="AA100" s="72"/>
      <c r="AB100" s="72"/>
      <c r="AC100" s="72"/>
      <c r="AD100" s="72"/>
      <c r="AE100" s="72"/>
      <c r="AF100" s="72"/>
      <c r="AG100" s="72"/>
      <c r="AH100" s="72"/>
      <c r="AI100" s="72"/>
      <c r="AJ100" s="72"/>
      <c r="AK100" s="72"/>
      <c r="AL100" s="72"/>
      <c r="AM100" s="72"/>
      <c r="AN100" s="72"/>
    </row>
    <row r="101" spans="1:40" ht="13.5" thickBot="1" x14ac:dyDescent="0.25">
      <c r="A101" s="250"/>
      <c r="B101" s="251"/>
      <c r="C101" s="155">
        <f>A335</f>
        <v>100</v>
      </c>
      <c r="D101" s="156">
        <f>B335</f>
        <v>0</v>
      </c>
      <c r="E101" s="240"/>
      <c r="F101" s="157">
        <f>O335</f>
        <v>100</v>
      </c>
      <c r="G101" s="158">
        <f>P335</f>
        <v>0</v>
      </c>
      <c r="H101" s="159"/>
      <c r="I101" s="241"/>
      <c r="J101" s="318"/>
      <c r="K101" s="328">
        <f t="shared" si="38"/>
        <v>100</v>
      </c>
      <c r="L101" s="329">
        <f t="shared" si="39"/>
        <v>150</v>
      </c>
      <c r="M101" s="330"/>
      <c r="N101" s="332">
        <f t="shared" si="40"/>
        <v>100</v>
      </c>
      <c r="O101" s="329">
        <f t="shared" si="40"/>
        <v>25</v>
      </c>
      <c r="P101" s="339"/>
      <c r="Q101" s="45"/>
      <c r="R101" s="45"/>
      <c r="S101" s="45"/>
      <c r="T101" s="45"/>
      <c r="U101" s="45"/>
      <c r="V101" s="45"/>
      <c r="W101" s="72"/>
      <c r="X101" s="72"/>
      <c r="Y101" s="72"/>
      <c r="Z101" s="72"/>
      <c r="AA101" s="72"/>
      <c r="AB101" s="72"/>
      <c r="AC101" s="72"/>
      <c r="AD101" s="72"/>
      <c r="AE101" s="72"/>
      <c r="AF101" s="72"/>
      <c r="AG101" s="72"/>
      <c r="AH101" s="72"/>
      <c r="AI101" s="72"/>
      <c r="AJ101" s="72"/>
      <c r="AK101" s="72"/>
      <c r="AL101" s="72"/>
      <c r="AM101" s="72"/>
      <c r="AN101" s="72"/>
    </row>
    <row r="102" spans="1:40" x14ac:dyDescent="0.2">
      <c r="A102" s="277" t="s">
        <v>81</v>
      </c>
      <c r="B102" s="232" t="s">
        <v>30</v>
      </c>
      <c r="C102" s="146">
        <f t="shared" ref="C102:D107" si="41">A352</f>
        <v>0</v>
      </c>
      <c r="D102" s="147">
        <f t="shared" si="41"/>
        <v>0</v>
      </c>
      <c r="E102" s="284">
        <f>B349</f>
        <v>30</v>
      </c>
      <c r="F102" s="148">
        <f t="shared" ref="F102:G107" si="42">O352</f>
        <v>0</v>
      </c>
      <c r="G102" s="149">
        <f t="shared" si="42"/>
        <v>0</v>
      </c>
      <c r="H102" s="185">
        <f>P349</f>
        <v>60</v>
      </c>
      <c r="I102" s="336" t="s">
        <v>98</v>
      </c>
      <c r="J102" s="337" t="s">
        <v>106</v>
      </c>
      <c r="K102" s="180">
        <f>A737</f>
        <v>0</v>
      </c>
      <c r="L102" s="179">
        <f>B737</f>
        <v>150</v>
      </c>
      <c r="M102" s="338">
        <f>B734</f>
        <v>30</v>
      </c>
      <c r="N102" s="178">
        <f>O737</f>
        <v>0</v>
      </c>
      <c r="O102" s="179">
        <f>P737</f>
        <v>150</v>
      </c>
      <c r="P102" s="187">
        <f>P734</f>
        <v>60</v>
      </c>
      <c r="Q102" s="45"/>
      <c r="R102" s="45"/>
      <c r="S102" s="45"/>
      <c r="T102" s="45"/>
      <c r="U102" s="45"/>
      <c r="V102" s="45"/>
      <c r="W102" s="72"/>
      <c r="X102" s="72"/>
      <c r="Y102" s="72"/>
      <c r="Z102" s="72"/>
      <c r="AA102" s="72"/>
      <c r="AB102" s="72"/>
      <c r="AC102" s="72"/>
      <c r="AD102" s="72"/>
      <c r="AE102" s="72"/>
      <c r="AF102" s="72"/>
      <c r="AG102" s="72"/>
      <c r="AH102" s="72"/>
      <c r="AI102" s="72"/>
      <c r="AJ102" s="72"/>
      <c r="AK102" s="72"/>
      <c r="AL102" s="72"/>
      <c r="AM102" s="72"/>
      <c r="AN102" s="72"/>
    </row>
    <row r="103" spans="1:40" x14ac:dyDescent="0.2">
      <c r="A103" s="231"/>
      <c r="B103" s="235"/>
      <c r="C103" s="151">
        <f t="shared" si="41"/>
        <v>10</v>
      </c>
      <c r="D103" s="152">
        <f t="shared" si="41"/>
        <v>0</v>
      </c>
      <c r="E103" s="246"/>
      <c r="F103" s="153">
        <f t="shared" si="42"/>
        <v>10</v>
      </c>
      <c r="G103" s="154">
        <f t="shared" si="42"/>
        <v>0</v>
      </c>
      <c r="H103" s="150"/>
      <c r="I103" s="233"/>
      <c r="J103" s="317"/>
      <c r="K103" s="326">
        <f t="shared" ref="K103:K109" si="43">A738</f>
        <v>25</v>
      </c>
      <c r="L103" s="323">
        <f t="shared" ref="L103:L109" si="44">B738</f>
        <v>150</v>
      </c>
      <c r="M103" s="327"/>
      <c r="N103" s="181">
        <f t="shared" ref="N103:O109" si="45">O738</f>
        <v>5</v>
      </c>
      <c r="O103" s="323">
        <f t="shared" si="45"/>
        <v>150</v>
      </c>
      <c r="P103" s="316"/>
      <c r="Q103" s="45"/>
      <c r="R103" s="45"/>
      <c r="S103" s="45"/>
      <c r="T103" s="45"/>
      <c r="U103" s="45"/>
      <c r="V103" s="45"/>
      <c r="W103" s="72"/>
      <c r="X103" s="72"/>
      <c r="Y103" s="72"/>
      <c r="Z103" s="72"/>
      <c r="AA103" s="72"/>
      <c r="AB103" s="72"/>
      <c r="AC103" s="72"/>
      <c r="AD103" s="72"/>
      <c r="AE103" s="72"/>
      <c r="AF103" s="72"/>
      <c r="AG103" s="72"/>
      <c r="AH103" s="72"/>
      <c r="AI103" s="72"/>
      <c r="AJ103" s="72"/>
      <c r="AK103" s="72"/>
      <c r="AL103" s="72"/>
      <c r="AM103" s="72"/>
      <c r="AN103" s="72"/>
    </row>
    <row r="104" spans="1:40" x14ac:dyDescent="0.2">
      <c r="A104" s="231"/>
      <c r="B104" s="235"/>
      <c r="C104" s="151">
        <f t="shared" si="41"/>
        <v>17.36</v>
      </c>
      <c r="D104" s="152">
        <f t="shared" si="41"/>
        <v>0</v>
      </c>
      <c r="E104" s="246"/>
      <c r="F104" s="153">
        <f t="shared" si="42"/>
        <v>50</v>
      </c>
      <c r="G104" s="154">
        <f t="shared" si="42"/>
        <v>0</v>
      </c>
      <c r="H104" s="150"/>
      <c r="I104" s="233"/>
      <c r="J104" s="317"/>
      <c r="K104" s="326">
        <f t="shared" si="43"/>
        <v>50</v>
      </c>
      <c r="L104" s="323">
        <f t="shared" si="44"/>
        <v>150</v>
      </c>
      <c r="M104" s="327"/>
      <c r="N104" s="181">
        <f t="shared" si="45"/>
        <v>9.3800000000000008</v>
      </c>
      <c r="O104" s="323">
        <f t="shared" si="45"/>
        <v>150</v>
      </c>
      <c r="P104" s="316"/>
      <c r="Q104" s="45"/>
      <c r="R104" s="45"/>
      <c r="S104" s="45"/>
      <c r="T104" s="45"/>
      <c r="U104" s="45"/>
      <c r="V104" s="45"/>
      <c r="W104" s="72"/>
      <c r="X104" s="72"/>
      <c r="Y104" s="72"/>
      <c r="Z104" s="72"/>
      <c r="AA104" s="72"/>
      <c r="AB104" s="72"/>
      <c r="AC104" s="72"/>
      <c r="AD104" s="72"/>
      <c r="AE104" s="72"/>
      <c r="AF104" s="72"/>
      <c r="AG104" s="72"/>
      <c r="AH104" s="72"/>
      <c r="AI104" s="72"/>
      <c r="AJ104" s="72"/>
      <c r="AK104" s="72"/>
      <c r="AL104" s="72"/>
      <c r="AM104" s="72"/>
      <c r="AN104" s="72"/>
    </row>
    <row r="105" spans="1:40" x14ac:dyDescent="0.2">
      <c r="A105" s="231"/>
      <c r="B105" s="235"/>
      <c r="C105" s="151">
        <f t="shared" si="41"/>
        <v>19.79</v>
      </c>
      <c r="D105" s="152">
        <f t="shared" si="41"/>
        <v>150</v>
      </c>
      <c r="E105" s="246"/>
      <c r="F105" s="153">
        <f t="shared" si="42"/>
        <v>75</v>
      </c>
      <c r="G105" s="154">
        <f t="shared" si="42"/>
        <v>0</v>
      </c>
      <c r="H105" s="150"/>
      <c r="I105" s="233"/>
      <c r="J105" s="317"/>
      <c r="K105" s="326">
        <f t="shared" si="43"/>
        <v>75</v>
      </c>
      <c r="L105" s="323">
        <f t="shared" si="44"/>
        <v>150</v>
      </c>
      <c r="M105" s="327"/>
      <c r="N105" s="181">
        <f t="shared" si="45"/>
        <v>11.81</v>
      </c>
      <c r="O105" s="323">
        <f t="shared" si="45"/>
        <v>150</v>
      </c>
      <c r="P105" s="316"/>
      <c r="Q105" s="45"/>
      <c r="R105" s="45"/>
      <c r="S105" s="45"/>
      <c r="T105" s="45"/>
      <c r="U105" s="45"/>
      <c r="V105" s="45"/>
      <c r="W105" s="72"/>
      <c r="X105" s="72"/>
      <c r="Y105" s="72"/>
      <c r="Z105" s="72"/>
      <c r="AA105" s="72"/>
      <c r="AB105" s="72"/>
      <c r="AC105" s="72"/>
      <c r="AD105" s="72"/>
      <c r="AE105" s="72"/>
      <c r="AF105" s="72"/>
      <c r="AG105" s="72"/>
      <c r="AH105" s="72"/>
      <c r="AI105" s="72"/>
      <c r="AJ105" s="72"/>
      <c r="AK105" s="72"/>
      <c r="AL105" s="72"/>
      <c r="AM105" s="72"/>
      <c r="AN105" s="72"/>
    </row>
    <row r="106" spans="1:40" x14ac:dyDescent="0.2">
      <c r="A106" s="231"/>
      <c r="B106" s="235"/>
      <c r="C106" s="151">
        <f t="shared" si="41"/>
        <v>75.349999999999994</v>
      </c>
      <c r="D106" s="152">
        <f t="shared" si="41"/>
        <v>150</v>
      </c>
      <c r="E106" s="246"/>
      <c r="F106" s="153">
        <f t="shared" si="42"/>
        <v>88</v>
      </c>
      <c r="G106" s="154">
        <f t="shared" si="42"/>
        <v>0</v>
      </c>
      <c r="H106" s="150"/>
      <c r="I106" s="233"/>
      <c r="J106" s="317"/>
      <c r="K106" s="326">
        <f t="shared" si="43"/>
        <v>88</v>
      </c>
      <c r="L106" s="323">
        <f t="shared" si="44"/>
        <v>150</v>
      </c>
      <c r="M106" s="327"/>
      <c r="N106" s="181">
        <f t="shared" si="45"/>
        <v>86.81</v>
      </c>
      <c r="O106" s="323">
        <f t="shared" si="45"/>
        <v>150</v>
      </c>
      <c r="P106" s="316"/>
      <c r="Q106" s="45"/>
      <c r="R106" s="45"/>
      <c r="S106" s="45"/>
      <c r="T106" s="45"/>
      <c r="U106" s="45"/>
      <c r="V106" s="45"/>
      <c r="W106" s="72"/>
      <c r="X106" s="72"/>
      <c r="Y106" s="72"/>
      <c r="Z106" s="72"/>
      <c r="AA106" s="72"/>
      <c r="AB106" s="72"/>
      <c r="AC106" s="72"/>
      <c r="AD106" s="72"/>
      <c r="AE106" s="72"/>
      <c r="AF106" s="72"/>
      <c r="AG106" s="72"/>
      <c r="AH106" s="72"/>
      <c r="AI106" s="72"/>
      <c r="AJ106" s="72"/>
      <c r="AK106" s="72"/>
      <c r="AL106" s="72"/>
      <c r="AM106" s="72"/>
      <c r="AN106" s="72"/>
    </row>
    <row r="107" spans="1:40" x14ac:dyDescent="0.2">
      <c r="A107" s="231"/>
      <c r="B107" s="235"/>
      <c r="C107" s="151">
        <f t="shared" si="41"/>
        <v>86.46</v>
      </c>
      <c r="D107" s="152">
        <f t="shared" si="41"/>
        <v>0</v>
      </c>
      <c r="E107" s="246"/>
      <c r="F107" s="153">
        <f t="shared" si="42"/>
        <v>94</v>
      </c>
      <c r="G107" s="154">
        <f t="shared" si="42"/>
        <v>0</v>
      </c>
      <c r="H107" s="150"/>
      <c r="I107" s="233"/>
      <c r="J107" s="317"/>
      <c r="K107" s="326">
        <f t="shared" si="43"/>
        <v>94</v>
      </c>
      <c r="L107" s="323">
        <f t="shared" si="44"/>
        <v>150</v>
      </c>
      <c r="M107" s="327"/>
      <c r="N107" s="181">
        <f t="shared" si="45"/>
        <v>89.93</v>
      </c>
      <c r="O107" s="323">
        <f t="shared" si="45"/>
        <v>150</v>
      </c>
      <c r="P107" s="316"/>
      <c r="Q107" s="45"/>
      <c r="R107" s="45"/>
      <c r="S107" s="45"/>
      <c r="T107" s="45"/>
      <c r="U107" s="45"/>
      <c r="V107" s="45"/>
      <c r="W107" s="72"/>
      <c r="X107" s="72"/>
      <c r="Y107" s="72"/>
      <c r="Z107" s="72"/>
      <c r="AA107" s="72"/>
      <c r="AB107" s="72"/>
      <c r="AC107" s="72"/>
      <c r="AD107" s="72"/>
      <c r="AE107" s="72"/>
      <c r="AF107" s="72"/>
      <c r="AG107" s="72"/>
      <c r="AH107" s="72"/>
      <c r="AI107" s="72"/>
      <c r="AJ107" s="72"/>
      <c r="AK107" s="72"/>
      <c r="AL107" s="72"/>
      <c r="AM107" s="72"/>
      <c r="AN107" s="72"/>
    </row>
    <row r="108" spans="1:40" x14ac:dyDescent="0.2">
      <c r="A108" s="231"/>
      <c r="B108" s="235"/>
      <c r="C108" s="151">
        <f>A358</f>
        <v>95</v>
      </c>
      <c r="D108" s="152">
        <f>B358</f>
        <v>0</v>
      </c>
      <c r="E108" s="246"/>
      <c r="F108" s="153">
        <f>O358</f>
        <v>95</v>
      </c>
      <c r="G108" s="154">
        <f>P358</f>
        <v>0</v>
      </c>
      <c r="H108" s="150"/>
      <c r="I108" s="233"/>
      <c r="J108" s="317"/>
      <c r="K108" s="326">
        <f t="shared" si="43"/>
        <v>95</v>
      </c>
      <c r="L108" s="323">
        <f t="shared" si="44"/>
        <v>150</v>
      </c>
      <c r="M108" s="327"/>
      <c r="N108" s="181">
        <f t="shared" si="45"/>
        <v>93.06</v>
      </c>
      <c r="O108" s="323">
        <f t="shared" si="45"/>
        <v>150</v>
      </c>
      <c r="P108" s="316"/>
      <c r="Q108" s="45"/>
      <c r="R108" s="45"/>
      <c r="S108" s="45"/>
      <c r="T108" s="45"/>
      <c r="U108" s="45"/>
      <c r="V108" s="45"/>
      <c r="W108" s="72"/>
      <c r="X108" s="72"/>
      <c r="Y108" s="72"/>
      <c r="Z108" s="72"/>
      <c r="AA108" s="72"/>
      <c r="AB108" s="72"/>
      <c r="AC108" s="72"/>
      <c r="AD108" s="72"/>
      <c r="AE108" s="72"/>
      <c r="AF108" s="72"/>
      <c r="AG108" s="72"/>
      <c r="AH108" s="72"/>
      <c r="AI108" s="72"/>
      <c r="AJ108" s="72"/>
      <c r="AK108" s="72"/>
      <c r="AL108" s="72"/>
      <c r="AM108" s="72"/>
      <c r="AN108" s="72"/>
    </row>
    <row r="109" spans="1:40" ht="13.5" thickBot="1" x14ac:dyDescent="0.25">
      <c r="A109" s="238"/>
      <c r="B109" s="239"/>
      <c r="C109" s="155">
        <f>A359</f>
        <v>100</v>
      </c>
      <c r="D109" s="156">
        <f>B359</f>
        <v>0</v>
      </c>
      <c r="E109" s="247"/>
      <c r="F109" s="157">
        <f>O359</f>
        <v>100</v>
      </c>
      <c r="G109" s="158">
        <f>P359</f>
        <v>0</v>
      </c>
      <c r="H109" s="159"/>
      <c r="I109" s="241"/>
      <c r="J109" s="318"/>
      <c r="K109" s="328">
        <f t="shared" si="43"/>
        <v>100</v>
      </c>
      <c r="L109" s="329">
        <f t="shared" si="44"/>
        <v>150</v>
      </c>
      <c r="M109" s="330"/>
      <c r="N109" s="332">
        <f t="shared" si="45"/>
        <v>100</v>
      </c>
      <c r="O109" s="329">
        <f t="shared" si="45"/>
        <v>150</v>
      </c>
      <c r="P109" s="319"/>
      <c r="Q109" s="45"/>
      <c r="R109" s="45"/>
      <c r="S109" s="45"/>
      <c r="T109" s="45"/>
      <c r="U109" s="45"/>
      <c r="V109" s="45"/>
      <c r="W109" s="72"/>
      <c r="X109" s="72"/>
      <c r="Y109" s="72"/>
      <c r="Z109" s="72"/>
      <c r="AA109" s="72"/>
      <c r="AB109" s="72"/>
      <c r="AC109" s="72"/>
      <c r="AD109" s="72"/>
      <c r="AE109" s="72"/>
      <c r="AF109" s="72"/>
      <c r="AG109" s="72"/>
      <c r="AH109" s="72"/>
      <c r="AI109" s="72"/>
      <c r="AJ109" s="72"/>
      <c r="AK109" s="72"/>
      <c r="AL109" s="72"/>
      <c r="AM109" s="72"/>
      <c r="AN109" s="72"/>
    </row>
    <row r="110" spans="1:40" x14ac:dyDescent="0.2">
      <c r="A110" s="277" t="s">
        <v>82</v>
      </c>
      <c r="B110" s="232" t="s">
        <v>31</v>
      </c>
      <c r="C110" s="164">
        <f>A376</f>
        <v>0</v>
      </c>
      <c r="D110" s="165">
        <f>B376</f>
        <v>50</v>
      </c>
      <c r="E110" s="244">
        <f>B373</f>
        <v>60</v>
      </c>
      <c r="F110" s="148">
        <f>O376</f>
        <v>0</v>
      </c>
      <c r="G110" s="149">
        <f>P376</f>
        <v>0</v>
      </c>
      <c r="H110" s="185">
        <f>P373</f>
        <v>60</v>
      </c>
      <c r="I110" s="268"/>
      <c r="J110" s="280"/>
      <c r="K110" s="261"/>
      <c r="L110" s="262"/>
      <c r="M110" s="262"/>
      <c r="N110" s="261"/>
      <c r="O110" s="262"/>
      <c r="P110" s="262"/>
      <c r="Q110" s="45"/>
      <c r="R110" s="45"/>
      <c r="S110" s="45"/>
      <c r="T110" s="45"/>
      <c r="U110" s="45"/>
      <c r="V110" s="45"/>
      <c r="W110" s="72"/>
      <c r="X110" s="72"/>
      <c r="Y110" s="72"/>
      <c r="Z110" s="72"/>
      <c r="AA110" s="72"/>
      <c r="AB110" s="72"/>
      <c r="AC110" s="72"/>
      <c r="AD110" s="72"/>
      <c r="AE110" s="72"/>
      <c r="AF110" s="72"/>
      <c r="AG110" s="72"/>
      <c r="AH110" s="72"/>
      <c r="AI110" s="72"/>
      <c r="AJ110" s="72"/>
      <c r="AK110" s="72"/>
      <c r="AL110" s="72"/>
      <c r="AM110" s="72"/>
      <c r="AN110" s="72"/>
    </row>
    <row r="111" spans="1:40" x14ac:dyDescent="0.2">
      <c r="A111" s="231"/>
      <c r="B111" s="235"/>
      <c r="C111" s="146">
        <f t="shared" ref="C111:C117" si="46">A377</f>
        <v>7.89</v>
      </c>
      <c r="D111" s="147">
        <f t="shared" ref="D111:D117" si="47">B377</f>
        <v>50</v>
      </c>
      <c r="E111" s="236"/>
      <c r="F111" s="148">
        <f t="shared" ref="F111:F117" si="48">O377</f>
        <v>10</v>
      </c>
      <c r="G111" s="149">
        <f t="shared" ref="G111:G117" si="49">P377</f>
        <v>0</v>
      </c>
      <c r="H111" s="150"/>
      <c r="I111" s="268"/>
      <c r="J111" s="268"/>
      <c r="K111" s="261"/>
      <c r="L111" s="262"/>
      <c r="M111" s="268"/>
      <c r="N111" s="261"/>
      <c r="O111" s="262"/>
      <c r="P111" s="279"/>
      <c r="Q111" s="45"/>
      <c r="R111" s="45"/>
      <c r="S111" s="45"/>
      <c r="T111" s="45"/>
      <c r="U111" s="45"/>
      <c r="V111" s="45"/>
      <c r="W111" s="72"/>
      <c r="X111" s="72"/>
      <c r="Y111" s="72"/>
      <c r="Z111" s="72"/>
      <c r="AA111" s="72"/>
      <c r="AB111" s="72"/>
      <c r="AC111" s="72"/>
      <c r="AD111" s="72"/>
      <c r="AE111" s="72"/>
      <c r="AF111" s="72"/>
      <c r="AG111" s="72"/>
      <c r="AH111" s="72"/>
      <c r="AI111" s="72"/>
      <c r="AJ111" s="72"/>
      <c r="AK111" s="72"/>
      <c r="AL111" s="72"/>
      <c r="AM111" s="72"/>
      <c r="AN111" s="72"/>
    </row>
    <row r="112" spans="1:40" x14ac:dyDescent="0.2">
      <c r="A112" s="231"/>
      <c r="B112" s="235"/>
      <c r="C112" s="146">
        <f t="shared" si="46"/>
        <v>20</v>
      </c>
      <c r="D112" s="147">
        <f t="shared" si="47"/>
        <v>50</v>
      </c>
      <c r="E112" s="236"/>
      <c r="F112" s="148">
        <f t="shared" si="48"/>
        <v>20</v>
      </c>
      <c r="G112" s="149">
        <f t="shared" si="49"/>
        <v>0</v>
      </c>
      <c r="H112" s="150"/>
      <c r="I112" s="268"/>
      <c r="J112" s="268"/>
      <c r="K112" s="261"/>
      <c r="L112" s="262"/>
      <c r="M112" s="268"/>
      <c r="N112" s="261"/>
      <c r="O112" s="262"/>
      <c r="P112" s="279"/>
      <c r="Q112" s="45"/>
      <c r="R112" s="45"/>
      <c r="S112" s="45"/>
      <c r="T112" s="45"/>
      <c r="U112" s="45"/>
      <c r="V112" s="45"/>
      <c r="W112" s="72"/>
      <c r="X112" s="72"/>
      <c r="Y112" s="72"/>
      <c r="Z112" s="72"/>
      <c r="AA112" s="72"/>
      <c r="AB112" s="72"/>
      <c r="AC112" s="72"/>
      <c r="AD112" s="72"/>
      <c r="AE112" s="72"/>
      <c r="AF112" s="72"/>
      <c r="AG112" s="72"/>
      <c r="AH112" s="72"/>
      <c r="AI112" s="72"/>
      <c r="AJ112" s="72"/>
      <c r="AK112" s="72"/>
      <c r="AL112" s="72"/>
      <c r="AM112" s="72"/>
      <c r="AN112" s="72"/>
    </row>
    <row r="113" spans="1:40" x14ac:dyDescent="0.2">
      <c r="A113" s="231"/>
      <c r="B113" s="235"/>
      <c r="C113" s="146">
        <f t="shared" si="46"/>
        <v>55.26</v>
      </c>
      <c r="D113" s="147">
        <f t="shared" si="47"/>
        <v>50</v>
      </c>
      <c r="E113" s="236"/>
      <c r="F113" s="148">
        <f t="shared" si="48"/>
        <v>30</v>
      </c>
      <c r="G113" s="149">
        <f t="shared" si="49"/>
        <v>0</v>
      </c>
      <c r="H113" s="150"/>
      <c r="I113" s="268"/>
      <c r="J113" s="268"/>
      <c r="K113" s="261"/>
      <c r="L113" s="262"/>
      <c r="M113" s="268"/>
      <c r="N113" s="261"/>
      <c r="O113" s="281"/>
      <c r="P113" s="279"/>
      <c r="Q113" s="45"/>
      <c r="R113" s="45"/>
      <c r="S113" s="45"/>
      <c r="T113" s="45"/>
      <c r="U113" s="45"/>
      <c r="V113" s="45"/>
      <c r="W113" s="72"/>
      <c r="X113" s="72"/>
      <c r="Y113" s="72"/>
      <c r="Z113" s="72"/>
      <c r="AA113" s="72"/>
      <c r="AB113" s="72"/>
      <c r="AC113" s="72"/>
      <c r="AD113" s="72"/>
      <c r="AE113" s="72"/>
      <c r="AF113" s="72"/>
      <c r="AG113" s="72"/>
      <c r="AH113" s="72"/>
      <c r="AI113" s="72"/>
      <c r="AJ113" s="72"/>
      <c r="AK113" s="72"/>
      <c r="AL113" s="72"/>
      <c r="AM113" s="72"/>
      <c r="AN113" s="72"/>
    </row>
    <row r="114" spans="1:40" x14ac:dyDescent="0.2">
      <c r="A114" s="231"/>
      <c r="B114" s="235"/>
      <c r="C114" s="146">
        <f t="shared" si="46"/>
        <v>60</v>
      </c>
      <c r="D114" s="147">
        <f t="shared" si="47"/>
        <v>50</v>
      </c>
      <c r="E114" s="236"/>
      <c r="F114" s="148">
        <f t="shared" si="48"/>
        <v>40</v>
      </c>
      <c r="G114" s="149">
        <f t="shared" si="49"/>
        <v>0</v>
      </c>
      <c r="H114" s="150"/>
      <c r="I114" s="268"/>
      <c r="J114" s="268"/>
      <c r="K114" s="261"/>
      <c r="L114" s="262"/>
      <c r="M114" s="268"/>
      <c r="N114" s="261"/>
      <c r="O114" s="262"/>
      <c r="P114" s="279"/>
      <c r="Q114" s="45"/>
      <c r="R114" s="45"/>
      <c r="S114" s="45"/>
      <c r="T114" s="45"/>
      <c r="U114" s="45"/>
      <c r="V114" s="45"/>
      <c r="W114" s="72"/>
      <c r="X114" s="72"/>
      <c r="Y114" s="72"/>
      <c r="Z114" s="72"/>
      <c r="AA114" s="72"/>
      <c r="AB114" s="72"/>
      <c r="AC114" s="72"/>
      <c r="AD114" s="72"/>
      <c r="AE114" s="72"/>
      <c r="AF114" s="72"/>
      <c r="AG114" s="72"/>
      <c r="AH114" s="72"/>
      <c r="AI114" s="72"/>
      <c r="AJ114" s="72"/>
      <c r="AK114" s="72"/>
      <c r="AL114" s="72"/>
      <c r="AM114" s="72"/>
      <c r="AN114" s="72"/>
    </row>
    <row r="115" spans="1:40" x14ac:dyDescent="0.2">
      <c r="A115" s="231"/>
      <c r="B115" s="235"/>
      <c r="C115" s="146">
        <f t="shared" si="46"/>
        <v>65</v>
      </c>
      <c r="D115" s="147">
        <f t="shared" si="47"/>
        <v>50</v>
      </c>
      <c r="E115" s="236"/>
      <c r="F115" s="148">
        <f t="shared" si="48"/>
        <v>50</v>
      </c>
      <c r="G115" s="149">
        <f t="shared" si="49"/>
        <v>0</v>
      </c>
      <c r="H115" s="150"/>
      <c r="I115" s="268"/>
      <c r="J115" s="268"/>
      <c r="K115" s="261"/>
      <c r="L115" s="262"/>
      <c r="M115" s="268"/>
      <c r="N115" s="261"/>
      <c r="O115" s="262"/>
      <c r="P115" s="279"/>
      <c r="Q115" s="45"/>
      <c r="R115" s="45"/>
      <c r="S115" s="45"/>
      <c r="T115" s="45"/>
      <c r="U115" s="45"/>
      <c r="V115" s="45"/>
      <c r="W115" s="72"/>
      <c r="X115" s="72"/>
      <c r="Y115" s="72"/>
      <c r="Z115" s="72"/>
      <c r="AA115" s="72"/>
      <c r="AB115" s="72"/>
      <c r="AC115" s="72"/>
      <c r="AD115" s="72"/>
      <c r="AE115" s="72"/>
      <c r="AF115" s="72"/>
      <c r="AG115" s="72"/>
      <c r="AH115" s="72"/>
      <c r="AI115" s="72"/>
      <c r="AJ115" s="72"/>
      <c r="AK115" s="72"/>
      <c r="AL115" s="72"/>
      <c r="AM115" s="72"/>
      <c r="AN115" s="72"/>
    </row>
    <row r="116" spans="1:40" x14ac:dyDescent="0.2">
      <c r="A116" s="248"/>
      <c r="B116" s="249"/>
      <c r="C116" s="146">
        <f t="shared" si="46"/>
        <v>71.05</v>
      </c>
      <c r="D116" s="147">
        <f t="shared" si="47"/>
        <v>50</v>
      </c>
      <c r="E116" s="236"/>
      <c r="F116" s="148">
        <f t="shared" si="48"/>
        <v>66.7</v>
      </c>
      <c r="G116" s="149">
        <f t="shared" si="49"/>
        <v>0</v>
      </c>
      <c r="H116" s="150"/>
      <c r="I116" s="268"/>
      <c r="J116" s="268"/>
      <c r="K116" s="261"/>
      <c r="L116" s="262"/>
      <c r="M116" s="268"/>
      <c r="N116" s="261"/>
      <c r="O116" s="275"/>
      <c r="P116" s="282"/>
      <c r="Q116" s="45"/>
      <c r="R116" s="45"/>
      <c r="S116" s="45"/>
      <c r="T116" s="45"/>
      <c r="U116" s="45"/>
      <c r="V116" s="45"/>
      <c r="W116" s="72"/>
      <c r="X116" s="72"/>
      <c r="Y116" s="72"/>
      <c r="Z116" s="72"/>
      <c r="AA116" s="72"/>
      <c r="AB116" s="72"/>
      <c r="AC116" s="72"/>
      <c r="AD116" s="72"/>
      <c r="AE116" s="72"/>
      <c r="AF116" s="72"/>
      <c r="AG116" s="72"/>
      <c r="AH116" s="72"/>
      <c r="AI116" s="72"/>
      <c r="AJ116" s="72"/>
      <c r="AK116" s="72"/>
      <c r="AL116" s="72"/>
      <c r="AM116" s="72"/>
      <c r="AN116" s="72"/>
    </row>
    <row r="117" spans="1:40" ht="13.5" thickBot="1" x14ac:dyDescent="0.25">
      <c r="A117" s="250"/>
      <c r="B117" s="251"/>
      <c r="C117" s="166">
        <f t="shared" si="46"/>
        <v>100</v>
      </c>
      <c r="D117" s="167">
        <f t="shared" si="47"/>
        <v>50</v>
      </c>
      <c r="E117" s="240"/>
      <c r="F117" s="168">
        <f t="shared" si="48"/>
        <v>100</v>
      </c>
      <c r="G117" s="169">
        <f t="shared" si="49"/>
        <v>0</v>
      </c>
      <c r="H117" s="150"/>
      <c r="I117" s="268"/>
      <c r="J117" s="268"/>
      <c r="K117" s="261"/>
      <c r="L117" s="262"/>
      <c r="M117" s="268"/>
      <c r="N117" s="261"/>
      <c r="O117" s="275"/>
      <c r="P117" s="282"/>
      <c r="Q117" s="45"/>
      <c r="R117" s="45"/>
      <c r="S117" s="45"/>
      <c r="T117" s="45"/>
      <c r="U117" s="45"/>
      <c r="V117" s="45"/>
      <c r="W117" s="72"/>
      <c r="X117" s="72"/>
      <c r="Y117" s="72"/>
      <c r="Z117" s="72"/>
      <c r="AA117" s="72"/>
      <c r="AB117" s="72"/>
      <c r="AC117" s="72"/>
      <c r="AD117" s="72"/>
      <c r="AE117" s="72"/>
      <c r="AF117" s="72"/>
      <c r="AG117" s="72"/>
      <c r="AH117" s="72"/>
      <c r="AI117" s="72"/>
      <c r="AJ117" s="72"/>
      <c r="AK117" s="72"/>
      <c r="AL117" s="72"/>
      <c r="AM117" s="72"/>
      <c r="AN117" s="72"/>
    </row>
    <row r="118" spans="1:40" x14ac:dyDescent="0.2">
      <c r="A118" s="277" t="s">
        <v>83</v>
      </c>
      <c r="B118" s="232" t="s">
        <v>32</v>
      </c>
      <c r="C118" s="164">
        <f>A400</f>
        <v>0</v>
      </c>
      <c r="D118" s="165">
        <f>B400</f>
        <v>0</v>
      </c>
      <c r="E118" s="245">
        <f>B397</f>
        <v>60</v>
      </c>
      <c r="F118" s="160">
        <f>O400</f>
        <v>0</v>
      </c>
      <c r="G118" s="161">
        <f>P400</f>
        <v>75</v>
      </c>
      <c r="H118" s="186">
        <f>P397</f>
        <v>60</v>
      </c>
      <c r="I118" s="268"/>
      <c r="J118" s="280"/>
      <c r="K118" s="261"/>
      <c r="L118" s="262"/>
      <c r="M118" s="262"/>
      <c r="N118" s="261"/>
      <c r="O118" s="275"/>
      <c r="P118" s="275"/>
      <c r="Q118" s="45"/>
      <c r="R118" s="45"/>
      <c r="S118" s="45"/>
      <c r="T118" s="45"/>
      <c r="U118" s="45"/>
      <c r="V118" s="45"/>
      <c r="W118" s="72"/>
      <c r="X118" s="72"/>
      <c r="Y118" s="72"/>
      <c r="Z118" s="72"/>
      <c r="AA118" s="72"/>
      <c r="AB118" s="72"/>
      <c r="AC118" s="72"/>
      <c r="AD118" s="72"/>
      <c r="AE118" s="72"/>
      <c r="AF118" s="72"/>
      <c r="AG118" s="72"/>
      <c r="AH118" s="72"/>
      <c r="AI118" s="72"/>
      <c r="AJ118" s="72"/>
      <c r="AK118" s="72"/>
      <c r="AL118" s="72"/>
      <c r="AM118" s="72"/>
      <c r="AN118" s="72"/>
    </row>
    <row r="119" spans="1:40" x14ac:dyDescent="0.2">
      <c r="A119" s="248"/>
      <c r="B119" s="249"/>
      <c r="C119" s="146">
        <f t="shared" ref="C119:C125" si="50">A401</f>
        <v>7.89</v>
      </c>
      <c r="D119" s="147">
        <f t="shared" ref="D119:D125" si="51">B401</f>
        <v>0</v>
      </c>
      <c r="E119" s="246"/>
      <c r="F119" s="148">
        <f t="shared" ref="F119:F125" si="52">O401</f>
        <v>10</v>
      </c>
      <c r="G119" s="149">
        <f t="shared" ref="G119:G125" si="53">P401</f>
        <v>75</v>
      </c>
      <c r="H119" s="150"/>
      <c r="I119" s="268"/>
      <c r="J119" s="268"/>
      <c r="K119" s="261"/>
      <c r="L119" s="262"/>
      <c r="M119" s="268"/>
      <c r="N119" s="261"/>
      <c r="O119" s="275"/>
      <c r="P119" s="282"/>
      <c r="Q119" s="45"/>
      <c r="R119" s="45"/>
      <c r="S119" s="45"/>
      <c r="T119" s="45"/>
      <c r="U119" s="45"/>
      <c r="V119" s="45"/>
      <c r="W119" s="72"/>
      <c r="X119" s="72"/>
      <c r="Y119" s="72"/>
      <c r="Z119" s="72"/>
      <c r="AA119" s="72"/>
      <c r="AB119" s="72"/>
      <c r="AC119" s="72"/>
      <c r="AD119" s="72"/>
      <c r="AE119" s="72"/>
      <c r="AF119" s="72"/>
      <c r="AG119" s="72"/>
      <c r="AH119" s="72"/>
      <c r="AI119" s="72"/>
      <c r="AJ119" s="72"/>
      <c r="AK119" s="72"/>
      <c r="AL119" s="72"/>
      <c r="AM119" s="72"/>
      <c r="AN119" s="72"/>
    </row>
    <row r="120" spans="1:40" x14ac:dyDescent="0.2">
      <c r="A120" s="248"/>
      <c r="B120" s="249"/>
      <c r="C120" s="146">
        <f t="shared" si="50"/>
        <v>20</v>
      </c>
      <c r="D120" s="147">
        <f t="shared" si="51"/>
        <v>0</v>
      </c>
      <c r="E120" s="246"/>
      <c r="F120" s="148">
        <f t="shared" si="52"/>
        <v>20</v>
      </c>
      <c r="G120" s="149">
        <f t="shared" si="53"/>
        <v>75</v>
      </c>
      <c r="H120" s="150"/>
      <c r="I120" s="268"/>
      <c r="J120" s="268"/>
      <c r="K120" s="261"/>
      <c r="L120" s="262"/>
      <c r="M120" s="268"/>
      <c r="N120" s="261"/>
      <c r="O120" s="275"/>
      <c r="P120" s="282"/>
      <c r="Q120" s="45"/>
      <c r="R120" s="45"/>
      <c r="S120" s="45"/>
      <c r="T120" s="45"/>
      <c r="U120" s="45"/>
      <c r="V120" s="45"/>
      <c r="W120" s="72"/>
      <c r="X120" s="72"/>
      <c r="Y120" s="72"/>
      <c r="Z120" s="72"/>
      <c r="AA120" s="72"/>
      <c r="AB120" s="72"/>
      <c r="AC120" s="72"/>
      <c r="AD120" s="72"/>
      <c r="AE120" s="72"/>
      <c r="AF120" s="72"/>
      <c r="AG120" s="72"/>
      <c r="AH120" s="72"/>
      <c r="AI120" s="72"/>
      <c r="AJ120" s="72"/>
      <c r="AK120" s="72"/>
      <c r="AL120" s="72"/>
      <c r="AM120" s="72"/>
      <c r="AN120" s="72"/>
    </row>
    <row r="121" spans="1:40" x14ac:dyDescent="0.2">
      <c r="A121" s="248"/>
      <c r="B121" s="249"/>
      <c r="C121" s="146">
        <f t="shared" si="50"/>
        <v>55.26</v>
      </c>
      <c r="D121" s="147">
        <f t="shared" si="51"/>
        <v>0</v>
      </c>
      <c r="E121" s="246"/>
      <c r="F121" s="148">
        <f t="shared" si="52"/>
        <v>30</v>
      </c>
      <c r="G121" s="149">
        <f t="shared" si="53"/>
        <v>75</v>
      </c>
      <c r="H121" s="150"/>
      <c r="I121" s="268"/>
      <c r="J121" s="268"/>
      <c r="K121" s="261"/>
      <c r="L121" s="262"/>
      <c r="M121" s="268"/>
      <c r="N121" s="261"/>
      <c r="O121" s="275"/>
      <c r="P121" s="282"/>
      <c r="Q121" s="45"/>
      <c r="R121" s="45"/>
      <c r="S121" s="45"/>
      <c r="T121" s="45"/>
      <c r="U121" s="45"/>
      <c r="V121" s="45"/>
      <c r="W121" s="72"/>
      <c r="X121" s="72"/>
      <c r="Y121" s="72"/>
      <c r="Z121" s="72"/>
      <c r="AA121" s="72"/>
      <c r="AB121" s="72"/>
      <c r="AC121" s="72"/>
      <c r="AD121" s="72"/>
      <c r="AE121" s="72"/>
      <c r="AF121" s="72"/>
      <c r="AG121" s="72"/>
      <c r="AH121" s="72"/>
      <c r="AI121" s="72"/>
      <c r="AJ121" s="72"/>
      <c r="AK121" s="72"/>
      <c r="AL121" s="72"/>
      <c r="AM121" s="72"/>
      <c r="AN121" s="72"/>
    </row>
    <row r="122" spans="1:40" x14ac:dyDescent="0.2">
      <c r="A122" s="231"/>
      <c r="B122" s="235"/>
      <c r="C122" s="146">
        <f t="shared" si="50"/>
        <v>60</v>
      </c>
      <c r="D122" s="147">
        <f t="shared" si="51"/>
        <v>0</v>
      </c>
      <c r="E122" s="246"/>
      <c r="F122" s="148">
        <f t="shared" si="52"/>
        <v>40</v>
      </c>
      <c r="G122" s="149">
        <f t="shared" si="53"/>
        <v>75</v>
      </c>
      <c r="H122" s="150"/>
      <c r="I122" s="268"/>
      <c r="J122" s="268"/>
      <c r="K122" s="261"/>
      <c r="L122" s="262"/>
      <c r="M122" s="268"/>
      <c r="N122" s="261"/>
      <c r="O122" s="262"/>
      <c r="P122" s="279"/>
      <c r="Q122" s="45"/>
      <c r="R122" s="45"/>
      <c r="S122" s="45"/>
      <c r="T122" s="45"/>
      <c r="U122" s="45"/>
      <c r="V122" s="45"/>
      <c r="W122" s="72"/>
      <c r="X122" s="72"/>
      <c r="Y122" s="72"/>
      <c r="Z122" s="72"/>
      <c r="AA122" s="72"/>
      <c r="AB122" s="72"/>
      <c r="AC122" s="72"/>
      <c r="AD122" s="72"/>
      <c r="AE122" s="72"/>
      <c r="AF122" s="72"/>
      <c r="AG122" s="72"/>
      <c r="AH122" s="72"/>
      <c r="AI122" s="72"/>
      <c r="AJ122" s="72"/>
      <c r="AK122" s="72"/>
      <c r="AL122" s="72"/>
      <c r="AM122" s="72"/>
      <c r="AN122" s="72"/>
    </row>
    <row r="123" spans="1:40" x14ac:dyDescent="0.2">
      <c r="A123" s="231"/>
      <c r="B123" s="235"/>
      <c r="C123" s="146">
        <f t="shared" si="50"/>
        <v>65</v>
      </c>
      <c r="D123" s="147">
        <f t="shared" si="51"/>
        <v>0</v>
      </c>
      <c r="E123" s="246"/>
      <c r="F123" s="148">
        <f t="shared" si="52"/>
        <v>50</v>
      </c>
      <c r="G123" s="149">
        <f t="shared" si="53"/>
        <v>75</v>
      </c>
      <c r="H123" s="150"/>
      <c r="I123" s="268"/>
      <c r="J123" s="268"/>
      <c r="K123" s="261"/>
      <c r="L123" s="262"/>
      <c r="M123" s="268"/>
      <c r="N123" s="261"/>
      <c r="O123" s="262"/>
      <c r="P123" s="279"/>
      <c r="Q123" s="45"/>
      <c r="R123" s="45"/>
      <c r="S123" s="45"/>
      <c r="T123" s="45"/>
      <c r="U123" s="45"/>
      <c r="V123" s="45"/>
      <c r="W123" s="72"/>
      <c r="X123" s="72"/>
      <c r="Y123" s="72"/>
      <c r="Z123" s="72"/>
      <c r="AA123" s="72"/>
      <c r="AB123" s="72"/>
      <c r="AC123" s="72"/>
      <c r="AD123" s="72"/>
      <c r="AE123" s="72"/>
      <c r="AF123" s="72"/>
      <c r="AG123" s="72"/>
      <c r="AH123" s="72"/>
      <c r="AI123" s="72"/>
      <c r="AJ123" s="72"/>
      <c r="AK123" s="72"/>
      <c r="AL123" s="72"/>
      <c r="AM123" s="72"/>
      <c r="AN123" s="72"/>
    </row>
    <row r="124" spans="1:40" x14ac:dyDescent="0.2">
      <c r="A124" s="231"/>
      <c r="B124" s="235"/>
      <c r="C124" s="146">
        <f t="shared" si="50"/>
        <v>71.05</v>
      </c>
      <c r="D124" s="147">
        <f t="shared" si="51"/>
        <v>0</v>
      </c>
      <c r="E124" s="246"/>
      <c r="F124" s="148">
        <f t="shared" si="52"/>
        <v>66.7</v>
      </c>
      <c r="G124" s="149">
        <f t="shared" si="53"/>
        <v>75</v>
      </c>
      <c r="H124" s="150"/>
      <c r="I124" s="268"/>
      <c r="J124" s="268"/>
      <c r="K124" s="261"/>
      <c r="L124" s="262"/>
      <c r="M124" s="268"/>
      <c r="N124" s="261"/>
      <c r="O124" s="262"/>
      <c r="P124" s="279"/>
      <c r="Q124" s="45"/>
      <c r="R124" s="45"/>
      <c r="S124" s="45"/>
      <c r="T124" s="45"/>
      <c r="U124" s="45"/>
      <c r="V124" s="45"/>
      <c r="W124" s="72"/>
      <c r="X124" s="72"/>
      <c r="Y124" s="72"/>
      <c r="Z124" s="72"/>
      <c r="AA124" s="72"/>
      <c r="AB124" s="72"/>
      <c r="AC124" s="72"/>
      <c r="AD124" s="72"/>
      <c r="AE124" s="72"/>
      <c r="AF124" s="72"/>
      <c r="AG124" s="72"/>
      <c r="AH124" s="72"/>
      <c r="AI124" s="72"/>
      <c r="AJ124" s="72"/>
      <c r="AK124" s="72"/>
      <c r="AL124" s="72"/>
      <c r="AM124" s="72"/>
      <c r="AN124" s="72"/>
    </row>
    <row r="125" spans="1:40" ht="13.5" thickBot="1" x14ac:dyDescent="0.25">
      <c r="A125" s="238"/>
      <c r="B125" s="239"/>
      <c r="C125" s="166">
        <f t="shared" si="50"/>
        <v>100</v>
      </c>
      <c r="D125" s="167">
        <f t="shared" si="51"/>
        <v>0</v>
      </c>
      <c r="E125" s="247"/>
      <c r="F125" s="170">
        <f t="shared" si="52"/>
        <v>100</v>
      </c>
      <c r="G125" s="171">
        <f t="shared" si="53"/>
        <v>75</v>
      </c>
      <c r="H125" s="159"/>
      <c r="I125" s="268"/>
      <c r="J125" s="268"/>
      <c r="K125" s="261"/>
      <c r="L125" s="262"/>
      <c r="M125" s="268"/>
      <c r="N125" s="261"/>
      <c r="O125" s="262"/>
      <c r="P125" s="279"/>
      <c r="Q125" s="45"/>
      <c r="R125" s="45"/>
      <c r="S125" s="45"/>
      <c r="T125" s="45"/>
      <c r="U125" s="45"/>
      <c r="V125" s="45"/>
      <c r="W125" s="72"/>
      <c r="X125" s="72"/>
      <c r="Y125" s="72"/>
      <c r="Z125" s="72"/>
      <c r="AA125" s="72"/>
      <c r="AB125" s="72"/>
      <c r="AC125" s="72"/>
      <c r="AD125" s="72"/>
      <c r="AE125" s="72"/>
      <c r="AF125" s="72"/>
      <c r="AG125" s="72"/>
      <c r="AH125" s="72"/>
      <c r="AI125" s="72"/>
      <c r="AJ125" s="72"/>
      <c r="AK125" s="72"/>
      <c r="AL125" s="72"/>
      <c r="AM125" s="72"/>
      <c r="AN125" s="72"/>
    </row>
    <row r="126" spans="1:40" x14ac:dyDescent="0.2">
      <c r="A126" s="277" t="s">
        <v>84</v>
      </c>
      <c r="B126" s="232" t="s">
        <v>33</v>
      </c>
      <c r="C126" s="164">
        <f>A424</f>
        <v>0</v>
      </c>
      <c r="D126" s="165">
        <f>B424</f>
        <v>100</v>
      </c>
      <c r="E126" s="244">
        <f>B421</f>
        <v>60</v>
      </c>
      <c r="F126" s="148">
        <f>O424</f>
        <v>0</v>
      </c>
      <c r="G126" s="149">
        <f>P424</f>
        <v>0</v>
      </c>
      <c r="H126" s="185">
        <f>P421</f>
        <v>60</v>
      </c>
      <c r="I126" s="268"/>
      <c r="J126" s="280"/>
      <c r="K126" s="261"/>
      <c r="L126" s="262"/>
      <c r="M126" s="262"/>
      <c r="N126" s="261"/>
      <c r="O126" s="262"/>
      <c r="P126" s="262"/>
      <c r="Q126" s="45"/>
      <c r="R126" s="45"/>
      <c r="S126" s="45"/>
      <c r="T126" s="45"/>
      <c r="U126" s="45"/>
      <c r="V126" s="45"/>
      <c r="W126" s="72"/>
      <c r="X126" s="72"/>
      <c r="Y126" s="72"/>
      <c r="Z126" s="72"/>
      <c r="AA126" s="72"/>
      <c r="AB126" s="72"/>
      <c r="AC126" s="72"/>
      <c r="AD126" s="72"/>
      <c r="AE126" s="72"/>
      <c r="AF126" s="72"/>
      <c r="AG126" s="72"/>
      <c r="AH126" s="72"/>
      <c r="AI126" s="72"/>
      <c r="AJ126" s="72"/>
      <c r="AK126" s="72"/>
      <c r="AL126" s="72"/>
      <c r="AM126" s="72"/>
      <c r="AN126" s="72"/>
    </row>
    <row r="127" spans="1:40" x14ac:dyDescent="0.2">
      <c r="A127" s="231"/>
      <c r="B127" s="235"/>
      <c r="C127" s="146">
        <f t="shared" ref="C127:C133" si="54">A425</f>
        <v>7.89</v>
      </c>
      <c r="D127" s="147">
        <f t="shared" ref="D127:D133" si="55">B425</f>
        <v>100</v>
      </c>
      <c r="E127" s="236"/>
      <c r="F127" s="148">
        <f t="shared" ref="F127:F133" si="56">O425</f>
        <v>10</v>
      </c>
      <c r="G127" s="149">
        <f t="shared" ref="G127:G133" si="57">P425</f>
        <v>0</v>
      </c>
      <c r="H127" s="150"/>
      <c r="I127" s="268"/>
      <c r="J127" s="268"/>
      <c r="K127" s="261"/>
      <c r="L127" s="262"/>
      <c r="M127" s="268"/>
      <c r="N127" s="261"/>
      <c r="O127" s="262"/>
      <c r="P127" s="279"/>
      <c r="Q127" s="45"/>
      <c r="R127" s="45"/>
      <c r="S127" s="45"/>
      <c r="T127" s="45"/>
      <c r="U127" s="45"/>
      <c r="V127" s="45"/>
      <c r="W127" s="72"/>
      <c r="X127" s="72"/>
      <c r="Y127" s="72"/>
      <c r="Z127" s="72"/>
      <c r="AA127" s="72"/>
      <c r="AB127" s="72"/>
      <c r="AC127" s="72"/>
      <c r="AD127" s="72"/>
      <c r="AE127" s="72"/>
      <c r="AF127" s="72"/>
      <c r="AG127" s="72"/>
      <c r="AH127" s="72"/>
      <c r="AI127" s="72"/>
      <c r="AJ127" s="72"/>
      <c r="AK127" s="72"/>
      <c r="AL127" s="72"/>
      <c r="AM127" s="72"/>
      <c r="AN127" s="72"/>
    </row>
    <row r="128" spans="1:40" x14ac:dyDescent="0.2">
      <c r="A128" s="231"/>
      <c r="B128" s="235"/>
      <c r="C128" s="146">
        <f t="shared" si="54"/>
        <v>20</v>
      </c>
      <c r="D128" s="147">
        <f t="shared" si="55"/>
        <v>100</v>
      </c>
      <c r="E128" s="236"/>
      <c r="F128" s="148">
        <f t="shared" si="56"/>
        <v>20</v>
      </c>
      <c r="G128" s="149">
        <f t="shared" si="57"/>
        <v>0</v>
      </c>
      <c r="H128" s="150"/>
      <c r="I128" s="268"/>
      <c r="J128" s="268"/>
      <c r="K128" s="261"/>
      <c r="L128" s="262"/>
      <c r="M128" s="268"/>
      <c r="N128" s="261"/>
      <c r="O128" s="262"/>
      <c r="P128" s="279"/>
      <c r="Q128" s="45"/>
      <c r="R128" s="45"/>
      <c r="S128" s="45"/>
      <c r="T128" s="45"/>
      <c r="U128" s="45"/>
      <c r="V128" s="45"/>
      <c r="W128" s="72"/>
      <c r="X128" s="72"/>
      <c r="Y128" s="72"/>
      <c r="Z128" s="72"/>
      <c r="AA128" s="72"/>
      <c r="AB128" s="72"/>
      <c r="AC128" s="72"/>
      <c r="AD128" s="72"/>
      <c r="AE128" s="72"/>
      <c r="AF128" s="72"/>
      <c r="AG128" s="72"/>
      <c r="AH128" s="72"/>
      <c r="AI128" s="72"/>
      <c r="AJ128" s="72"/>
      <c r="AK128" s="72"/>
      <c r="AL128" s="72"/>
      <c r="AM128" s="72"/>
      <c r="AN128" s="72"/>
    </row>
    <row r="129" spans="1:40" x14ac:dyDescent="0.2">
      <c r="A129" s="231"/>
      <c r="B129" s="235"/>
      <c r="C129" s="146">
        <f t="shared" si="54"/>
        <v>55.26</v>
      </c>
      <c r="D129" s="147">
        <f t="shared" si="55"/>
        <v>100</v>
      </c>
      <c r="E129" s="236"/>
      <c r="F129" s="148">
        <f t="shared" si="56"/>
        <v>30</v>
      </c>
      <c r="G129" s="149">
        <f t="shared" si="57"/>
        <v>0</v>
      </c>
      <c r="H129" s="150"/>
      <c r="I129" s="268"/>
      <c r="J129" s="268"/>
      <c r="K129" s="261"/>
      <c r="L129" s="262"/>
      <c r="M129" s="268"/>
      <c r="N129" s="261"/>
      <c r="O129" s="262"/>
      <c r="P129" s="279"/>
      <c r="Q129" s="45"/>
      <c r="R129" s="45"/>
      <c r="S129" s="45"/>
      <c r="T129" s="45"/>
      <c r="U129" s="45"/>
      <c r="V129" s="45"/>
      <c r="W129" s="72"/>
      <c r="X129" s="72"/>
      <c r="Y129" s="72"/>
      <c r="Z129" s="72"/>
      <c r="AA129" s="72"/>
      <c r="AB129" s="72"/>
      <c r="AC129" s="72"/>
      <c r="AD129" s="72"/>
      <c r="AE129" s="72"/>
      <c r="AF129" s="72"/>
      <c r="AG129" s="72"/>
      <c r="AH129" s="72"/>
      <c r="AI129" s="72"/>
      <c r="AJ129" s="72"/>
      <c r="AK129" s="72"/>
      <c r="AL129" s="72"/>
      <c r="AM129" s="72"/>
      <c r="AN129" s="72"/>
    </row>
    <row r="130" spans="1:40" x14ac:dyDescent="0.2">
      <c r="A130" s="231"/>
      <c r="B130" s="235"/>
      <c r="C130" s="146">
        <f t="shared" si="54"/>
        <v>60</v>
      </c>
      <c r="D130" s="147">
        <f t="shared" si="55"/>
        <v>100</v>
      </c>
      <c r="E130" s="236"/>
      <c r="F130" s="148">
        <f t="shared" si="56"/>
        <v>40</v>
      </c>
      <c r="G130" s="149">
        <f t="shared" si="57"/>
        <v>0</v>
      </c>
      <c r="H130" s="150"/>
      <c r="I130" s="268"/>
      <c r="J130" s="268"/>
      <c r="K130" s="261"/>
      <c r="L130" s="262"/>
      <c r="M130" s="268"/>
      <c r="N130" s="261"/>
      <c r="O130" s="262"/>
      <c r="P130" s="279"/>
      <c r="Q130" s="45"/>
      <c r="R130" s="45"/>
      <c r="S130" s="45"/>
      <c r="T130" s="45"/>
      <c r="U130" s="45"/>
      <c r="V130" s="45"/>
      <c r="W130" s="72"/>
      <c r="X130" s="72"/>
      <c r="Y130" s="72"/>
      <c r="Z130" s="72"/>
      <c r="AA130" s="72"/>
      <c r="AB130" s="72"/>
      <c r="AC130" s="72"/>
      <c r="AD130" s="72"/>
      <c r="AE130" s="72"/>
      <c r="AF130" s="72"/>
      <c r="AG130" s="72"/>
      <c r="AH130" s="72"/>
      <c r="AI130" s="72"/>
      <c r="AJ130" s="72"/>
      <c r="AK130" s="72"/>
      <c r="AL130" s="72"/>
      <c r="AM130" s="72"/>
      <c r="AN130" s="72"/>
    </row>
    <row r="131" spans="1:40" x14ac:dyDescent="0.2">
      <c r="A131" s="231"/>
      <c r="B131" s="235"/>
      <c r="C131" s="146">
        <f t="shared" si="54"/>
        <v>65</v>
      </c>
      <c r="D131" s="147">
        <f t="shared" si="55"/>
        <v>100</v>
      </c>
      <c r="E131" s="236"/>
      <c r="F131" s="148">
        <f t="shared" si="56"/>
        <v>50</v>
      </c>
      <c r="G131" s="149">
        <f t="shared" si="57"/>
        <v>0</v>
      </c>
      <c r="H131" s="150"/>
      <c r="I131" s="268"/>
      <c r="J131" s="268"/>
      <c r="K131" s="261"/>
      <c r="L131" s="262"/>
      <c r="M131" s="268"/>
      <c r="N131" s="261"/>
      <c r="O131" s="262"/>
      <c r="P131" s="279"/>
      <c r="Q131" s="45"/>
      <c r="R131" s="45"/>
      <c r="S131" s="45"/>
      <c r="T131" s="45"/>
      <c r="U131" s="45"/>
      <c r="V131" s="45"/>
      <c r="W131" s="72"/>
      <c r="X131" s="72"/>
      <c r="Y131" s="72"/>
      <c r="Z131" s="72"/>
      <c r="AA131" s="72"/>
      <c r="AB131" s="72"/>
      <c r="AC131" s="72"/>
      <c r="AD131" s="72"/>
      <c r="AE131" s="72"/>
      <c r="AF131" s="72"/>
      <c r="AG131" s="72"/>
      <c r="AH131" s="72"/>
      <c r="AI131" s="72"/>
      <c r="AJ131" s="72"/>
      <c r="AK131" s="72"/>
      <c r="AL131" s="72"/>
      <c r="AM131" s="72"/>
      <c r="AN131" s="72"/>
    </row>
    <row r="132" spans="1:40" x14ac:dyDescent="0.2">
      <c r="A132" s="231"/>
      <c r="B132" s="235"/>
      <c r="C132" s="146">
        <f t="shared" si="54"/>
        <v>71.05</v>
      </c>
      <c r="D132" s="147">
        <f t="shared" si="55"/>
        <v>100</v>
      </c>
      <c r="E132" s="236"/>
      <c r="F132" s="148">
        <f t="shared" si="56"/>
        <v>66.7</v>
      </c>
      <c r="G132" s="149">
        <f t="shared" si="57"/>
        <v>0</v>
      </c>
      <c r="H132" s="150"/>
      <c r="I132" s="268"/>
      <c r="J132" s="268"/>
      <c r="K132" s="261"/>
      <c r="L132" s="262"/>
      <c r="M132" s="268"/>
      <c r="N132" s="261"/>
      <c r="O132" s="262"/>
      <c r="P132" s="279"/>
      <c r="Q132" s="45"/>
      <c r="R132" s="45"/>
      <c r="S132" s="45"/>
      <c r="T132" s="45"/>
      <c r="U132" s="45"/>
      <c r="V132" s="45"/>
      <c r="W132" s="72"/>
      <c r="X132" s="72"/>
      <c r="Y132" s="72"/>
      <c r="Z132" s="72"/>
      <c r="AA132" s="72"/>
      <c r="AB132" s="72"/>
      <c r="AC132" s="72"/>
      <c r="AD132" s="72"/>
      <c r="AE132" s="72"/>
      <c r="AF132" s="72"/>
      <c r="AG132" s="72"/>
      <c r="AH132" s="72"/>
      <c r="AI132" s="72"/>
      <c r="AJ132" s="72"/>
      <c r="AK132" s="72"/>
      <c r="AL132" s="72"/>
      <c r="AM132" s="72"/>
      <c r="AN132" s="72"/>
    </row>
    <row r="133" spans="1:40" ht="13.5" thickBot="1" x14ac:dyDescent="0.25">
      <c r="A133" s="238"/>
      <c r="B133" s="239"/>
      <c r="C133" s="166">
        <f t="shared" si="54"/>
        <v>100</v>
      </c>
      <c r="D133" s="167">
        <f t="shared" si="55"/>
        <v>100</v>
      </c>
      <c r="E133" s="240"/>
      <c r="F133" s="168">
        <f t="shared" si="56"/>
        <v>100</v>
      </c>
      <c r="G133" s="169">
        <f t="shared" si="57"/>
        <v>0</v>
      </c>
      <c r="H133" s="150"/>
      <c r="I133" s="268"/>
      <c r="J133" s="268"/>
      <c r="K133" s="261"/>
      <c r="L133" s="262"/>
      <c r="M133" s="268"/>
      <c r="N133" s="261"/>
      <c r="O133" s="281"/>
      <c r="P133" s="279"/>
      <c r="Q133" s="45"/>
      <c r="R133" s="45"/>
      <c r="S133" s="45"/>
      <c r="T133" s="45"/>
      <c r="U133" s="45"/>
      <c r="V133" s="45"/>
      <c r="W133" s="72"/>
      <c r="X133" s="72"/>
      <c r="Y133" s="72"/>
      <c r="Z133" s="72"/>
      <c r="AA133" s="72"/>
      <c r="AB133" s="72"/>
      <c r="AC133" s="72"/>
      <c r="AD133" s="72"/>
      <c r="AE133" s="72"/>
      <c r="AF133" s="72"/>
      <c r="AG133" s="72"/>
      <c r="AH133" s="72"/>
      <c r="AI133" s="72"/>
      <c r="AJ133" s="72"/>
      <c r="AK133" s="72"/>
      <c r="AL133" s="72"/>
      <c r="AM133" s="72"/>
      <c r="AN133" s="72"/>
    </row>
    <row r="134" spans="1:40" x14ac:dyDescent="0.2">
      <c r="A134" s="277" t="s">
        <v>85</v>
      </c>
      <c r="B134" s="232" t="s">
        <v>34</v>
      </c>
      <c r="C134" s="164">
        <f>A448</f>
        <v>0</v>
      </c>
      <c r="D134" s="165">
        <f>B448</f>
        <v>0</v>
      </c>
      <c r="E134" s="245">
        <f>B445</f>
        <v>60</v>
      </c>
      <c r="F134" s="160">
        <f>O448</f>
        <v>0</v>
      </c>
      <c r="G134" s="161">
        <f>P448</f>
        <v>125</v>
      </c>
      <c r="H134" s="186">
        <f>P445</f>
        <v>60</v>
      </c>
      <c r="I134" s="268"/>
      <c r="J134" s="280"/>
      <c r="K134" s="261"/>
      <c r="L134" s="262"/>
      <c r="M134" s="262"/>
      <c r="N134" s="261"/>
      <c r="O134" s="262"/>
      <c r="P134" s="262"/>
      <c r="Q134" s="45"/>
      <c r="R134" s="45"/>
      <c r="S134" s="45"/>
      <c r="T134" s="45"/>
      <c r="U134" s="45"/>
      <c r="V134" s="45"/>
      <c r="W134" s="72"/>
      <c r="X134" s="72"/>
      <c r="Y134" s="72"/>
      <c r="Z134" s="72"/>
      <c r="AA134" s="72"/>
      <c r="AB134" s="72"/>
      <c r="AC134" s="72"/>
      <c r="AD134" s="72"/>
      <c r="AE134" s="72"/>
      <c r="AF134" s="72"/>
      <c r="AG134" s="72"/>
      <c r="AH134" s="72"/>
      <c r="AI134" s="72"/>
      <c r="AJ134" s="72"/>
      <c r="AK134" s="72"/>
      <c r="AL134" s="72"/>
      <c r="AM134" s="72"/>
      <c r="AN134" s="72"/>
    </row>
    <row r="135" spans="1:40" x14ac:dyDescent="0.2">
      <c r="A135" s="231"/>
      <c r="B135" s="235"/>
      <c r="C135" s="146">
        <f t="shared" ref="C135:C141" si="58">A449</f>
        <v>7.89</v>
      </c>
      <c r="D135" s="147">
        <f t="shared" ref="D135:D141" si="59">B449</f>
        <v>0</v>
      </c>
      <c r="E135" s="246"/>
      <c r="F135" s="148">
        <f t="shared" ref="F135:F141" si="60">O449</f>
        <v>10</v>
      </c>
      <c r="G135" s="149">
        <f t="shared" ref="G135:G141" si="61">P449</f>
        <v>125</v>
      </c>
      <c r="H135" s="150"/>
      <c r="I135" s="268"/>
      <c r="J135" s="268"/>
      <c r="K135" s="261"/>
      <c r="L135" s="262"/>
      <c r="M135" s="268"/>
      <c r="N135" s="261"/>
      <c r="O135" s="262"/>
      <c r="P135" s="279"/>
      <c r="Q135" s="45"/>
      <c r="R135" s="45"/>
      <c r="S135" s="45"/>
      <c r="T135" s="45"/>
      <c r="U135" s="45"/>
      <c r="V135" s="45"/>
      <c r="W135" s="72"/>
      <c r="X135" s="72"/>
      <c r="Y135" s="72"/>
      <c r="Z135" s="72"/>
      <c r="AA135" s="72"/>
      <c r="AB135" s="72"/>
      <c r="AC135" s="72"/>
      <c r="AD135" s="72"/>
      <c r="AE135" s="72"/>
      <c r="AF135" s="72"/>
      <c r="AG135" s="72"/>
      <c r="AH135" s="72"/>
      <c r="AI135" s="72"/>
      <c r="AJ135" s="72"/>
      <c r="AK135" s="72"/>
      <c r="AL135" s="72"/>
      <c r="AM135" s="72"/>
      <c r="AN135" s="72"/>
    </row>
    <row r="136" spans="1:40" x14ac:dyDescent="0.2">
      <c r="A136" s="248"/>
      <c r="B136" s="249"/>
      <c r="C136" s="146">
        <f t="shared" si="58"/>
        <v>20</v>
      </c>
      <c r="D136" s="147">
        <f t="shared" si="59"/>
        <v>0</v>
      </c>
      <c r="E136" s="246"/>
      <c r="F136" s="148">
        <f t="shared" si="60"/>
        <v>20</v>
      </c>
      <c r="G136" s="149">
        <f t="shared" si="61"/>
        <v>125</v>
      </c>
      <c r="H136" s="150"/>
      <c r="I136" s="268"/>
      <c r="J136" s="268"/>
      <c r="K136" s="261"/>
      <c r="L136" s="262"/>
      <c r="M136" s="268"/>
      <c r="N136" s="261"/>
      <c r="O136" s="275"/>
      <c r="P136" s="282"/>
      <c r="Q136" s="45"/>
      <c r="R136" s="45"/>
      <c r="S136" s="45"/>
      <c r="T136" s="45"/>
      <c r="U136" s="45"/>
      <c r="V136" s="45"/>
      <c r="W136" s="72"/>
      <c r="X136" s="72"/>
      <c r="Y136" s="72"/>
      <c r="Z136" s="72"/>
      <c r="AA136" s="72"/>
      <c r="AB136" s="72"/>
      <c r="AC136" s="72"/>
      <c r="AD136" s="72"/>
      <c r="AE136" s="72"/>
      <c r="AF136" s="72"/>
      <c r="AG136" s="72"/>
      <c r="AH136" s="72"/>
      <c r="AI136" s="72"/>
      <c r="AJ136" s="72"/>
      <c r="AK136" s="72"/>
      <c r="AL136" s="72"/>
      <c r="AM136" s="72"/>
      <c r="AN136" s="72"/>
    </row>
    <row r="137" spans="1:40" x14ac:dyDescent="0.2">
      <c r="A137" s="248"/>
      <c r="B137" s="249"/>
      <c r="C137" s="146">
        <f t="shared" si="58"/>
        <v>55.26</v>
      </c>
      <c r="D137" s="147">
        <f t="shared" si="59"/>
        <v>0</v>
      </c>
      <c r="E137" s="246"/>
      <c r="F137" s="148">
        <f t="shared" si="60"/>
        <v>30</v>
      </c>
      <c r="G137" s="149">
        <f t="shared" si="61"/>
        <v>125</v>
      </c>
      <c r="H137" s="150"/>
      <c r="I137" s="268"/>
      <c r="J137" s="268"/>
      <c r="K137" s="261"/>
      <c r="L137" s="262"/>
      <c r="M137" s="268"/>
      <c r="N137" s="261"/>
      <c r="O137" s="275"/>
      <c r="P137" s="282"/>
      <c r="Q137" s="45"/>
      <c r="R137" s="45"/>
      <c r="S137" s="45"/>
      <c r="T137" s="45"/>
      <c r="U137" s="45"/>
      <c r="V137" s="45"/>
      <c r="W137" s="72"/>
      <c r="X137" s="72"/>
      <c r="Y137" s="72"/>
      <c r="Z137" s="72"/>
      <c r="AA137" s="72"/>
      <c r="AB137" s="72"/>
      <c r="AC137" s="72"/>
      <c r="AD137" s="72"/>
      <c r="AE137" s="72"/>
      <c r="AF137" s="72"/>
      <c r="AG137" s="72"/>
      <c r="AH137" s="72"/>
      <c r="AI137" s="72"/>
      <c r="AJ137" s="72"/>
      <c r="AK137" s="72"/>
      <c r="AL137" s="72"/>
      <c r="AM137" s="72"/>
      <c r="AN137" s="72"/>
    </row>
    <row r="138" spans="1:40" x14ac:dyDescent="0.2">
      <c r="A138" s="248"/>
      <c r="B138" s="249"/>
      <c r="C138" s="146">
        <f t="shared" si="58"/>
        <v>60</v>
      </c>
      <c r="D138" s="147">
        <f t="shared" si="59"/>
        <v>0</v>
      </c>
      <c r="E138" s="246"/>
      <c r="F138" s="148">
        <f t="shared" si="60"/>
        <v>40</v>
      </c>
      <c r="G138" s="149">
        <f t="shared" si="61"/>
        <v>125</v>
      </c>
      <c r="H138" s="150"/>
      <c r="I138" s="268"/>
      <c r="J138" s="268"/>
      <c r="K138" s="261"/>
      <c r="L138" s="262"/>
      <c r="M138" s="268"/>
      <c r="N138" s="261"/>
      <c r="O138" s="275"/>
      <c r="P138" s="282"/>
      <c r="Q138" s="45"/>
      <c r="R138" s="45"/>
      <c r="S138" s="45"/>
      <c r="T138" s="45"/>
      <c r="U138" s="45"/>
      <c r="V138" s="45"/>
      <c r="W138" s="72"/>
      <c r="X138" s="72"/>
      <c r="Y138" s="72"/>
      <c r="Z138" s="72"/>
      <c r="AA138" s="72"/>
      <c r="AB138" s="72"/>
      <c r="AC138" s="72"/>
      <c r="AD138" s="72"/>
      <c r="AE138" s="72"/>
      <c r="AF138" s="72"/>
      <c r="AG138" s="72"/>
      <c r="AH138" s="72"/>
      <c r="AI138" s="72"/>
      <c r="AJ138" s="72"/>
      <c r="AK138" s="72"/>
      <c r="AL138" s="72"/>
      <c r="AM138" s="72"/>
      <c r="AN138" s="72"/>
    </row>
    <row r="139" spans="1:40" x14ac:dyDescent="0.2">
      <c r="A139" s="248"/>
      <c r="B139" s="249"/>
      <c r="C139" s="146">
        <f t="shared" si="58"/>
        <v>65</v>
      </c>
      <c r="D139" s="147">
        <f t="shared" si="59"/>
        <v>0</v>
      </c>
      <c r="E139" s="246"/>
      <c r="F139" s="148">
        <f t="shared" si="60"/>
        <v>50</v>
      </c>
      <c r="G139" s="149">
        <f t="shared" si="61"/>
        <v>125</v>
      </c>
      <c r="H139" s="150"/>
      <c r="I139" s="268"/>
      <c r="J139" s="268"/>
      <c r="K139" s="261"/>
      <c r="L139" s="262"/>
      <c r="M139" s="268"/>
      <c r="N139" s="261"/>
      <c r="O139" s="275"/>
      <c r="P139" s="282"/>
      <c r="Q139" s="45"/>
      <c r="R139" s="45"/>
      <c r="S139" s="45"/>
      <c r="T139" s="45"/>
      <c r="U139" s="45"/>
      <c r="V139" s="45"/>
      <c r="W139" s="72"/>
      <c r="X139" s="72"/>
      <c r="Y139" s="72"/>
      <c r="Z139" s="72"/>
      <c r="AA139" s="72"/>
      <c r="AB139" s="72"/>
      <c r="AC139" s="72"/>
      <c r="AD139" s="72"/>
      <c r="AE139" s="72"/>
      <c r="AF139" s="72"/>
      <c r="AG139" s="72"/>
      <c r="AH139" s="72"/>
      <c r="AI139" s="72"/>
      <c r="AJ139" s="72"/>
      <c r="AK139" s="72"/>
      <c r="AL139" s="72"/>
      <c r="AM139" s="72"/>
      <c r="AN139" s="72"/>
    </row>
    <row r="140" spans="1:40" x14ac:dyDescent="0.2">
      <c r="A140" s="248"/>
      <c r="B140" s="249"/>
      <c r="C140" s="146">
        <f t="shared" si="58"/>
        <v>71.05</v>
      </c>
      <c r="D140" s="147">
        <f t="shared" si="59"/>
        <v>0</v>
      </c>
      <c r="E140" s="246"/>
      <c r="F140" s="148">
        <f t="shared" si="60"/>
        <v>66.7</v>
      </c>
      <c r="G140" s="149">
        <f t="shared" si="61"/>
        <v>125</v>
      </c>
      <c r="H140" s="150"/>
      <c r="I140" s="268"/>
      <c r="J140" s="268"/>
      <c r="K140" s="261"/>
      <c r="L140" s="262"/>
      <c r="M140" s="268"/>
      <c r="N140" s="261"/>
      <c r="O140" s="275"/>
      <c r="P140" s="282"/>
      <c r="Q140" s="45"/>
      <c r="R140" s="45"/>
      <c r="S140" s="45"/>
      <c r="T140" s="45"/>
      <c r="U140" s="45"/>
      <c r="V140" s="45"/>
      <c r="W140" s="72"/>
      <c r="X140" s="72"/>
      <c r="Y140" s="72"/>
      <c r="Z140" s="72"/>
      <c r="AA140" s="72"/>
      <c r="AB140" s="72"/>
      <c r="AC140" s="72"/>
      <c r="AD140" s="72"/>
      <c r="AE140" s="72"/>
      <c r="AF140" s="72"/>
      <c r="AG140" s="72"/>
      <c r="AH140" s="72"/>
      <c r="AI140" s="72"/>
      <c r="AJ140" s="72"/>
      <c r="AK140" s="72"/>
      <c r="AL140" s="72"/>
      <c r="AM140" s="72"/>
      <c r="AN140" s="72"/>
    </row>
    <row r="141" spans="1:40" ht="13.5" thickBot="1" x14ac:dyDescent="0.25">
      <c r="A141" s="250"/>
      <c r="B141" s="251"/>
      <c r="C141" s="166">
        <f t="shared" si="58"/>
        <v>100</v>
      </c>
      <c r="D141" s="167">
        <f t="shared" si="59"/>
        <v>0</v>
      </c>
      <c r="E141" s="247"/>
      <c r="F141" s="170">
        <f t="shared" si="60"/>
        <v>100</v>
      </c>
      <c r="G141" s="171">
        <f t="shared" si="61"/>
        <v>125</v>
      </c>
      <c r="H141" s="159"/>
      <c r="I141" s="268"/>
      <c r="J141" s="268"/>
      <c r="K141" s="261"/>
      <c r="L141" s="262"/>
      <c r="M141" s="268"/>
      <c r="N141" s="261"/>
      <c r="O141" s="275"/>
      <c r="P141" s="282"/>
      <c r="Q141" s="45"/>
      <c r="R141" s="45"/>
      <c r="S141" s="45"/>
      <c r="T141" s="45"/>
      <c r="U141" s="45"/>
      <c r="V141" s="45"/>
      <c r="W141" s="72"/>
      <c r="X141" s="72"/>
      <c r="Y141" s="72"/>
      <c r="Z141" s="72"/>
      <c r="AA141" s="72"/>
      <c r="AB141" s="72"/>
      <c r="AC141" s="72"/>
      <c r="AD141" s="72"/>
      <c r="AE141" s="72"/>
      <c r="AF141" s="72"/>
      <c r="AG141" s="72"/>
      <c r="AH141" s="72"/>
      <c r="AI141" s="72"/>
      <c r="AJ141" s="72"/>
      <c r="AK141" s="72"/>
      <c r="AL141" s="72"/>
      <c r="AM141" s="72"/>
      <c r="AN141" s="72"/>
    </row>
    <row r="142" spans="1:40" x14ac:dyDescent="0.2">
      <c r="A142" s="278" t="s">
        <v>86</v>
      </c>
      <c r="B142" s="243" t="s">
        <v>35</v>
      </c>
      <c r="C142" s="164">
        <f>A473</f>
        <v>0</v>
      </c>
      <c r="D142" s="343">
        <f>B473</f>
        <v>150</v>
      </c>
      <c r="E142" s="245">
        <f>B470</f>
        <v>60</v>
      </c>
      <c r="F142" s="160">
        <f>O473</f>
        <v>0</v>
      </c>
      <c r="G142" s="161">
        <f>P473</f>
        <v>150</v>
      </c>
      <c r="H142" s="186">
        <f>P470</f>
        <v>60</v>
      </c>
      <c r="I142" s="73">
        <f>I109</f>
        <v>0</v>
      </c>
      <c r="J142" s="73">
        <v>0</v>
      </c>
      <c r="K142" s="78"/>
      <c r="L142" s="73">
        <f>L109</f>
        <v>150</v>
      </c>
      <c r="M142" s="73">
        <v>0</v>
      </c>
      <c r="N142" s="73"/>
      <c r="O142" s="73"/>
      <c r="P142" s="73"/>
      <c r="Q142" s="45"/>
      <c r="R142" s="45"/>
      <c r="S142" s="45"/>
      <c r="T142" s="45"/>
      <c r="U142" s="45"/>
      <c r="V142" s="45"/>
      <c r="W142" s="72"/>
      <c r="X142" s="72"/>
      <c r="Y142" s="72"/>
      <c r="Z142" s="72"/>
      <c r="AA142" s="72"/>
      <c r="AB142" s="72"/>
      <c r="AC142" s="72"/>
      <c r="AD142" s="72"/>
      <c r="AE142" s="72"/>
      <c r="AF142" s="72"/>
      <c r="AG142" s="72"/>
      <c r="AH142" s="72"/>
      <c r="AI142" s="72"/>
      <c r="AJ142" s="72"/>
      <c r="AK142" s="72"/>
      <c r="AL142" s="72"/>
      <c r="AM142" s="72"/>
      <c r="AN142" s="72"/>
    </row>
    <row r="143" spans="1:40" x14ac:dyDescent="0.2">
      <c r="A143" s="231"/>
      <c r="B143" s="235"/>
      <c r="C143" s="146">
        <f t="shared" ref="C143:C149" si="62">A474</f>
        <v>25</v>
      </c>
      <c r="D143" s="344">
        <f t="shared" ref="D143:D149" si="63">B474</f>
        <v>150</v>
      </c>
      <c r="E143" s="246"/>
      <c r="F143" s="148">
        <f t="shared" ref="F143:F149" si="64">O474</f>
        <v>5</v>
      </c>
      <c r="G143" s="149">
        <f t="shared" ref="G143:G149" si="65">P474</f>
        <v>150</v>
      </c>
      <c r="H143" s="285"/>
      <c r="I143" s="208"/>
      <c r="J143" s="208"/>
      <c r="K143" s="208"/>
      <c r="L143" s="208"/>
      <c r="M143" s="208"/>
      <c r="N143" s="45"/>
      <c r="O143" s="45"/>
      <c r="P143" s="45"/>
      <c r="Q143" s="45"/>
      <c r="R143" s="45"/>
      <c r="S143" s="45"/>
      <c r="T143" s="45"/>
      <c r="U143" s="45"/>
      <c r="V143" s="45"/>
      <c r="W143" s="72"/>
      <c r="X143" s="72"/>
      <c r="Y143" s="72"/>
      <c r="Z143" s="72"/>
      <c r="AA143" s="72"/>
      <c r="AB143" s="72"/>
      <c r="AC143" s="72"/>
      <c r="AD143" s="72"/>
      <c r="AE143" s="72"/>
      <c r="AF143" s="72"/>
      <c r="AG143" s="72"/>
      <c r="AH143" s="72"/>
      <c r="AI143" s="72"/>
      <c r="AJ143" s="72"/>
      <c r="AK143" s="72"/>
      <c r="AL143" s="72"/>
      <c r="AM143" s="72"/>
      <c r="AN143" s="72"/>
    </row>
    <row r="144" spans="1:40" x14ac:dyDescent="0.2">
      <c r="A144" s="231"/>
      <c r="B144" s="235"/>
      <c r="C144" s="146">
        <f t="shared" si="62"/>
        <v>50</v>
      </c>
      <c r="D144" s="344">
        <f t="shared" si="63"/>
        <v>150</v>
      </c>
      <c r="E144" s="246"/>
      <c r="F144" s="148">
        <f t="shared" si="64"/>
        <v>9.3800000000000008</v>
      </c>
      <c r="G144" s="149">
        <f t="shared" si="65"/>
        <v>150</v>
      </c>
      <c r="H144" s="285"/>
      <c r="I144" s="61"/>
      <c r="J144" s="61"/>
      <c r="K144" s="61"/>
      <c r="L144" s="61"/>
      <c r="M144" s="61"/>
      <c r="N144" s="45"/>
      <c r="O144" s="45"/>
      <c r="P144" s="45"/>
      <c r="Q144" s="45"/>
      <c r="R144" s="45"/>
      <c r="S144" s="45"/>
      <c r="T144" s="45"/>
      <c r="U144" s="45"/>
      <c r="V144" s="45"/>
      <c r="W144" s="72"/>
      <c r="X144" s="72"/>
      <c r="Y144" s="72"/>
      <c r="Z144" s="72"/>
      <c r="AA144" s="72"/>
      <c r="AB144" s="72"/>
      <c r="AC144" s="72"/>
      <c r="AD144" s="72"/>
      <c r="AE144" s="72"/>
      <c r="AF144" s="72"/>
      <c r="AG144" s="72"/>
      <c r="AH144" s="72"/>
      <c r="AI144" s="72"/>
      <c r="AJ144" s="72"/>
      <c r="AK144" s="72"/>
      <c r="AL144" s="72"/>
      <c r="AM144" s="72"/>
      <c r="AN144" s="72"/>
    </row>
    <row r="145" spans="1:40" x14ac:dyDescent="0.2">
      <c r="A145" s="231"/>
      <c r="B145" s="235"/>
      <c r="C145" s="146">
        <f t="shared" si="62"/>
        <v>75</v>
      </c>
      <c r="D145" s="344">
        <f t="shared" si="63"/>
        <v>150</v>
      </c>
      <c r="E145" s="246"/>
      <c r="F145" s="148">
        <f t="shared" si="64"/>
        <v>11.81</v>
      </c>
      <c r="G145" s="149">
        <f t="shared" si="65"/>
        <v>0</v>
      </c>
      <c r="H145" s="285"/>
      <c r="I145" s="61"/>
      <c r="J145" s="61"/>
      <c r="K145" s="61"/>
      <c r="L145" s="61"/>
      <c r="M145" s="61"/>
      <c r="N145" s="45"/>
      <c r="O145" s="45"/>
      <c r="P145" s="45"/>
      <c r="Q145" s="45"/>
      <c r="R145" s="45"/>
      <c r="S145" s="45"/>
      <c r="T145" s="45"/>
      <c r="U145" s="45"/>
      <c r="V145" s="45"/>
      <c r="W145" s="72"/>
      <c r="X145" s="72"/>
      <c r="Y145" s="72"/>
      <c r="Z145" s="72"/>
      <c r="AA145" s="72"/>
      <c r="AB145" s="72"/>
      <c r="AC145" s="72"/>
      <c r="AD145" s="72"/>
      <c r="AE145" s="72"/>
      <c r="AF145" s="72"/>
      <c r="AG145" s="72"/>
      <c r="AH145" s="72"/>
      <c r="AI145" s="72"/>
      <c r="AJ145" s="72"/>
      <c r="AK145" s="72"/>
      <c r="AL145" s="72"/>
      <c r="AM145" s="72"/>
      <c r="AN145" s="72"/>
    </row>
    <row r="146" spans="1:40" x14ac:dyDescent="0.2">
      <c r="A146" s="231"/>
      <c r="B146" s="235"/>
      <c r="C146" s="146">
        <f t="shared" si="62"/>
        <v>88</v>
      </c>
      <c r="D146" s="344">
        <f t="shared" si="63"/>
        <v>150</v>
      </c>
      <c r="E146" s="246"/>
      <c r="F146" s="148">
        <f t="shared" si="64"/>
        <v>61.81</v>
      </c>
      <c r="G146" s="149">
        <f t="shared" si="65"/>
        <v>0</v>
      </c>
      <c r="H146" s="285"/>
      <c r="I146" s="276"/>
      <c r="J146" s="276"/>
      <c r="K146" s="276"/>
      <c r="L146" s="276"/>
      <c r="M146" s="276"/>
      <c r="N146" s="45"/>
      <c r="O146" s="45"/>
      <c r="P146" s="45"/>
      <c r="Q146" s="45"/>
      <c r="R146" s="45"/>
      <c r="S146" s="45"/>
      <c r="T146" s="45"/>
      <c r="U146" s="45"/>
      <c r="V146" s="45"/>
      <c r="W146" s="72"/>
      <c r="X146" s="72"/>
      <c r="Y146" s="72"/>
      <c r="Z146" s="72"/>
      <c r="AA146" s="72"/>
      <c r="AB146" s="72"/>
      <c r="AC146" s="72"/>
      <c r="AD146" s="72"/>
      <c r="AE146" s="72"/>
      <c r="AF146" s="72"/>
      <c r="AG146" s="72"/>
      <c r="AH146" s="72"/>
      <c r="AI146" s="72"/>
      <c r="AJ146" s="72"/>
      <c r="AK146" s="72"/>
      <c r="AL146" s="72"/>
      <c r="AM146" s="72"/>
      <c r="AN146" s="72"/>
    </row>
    <row r="147" spans="1:40" x14ac:dyDescent="0.2">
      <c r="A147" s="231"/>
      <c r="B147" s="235"/>
      <c r="C147" s="146">
        <f t="shared" si="62"/>
        <v>94</v>
      </c>
      <c r="D147" s="344">
        <f t="shared" si="63"/>
        <v>150</v>
      </c>
      <c r="E147" s="246"/>
      <c r="F147" s="148">
        <f t="shared" si="64"/>
        <v>93.06</v>
      </c>
      <c r="G147" s="149">
        <f t="shared" si="65"/>
        <v>150</v>
      </c>
      <c r="H147" s="285"/>
      <c r="I147" s="276"/>
      <c r="J147" s="276"/>
      <c r="K147" s="276"/>
      <c r="L147" s="276"/>
      <c r="M147" s="276"/>
      <c r="N147" s="45"/>
      <c r="O147" s="45"/>
      <c r="P147" s="45"/>
      <c r="Q147" s="45"/>
      <c r="R147" s="45"/>
      <c r="S147" s="45"/>
      <c r="T147" s="45"/>
      <c r="U147" s="45"/>
      <c r="V147" s="45"/>
      <c r="W147" s="72"/>
      <c r="X147" s="72"/>
      <c r="Y147" s="72"/>
      <c r="Z147" s="72"/>
      <c r="AA147" s="72"/>
      <c r="AB147" s="72"/>
      <c r="AC147" s="72"/>
      <c r="AD147" s="72"/>
      <c r="AE147" s="72"/>
      <c r="AF147" s="72"/>
      <c r="AG147" s="72"/>
      <c r="AH147" s="72"/>
      <c r="AI147" s="72"/>
      <c r="AJ147" s="72"/>
      <c r="AK147" s="72"/>
      <c r="AL147" s="72"/>
      <c r="AM147" s="72"/>
      <c r="AN147" s="72"/>
    </row>
    <row r="148" spans="1:40" x14ac:dyDescent="0.2">
      <c r="A148" s="231"/>
      <c r="B148" s="235"/>
      <c r="C148" s="146">
        <f t="shared" si="62"/>
        <v>95</v>
      </c>
      <c r="D148" s="344">
        <f t="shared" si="63"/>
        <v>150</v>
      </c>
      <c r="E148" s="246"/>
      <c r="F148" s="148">
        <f t="shared" si="64"/>
        <v>95</v>
      </c>
      <c r="G148" s="149">
        <f t="shared" si="65"/>
        <v>150</v>
      </c>
      <c r="H148" s="285"/>
      <c r="I148" s="276"/>
      <c r="J148" s="276"/>
      <c r="K148" s="276"/>
      <c r="L148" s="276"/>
      <c r="M148" s="276"/>
      <c r="N148" s="45"/>
      <c r="O148" s="45"/>
      <c r="P148" s="45"/>
      <c r="Q148" s="45"/>
      <c r="R148" s="45"/>
      <c r="S148" s="45"/>
      <c r="T148" s="45"/>
      <c r="U148" s="45"/>
      <c r="V148" s="45"/>
      <c r="W148" s="72"/>
      <c r="X148" s="72"/>
      <c r="Y148" s="72"/>
      <c r="Z148" s="72"/>
      <c r="AA148" s="72"/>
      <c r="AB148" s="72"/>
      <c r="AC148" s="72"/>
      <c r="AD148" s="72"/>
      <c r="AE148" s="72"/>
      <c r="AF148" s="72"/>
      <c r="AG148" s="72"/>
      <c r="AH148" s="72"/>
      <c r="AI148" s="72"/>
      <c r="AJ148" s="72"/>
      <c r="AK148" s="72"/>
      <c r="AL148" s="72"/>
      <c r="AM148" s="72"/>
      <c r="AN148" s="72"/>
    </row>
    <row r="149" spans="1:40" ht="13.5" thickBot="1" x14ac:dyDescent="0.25">
      <c r="A149" s="238"/>
      <c r="B149" s="239"/>
      <c r="C149" s="166">
        <f t="shared" si="62"/>
        <v>100</v>
      </c>
      <c r="D149" s="345">
        <f t="shared" si="63"/>
        <v>150</v>
      </c>
      <c r="E149" s="247"/>
      <c r="F149" s="170">
        <f t="shared" si="64"/>
        <v>100</v>
      </c>
      <c r="G149" s="171">
        <f t="shared" si="65"/>
        <v>150</v>
      </c>
      <c r="H149" s="287"/>
      <c r="I149" s="276"/>
      <c r="J149" s="276"/>
      <c r="K149" s="276"/>
      <c r="L149" s="276"/>
      <c r="M149" s="276"/>
      <c r="N149" s="45"/>
      <c r="O149" s="45"/>
      <c r="P149" s="45"/>
      <c r="Q149" s="45"/>
      <c r="R149" s="45"/>
      <c r="S149" s="45"/>
      <c r="T149" s="45"/>
      <c r="U149" s="45"/>
      <c r="V149" s="45"/>
      <c r="W149" s="72"/>
      <c r="X149" s="72"/>
      <c r="Y149" s="72"/>
      <c r="Z149" s="72"/>
      <c r="AA149" s="72"/>
      <c r="AB149" s="72"/>
      <c r="AC149" s="72"/>
      <c r="AD149" s="72"/>
      <c r="AE149" s="72"/>
      <c r="AF149" s="72"/>
      <c r="AG149" s="72"/>
      <c r="AH149" s="72"/>
      <c r="AI149" s="72"/>
      <c r="AJ149" s="72"/>
      <c r="AK149" s="72"/>
      <c r="AL149" s="72"/>
      <c r="AM149" s="72"/>
      <c r="AN149" s="72"/>
    </row>
    <row r="150" spans="1:40" x14ac:dyDescent="0.2">
      <c r="A150" s="277" t="s">
        <v>87</v>
      </c>
      <c r="B150" s="232" t="s">
        <v>36</v>
      </c>
      <c r="C150" s="148">
        <f>A497</f>
        <v>0</v>
      </c>
      <c r="D150" s="147">
        <f>B497</f>
        <v>0</v>
      </c>
      <c r="E150" s="169">
        <f>B494</f>
        <v>60</v>
      </c>
      <c r="F150" s="148">
        <f>O497</f>
        <v>0</v>
      </c>
      <c r="G150" s="147">
        <f>P497</f>
        <v>0</v>
      </c>
      <c r="H150" s="185">
        <f>P494</f>
        <v>30</v>
      </c>
      <c r="I150" s="276"/>
      <c r="J150" s="276"/>
      <c r="K150" s="276"/>
      <c r="L150" s="276"/>
      <c r="M150" s="276"/>
      <c r="N150" s="45"/>
      <c r="O150" s="45"/>
      <c r="P150" s="45"/>
      <c r="Q150" s="45"/>
      <c r="R150" s="45"/>
      <c r="S150" s="45"/>
      <c r="T150" s="45"/>
      <c r="U150" s="45"/>
      <c r="V150" s="45"/>
      <c r="W150" s="72"/>
      <c r="X150" s="72"/>
      <c r="Y150" s="72"/>
      <c r="Z150" s="72"/>
      <c r="AA150" s="72"/>
      <c r="AB150" s="72"/>
      <c r="AC150" s="72"/>
      <c r="AD150" s="72"/>
      <c r="AE150" s="72"/>
      <c r="AF150" s="72"/>
      <c r="AG150" s="72"/>
      <c r="AH150" s="72"/>
      <c r="AI150" s="72"/>
      <c r="AJ150" s="72"/>
      <c r="AK150" s="72"/>
      <c r="AL150" s="72"/>
      <c r="AM150" s="72"/>
      <c r="AN150" s="72"/>
    </row>
    <row r="151" spans="1:40" x14ac:dyDescent="0.2">
      <c r="A151" s="231"/>
      <c r="B151" s="236"/>
      <c r="C151" s="153">
        <f t="shared" ref="C151:C157" si="66">A498</f>
        <v>10</v>
      </c>
      <c r="D151" s="152">
        <f t="shared" ref="D151:D157" si="67">B498</f>
        <v>0</v>
      </c>
      <c r="E151" s="236"/>
      <c r="F151" s="153">
        <f t="shared" ref="F151:F157" si="68">O498</f>
        <v>5</v>
      </c>
      <c r="G151" s="152">
        <f t="shared" ref="G151:G157" si="69">P498</f>
        <v>0</v>
      </c>
      <c r="H151" s="285"/>
      <c r="I151" s="276"/>
      <c r="J151" s="276"/>
      <c r="K151" s="276"/>
      <c r="L151" s="276"/>
      <c r="M151" s="276"/>
      <c r="N151" s="45"/>
      <c r="O151" s="308"/>
      <c r="P151" s="308"/>
      <c r="Q151" s="308"/>
      <c r="R151" s="45"/>
      <c r="S151" s="45"/>
      <c r="T151" s="45"/>
      <c r="U151" s="45"/>
      <c r="V151" s="45"/>
      <c r="W151" s="72"/>
      <c r="X151" s="72"/>
      <c r="Y151" s="72"/>
      <c r="Z151" s="72"/>
      <c r="AA151" s="72"/>
      <c r="AB151" s="72"/>
      <c r="AC151" s="72"/>
      <c r="AD151" s="72"/>
      <c r="AE151" s="72"/>
      <c r="AF151" s="72"/>
      <c r="AG151" s="72"/>
      <c r="AH151" s="72"/>
      <c r="AI151" s="72"/>
      <c r="AJ151" s="72"/>
      <c r="AK151" s="72"/>
      <c r="AL151" s="72"/>
      <c r="AM151" s="72"/>
      <c r="AN151" s="72"/>
    </row>
    <row r="152" spans="1:40" x14ac:dyDescent="0.2">
      <c r="A152" s="231"/>
      <c r="B152" s="236"/>
      <c r="C152" s="153">
        <f t="shared" si="66"/>
        <v>50</v>
      </c>
      <c r="D152" s="152">
        <f t="shared" si="67"/>
        <v>0</v>
      </c>
      <c r="E152" s="236"/>
      <c r="F152" s="153">
        <f t="shared" si="68"/>
        <v>9.3800000000000008</v>
      </c>
      <c r="G152" s="152">
        <f t="shared" si="69"/>
        <v>0</v>
      </c>
      <c r="H152" s="285"/>
      <c r="I152" s="276"/>
      <c r="J152" s="276"/>
      <c r="K152" s="276"/>
      <c r="L152" s="276"/>
      <c r="M152" s="276"/>
      <c r="N152" s="45"/>
      <c r="O152" s="308"/>
      <c r="P152" s="308"/>
      <c r="Q152" s="308"/>
      <c r="R152" s="45"/>
      <c r="S152" s="45"/>
      <c r="T152" s="45"/>
      <c r="U152" s="45"/>
      <c r="V152" s="45"/>
      <c r="W152" s="72"/>
      <c r="X152" s="72"/>
      <c r="Y152" s="72"/>
      <c r="Z152" s="72"/>
      <c r="AA152" s="72"/>
      <c r="AB152" s="72"/>
      <c r="AC152" s="72"/>
      <c r="AD152" s="72"/>
      <c r="AE152" s="72"/>
      <c r="AF152" s="72"/>
      <c r="AG152" s="72"/>
      <c r="AH152" s="72"/>
      <c r="AI152" s="72"/>
      <c r="AJ152" s="72"/>
      <c r="AK152" s="72"/>
      <c r="AL152" s="72"/>
      <c r="AM152" s="72"/>
      <c r="AN152" s="72"/>
    </row>
    <row r="153" spans="1:40" x14ac:dyDescent="0.2">
      <c r="A153" s="231"/>
      <c r="B153" s="236"/>
      <c r="C153" s="153">
        <f t="shared" si="66"/>
        <v>75</v>
      </c>
      <c r="D153" s="152">
        <f t="shared" si="67"/>
        <v>0</v>
      </c>
      <c r="E153" s="236"/>
      <c r="F153" s="153">
        <f t="shared" si="68"/>
        <v>11.81</v>
      </c>
      <c r="G153" s="152">
        <f t="shared" si="69"/>
        <v>150</v>
      </c>
      <c r="H153" s="285"/>
      <c r="I153" s="276"/>
      <c r="J153" s="276"/>
      <c r="K153" s="276"/>
      <c r="L153" s="276"/>
      <c r="M153" s="276"/>
      <c r="N153" s="45"/>
      <c r="O153" s="308"/>
      <c r="P153" s="308"/>
      <c r="Q153" s="308"/>
      <c r="R153" s="45"/>
      <c r="S153" s="45"/>
      <c r="T153" s="45"/>
      <c r="U153" s="45"/>
      <c r="V153" s="45"/>
      <c r="W153" s="72"/>
      <c r="X153" s="72"/>
      <c r="Y153" s="72"/>
      <c r="Z153" s="72"/>
      <c r="AA153" s="72"/>
      <c r="AB153" s="72"/>
      <c r="AC153" s="72"/>
      <c r="AD153" s="72"/>
      <c r="AE153" s="72"/>
      <c r="AF153" s="72"/>
      <c r="AG153" s="72"/>
      <c r="AH153" s="72"/>
      <c r="AI153" s="72"/>
      <c r="AJ153" s="72"/>
      <c r="AK153" s="72"/>
      <c r="AL153" s="72"/>
      <c r="AM153" s="72"/>
      <c r="AN153" s="72"/>
    </row>
    <row r="154" spans="1:40" x14ac:dyDescent="0.2">
      <c r="A154" s="231"/>
      <c r="B154" s="236"/>
      <c r="C154" s="153">
        <f t="shared" si="66"/>
        <v>88</v>
      </c>
      <c r="D154" s="152">
        <f t="shared" si="67"/>
        <v>0</v>
      </c>
      <c r="E154" s="236"/>
      <c r="F154" s="153">
        <f t="shared" si="68"/>
        <v>77.430000000000007</v>
      </c>
      <c r="G154" s="152">
        <f t="shared" si="69"/>
        <v>150</v>
      </c>
      <c r="H154" s="285"/>
      <c r="I154" s="276"/>
      <c r="J154" s="276"/>
      <c r="K154" s="276"/>
      <c r="L154" s="276"/>
      <c r="M154" s="276"/>
      <c r="N154" s="45"/>
      <c r="O154" s="308"/>
      <c r="P154" s="308"/>
      <c r="Q154" s="308"/>
      <c r="R154" s="45"/>
      <c r="S154" s="45"/>
      <c r="T154" s="45"/>
      <c r="U154" s="45"/>
      <c r="V154" s="45"/>
      <c r="W154" s="72"/>
      <c r="X154" s="72"/>
      <c r="Y154" s="72"/>
      <c r="Z154" s="72"/>
      <c r="AA154" s="72"/>
      <c r="AB154" s="72"/>
      <c r="AC154" s="72"/>
      <c r="AD154" s="72"/>
      <c r="AE154" s="72"/>
      <c r="AF154" s="72"/>
      <c r="AG154" s="72"/>
      <c r="AH154" s="72"/>
      <c r="AI154" s="72"/>
      <c r="AJ154" s="72"/>
      <c r="AK154" s="72"/>
      <c r="AL154" s="72"/>
      <c r="AM154" s="72"/>
      <c r="AN154" s="72"/>
    </row>
    <row r="155" spans="1:40" x14ac:dyDescent="0.2">
      <c r="A155" s="248"/>
      <c r="B155" s="301"/>
      <c r="C155" s="153">
        <f t="shared" si="66"/>
        <v>94</v>
      </c>
      <c r="D155" s="152">
        <f t="shared" si="67"/>
        <v>0</v>
      </c>
      <c r="E155" s="236"/>
      <c r="F155" s="153">
        <f t="shared" si="68"/>
        <v>93.06</v>
      </c>
      <c r="G155" s="152">
        <f t="shared" si="69"/>
        <v>0</v>
      </c>
      <c r="H155" s="285"/>
      <c r="I155" s="276"/>
      <c r="J155" s="276"/>
      <c r="K155" s="276"/>
      <c r="L155" s="276"/>
      <c r="M155" s="276"/>
      <c r="N155" s="45"/>
      <c r="O155" s="309"/>
      <c r="P155" s="309"/>
      <c r="Q155" s="308"/>
      <c r="R155" s="45"/>
      <c r="S155" s="45"/>
      <c r="T155" s="45"/>
      <c r="U155" s="45"/>
      <c r="V155" s="45"/>
      <c r="W155" s="72"/>
      <c r="X155" s="72"/>
      <c r="Y155" s="72"/>
      <c r="Z155" s="72"/>
      <c r="AA155" s="72"/>
      <c r="AB155" s="72"/>
      <c r="AC155" s="72"/>
      <c r="AD155" s="72"/>
      <c r="AE155" s="72"/>
      <c r="AF155" s="72"/>
      <c r="AG155" s="72"/>
      <c r="AH155" s="72"/>
      <c r="AI155" s="72"/>
      <c r="AJ155" s="72"/>
      <c r="AK155" s="72"/>
      <c r="AL155" s="72"/>
      <c r="AM155" s="72"/>
      <c r="AN155" s="72"/>
    </row>
    <row r="156" spans="1:40" x14ac:dyDescent="0.2">
      <c r="A156" s="248"/>
      <c r="B156" s="301"/>
      <c r="C156" s="153">
        <f t="shared" si="66"/>
        <v>95</v>
      </c>
      <c r="D156" s="152">
        <f t="shared" si="67"/>
        <v>0</v>
      </c>
      <c r="E156" s="236"/>
      <c r="F156" s="153">
        <f t="shared" si="68"/>
        <v>95</v>
      </c>
      <c r="G156" s="152">
        <f t="shared" si="69"/>
        <v>0</v>
      </c>
      <c r="H156" s="285"/>
      <c r="I156" s="276"/>
      <c r="J156" s="276"/>
      <c r="K156" s="276"/>
      <c r="L156" s="276"/>
      <c r="M156" s="276"/>
      <c r="N156" s="45"/>
      <c r="O156" s="309"/>
      <c r="P156" s="309"/>
      <c r="Q156" s="308"/>
      <c r="R156" s="45"/>
      <c r="S156" s="45"/>
      <c r="T156" s="45"/>
      <c r="U156" s="45"/>
      <c r="V156" s="45"/>
      <c r="W156" s="72"/>
      <c r="X156" s="72"/>
      <c r="Y156" s="72"/>
      <c r="Z156" s="72"/>
      <c r="AA156" s="72"/>
      <c r="AB156" s="72"/>
      <c r="AC156" s="72"/>
      <c r="AD156" s="72"/>
      <c r="AE156" s="72"/>
      <c r="AF156" s="72"/>
      <c r="AG156" s="72"/>
      <c r="AH156" s="72"/>
      <c r="AI156" s="72"/>
      <c r="AJ156" s="72"/>
      <c r="AK156" s="72"/>
      <c r="AL156" s="72"/>
      <c r="AM156" s="72"/>
      <c r="AN156" s="72"/>
    </row>
    <row r="157" spans="1:40" ht="13.5" thickBot="1" x14ac:dyDescent="0.25">
      <c r="A157" s="250"/>
      <c r="B157" s="302"/>
      <c r="C157" s="157">
        <f t="shared" si="66"/>
        <v>100</v>
      </c>
      <c r="D157" s="156">
        <f t="shared" si="67"/>
        <v>0</v>
      </c>
      <c r="E157" s="240"/>
      <c r="F157" s="157">
        <f t="shared" si="68"/>
        <v>100</v>
      </c>
      <c r="G157" s="156">
        <f t="shared" si="69"/>
        <v>0</v>
      </c>
      <c r="H157" s="287"/>
      <c r="I157" s="276"/>
      <c r="J157" s="276"/>
      <c r="K157" s="276"/>
      <c r="L157" s="276"/>
      <c r="M157" s="276"/>
      <c r="N157" s="45"/>
      <c r="O157" s="309"/>
      <c r="P157" s="309"/>
      <c r="Q157" s="308"/>
      <c r="R157" s="45"/>
      <c r="S157" s="45"/>
      <c r="T157" s="45"/>
      <c r="U157" s="45"/>
      <c r="V157" s="45"/>
      <c r="W157" s="72"/>
      <c r="X157" s="72"/>
      <c r="Y157" s="72"/>
      <c r="Z157" s="72"/>
      <c r="AA157" s="72"/>
      <c r="AB157" s="72"/>
      <c r="AC157" s="72"/>
      <c r="AD157" s="72"/>
      <c r="AE157" s="72"/>
      <c r="AF157" s="72"/>
      <c r="AG157" s="72"/>
      <c r="AH157" s="72"/>
      <c r="AI157" s="72"/>
      <c r="AJ157" s="72"/>
      <c r="AK157" s="72"/>
      <c r="AL157" s="72"/>
      <c r="AM157" s="72"/>
      <c r="AN157" s="72"/>
    </row>
    <row r="158" spans="1:40" x14ac:dyDescent="0.2">
      <c r="A158" s="248" t="s">
        <v>88</v>
      </c>
      <c r="B158" s="232" t="s">
        <v>37</v>
      </c>
      <c r="C158" s="146">
        <f>A521</f>
        <v>0</v>
      </c>
      <c r="D158" s="147">
        <f>B521</f>
        <v>110</v>
      </c>
      <c r="E158" s="169">
        <f>B518</f>
        <v>30</v>
      </c>
      <c r="F158" s="148">
        <f>O521</f>
        <v>0</v>
      </c>
      <c r="G158" s="149">
        <f>P521</f>
        <v>110</v>
      </c>
      <c r="H158" s="185">
        <f>P518</f>
        <v>60</v>
      </c>
      <c r="I158" s="276"/>
      <c r="J158" s="276"/>
      <c r="K158" s="276"/>
      <c r="L158" s="276"/>
      <c r="M158" s="276"/>
      <c r="N158" s="45"/>
      <c r="O158" s="309"/>
      <c r="P158" s="309"/>
      <c r="Q158" s="308"/>
      <c r="R158" s="45"/>
      <c r="S158" s="45"/>
      <c r="T158" s="45"/>
      <c r="U158" s="45"/>
      <c r="V158" s="45"/>
      <c r="W158" s="72"/>
      <c r="X158" s="72"/>
      <c r="Y158" s="72"/>
      <c r="Z158" s="72"/>
      <c r="AA158" s="72"/>
      <c r="AB158" s="72"/>
      <c r="AC158" s="72"/>
      <c r="AD158" s="72"/>
      <c r="AE158" s="72"/>
      <c r="AF158" s="72"/>
      <c r="AG158" s="72"/>
      <c r="AH158" s="72"/>
      <c r="AI158" s="72"/>
      <c r="AJ158" s="72"/>
      <c r="AK158" s="72"/>
      <c r="AL158" s="72"/>
      <c r="AM158" s="72"/>
      <c r="AN158" s="72"/>
    </row>
    <row r="159" spans="1:40" x14ac:dyDescent="0.2">
      <c r="A159" s="248"/>
      <c r="B159" s="249"/>
      <c r="C159" s="146">
        <f t="shared" ref="C159:C165" si="70">A522</f>
        <v>10</v>
      </c>
      <c r="D159" s="147">
        <f t="shared" ref="D159:D165" si="71">B522</f>
        <v>110</v>
      </c>
      <c r="E159" s="236"/>
      <c r="F159" s="148">
        <f t="shared" ref="F159:F165" si="72">O522</f>
        <v>4</v>
      </c>
      <c r="G159" s="149">
        <f t="shared" ref="G159:G165" si="73">P522</f>
        <v>110</v>
      </c>
      <c r="H159" s="285"/>
      <c r="I159" s="276"/>
      <c r="J159" s="276"/>
      <c r="K159" s="276"/>
      <c r="L159" s="276"/>
      <c r="M159" s="276"/>
      <c r="N159" s="45"/>
      <c r="O159" s="309"/>
      <c r="P159" s="309"/>
      <c r="Q159" s="308"/>
      <c r="R159" s="45"/>
      <c r="S159" s="45"/>
      <c r="T159" s="45"/>
      <c r="U159" s="45"/>
      <c r="V159" s="45"/>
      <c r="W159" s="72"/>
      <c r="X159" s="72"/>
      <c r="Y159" s="72"/>
      <c r="Z159" s="72"/>
      <c r="AA159" s="72"/>
      <c r="AB159" s="72"/>
      <c r="AC159" s="72"/>
      <c r="AD159" s="72"/>
      <c r="AE159" s="72"/>
      <c r="AF159" s="72"/>
      <c r="AG159" s="72"/>
      <c r="AH159" s="72"/>
      <c r="AI159" s="72"/>
      <c r="AJ159" s="72"/>
      <c r="AK159" s="72"/>
      <c r="AL159" s="72"/>
      <c r="AM159" s="72"/>
      <c r="AN159" s="72"/>
    </row>
    <row r="160" spans="1:40" x14ac:dyDescent="0.2">
      <c r="A160" s="248"/>
      <c r="B160" s="249"/>
      <c r="C160" s="146">
        <f t="shared" si="70"/>
        <v>50</v>
      </c>
      <c r="D160" s="147">
        <f t="shared" si="71"/>
        <v>110</v>
      </c>
      <c r="E160" s="236"/>
      <c r="F160" s="148">
        <f t="shared" si="72"/>
        <v>8</v>
      </c>
      <c r="G160" s="149">
        <f t="shared" si="73"/>
        <v>110</v>
      </c>
      <c r="H160" s="285"/>
      <c r="I160" s="276"/>
      <c r="J160" s="276"/>
      <c r="K160" s="276"/>
      <c r="L160" s="276"/>
      <c r="M160" s="276"/>
      <c r="N160" s="45"/>
      <c r="O160" s="309"/>
      <c r="P160" s="309"/>
      <c r="Q160" s="308"/>
      <c r="R160" s="45"/>
      <c r="S160" s="45"/>
      <c r="T160" s="45"/>
      <c r="U160" s="45"/>
      <c r="V160" s="45"/>
      <c r="W160" s="72"/>
      <c r="X160" s="72"/>
      <c r="Y160" s="72"/>
      <c r="Z160" s="72"/>
      <c r="AA160" s="72"/>
      <c r="AB160" s="72"/>
      <c r="AC160" s="72"/>
      <c r="AD160" s="72"/>
      <c r="AE160" s="72"/>
      <c r="AF160" s="72"/>
      <c r="AG160" s="72"/>
      <c r="AH160" s="72"/>
      <c r="AI160" s="72"/>
      <c r="AJ160" s="72"/>
      <c r="AK160" s="72"/>
      <c r="AL160" s="72"/>
      <c r="AM160" s="72"/>
      <c r="AN160" s="72"/>
    </row>
    <row r="161" spans="1:40" x14ac:dyDescent="0.2">
      <c r="A161" s="248"/>
      <c r="B161" s="249"/>
      <c r="C161" s="146">
        <f t="shared" si="70"/>
        <v>75</v>
      </c>
      <c r="D161" s="147">
        <f t="shared" si="71"/>
        <v>110</v>
      </c>
      <c r="E161" s="236"/>
      <c r="F161" s="148">
        <f t="shared" si="72"/>
        <v>9.3800000000000008</v>
      </c>
      <c r="G161" s="149">
        <f t="shared" si="73"/>
        <v>110</v>
      </c>
      <c r="H161" s="285"/>
      <c r="I161" s="276"/>
      <c r="J161" s="276"/>
      <c r="K161" s="276"/>
      <c r="L161" s="276"/>
      <c r="M161" s="276"/>
      <c r="N161" s="45"/>
      <c r="O161" s="309"/>
      <c r="P161" s="309"/>
      <c r="Q161" s="308"/>
      <c r="R161" s="45"/>
      <c r="S161" s="45"/>
      <c r="T161" s="45"/>
      <c r="U161" s="45"/>
      <c r="V161" s="45"/>
      <c r="W161" s="72"/>
      <c r="X161" s="72"/>
      <c r="Y161" s="72"/>
      <c r="Z161" s="72"/>
      <c r="AA161" s="72"/>
      <c r="AB161" s="72"/>
      <c r="AC161" s="72"/>
      <c r="AD161" s="72"/>
      <c r="AE161" s="72"/>
      <c r="AF161" s="72"/>
      <c r="AG161" s="72"/>
      <c r="AH161" s="72"/>
      <c r="AI161" s="72"/>
      <c r="AJ161" s="72"/>
      <c r="AK161" s="72"/>
      <c r="AL161" s="72"/>
      <c r="AM161" s="72"/>
      <c r="AN161" s="72"/>
    </row>
    <row r="162" spans="1:40" x14ac:dyDescent="0.2">
      <c r="A162" s="248"/>
      <c r="B162" s="249"/>
      <c r="C162" s="146">
        <f t="shared" si="70"/>
        <v>88</v>
      </c>
      <c r="D162" s="147">
        <f t="shared" si="71"/>
        <v>110</v>
      </c>
      <c r="E162" s="236"/>
      <c r="F162" s="148">
        <f t="shared" si="72"/>
        <v>11.81</v>
      </c>
      <c r="G162" s="149">
        <f t="shared" si="73"/>
        <v>0</v>
      </c>
      <c r="H162" s="285"/>
      <c r="I162" s="276"/>
      <c r="J162" s="276"/>
      <c r="K162" s="276"/>
      <c r="L162" s="276"/>
      <c r="M162" s="276"/>
      <c r="N162" s="45"/>
      <c r="O162" s="309"/>
      <c r="P162" s="309"/>
      <c r="Q162" s="308"/>
      <c r="R162" s="45"/>
      <c r="S162" s="45"/>
      <c r="T162" s="45"/>
      <c r="U162" s="45"/>
      <c r="V162" s="45"/>
      <c r="W162" s="72"/>
      <c r="X162" s="72"/>
      <c r="Y162" s="72"/>
      <c r="Z162" s="72"/>
      <c r="AA162" s="72"/>
      <c r="AB162" s="72"/>
      <c r="AC162" s="72"/>
      <c r="AD162" s="72"/>
      <c r="AE162" s="72"/>
      <c r="AF162" s="72"/>
      <c r="AG162" s="72"/>
      <c r="AH162" s="72"/>
      <c r="AI162" s="72"/>
      <c r="AJ162" s="72"/>
      <c r="AK162" s="72"/>
      <c r="AL162" s="72"/>
      <c r="AM162" s="72"/>
      <c r="AN162" s="72"/>
    </row>
    <row r="163" spans="1:40" x14ac:dyDescent="0.2">
      <c r="A163" s="231"/>
      <c r="B163" s="235"/>
      <c r="C163" s="146">
        <f t="shared" si="70"/>
        <v>94</v>
      </c>
      <c r="D163" s="147">
        <f t="shared" si="71"/>
        <v>110</v>
      </c>
      <c r="E163" s="236"/>
      <c r="F163" s="148">
        <f t="shared" si="72"/>
        <v>86.81</v>
      </c>
      <c r="G163" s="149">
        <f t="shared" si="73"/>
        <v>0</v>
      </c>
      <c r="H163" s="285"/>
      <c r="I163" s="276"/>
      <c r="J163" s="276"/>
      <c r="K163" s="276"/>
      <c r="L163" s="276"/>
      <c r="M163" s="276"/>
      <c r="N163" s="45"/>
      <c r="O163" s="308"/>
      <c r="P163" s="308"/>
      <c r="Q163" s="308"/>
      <c r="R163" s="45"/>
      <c r="S163" s="45"/>
      <c r="T163" s="45"/>
      <c r="U163" s="45"/>
      <c r="V163" s="45"/>
      <c r="W163" s="72"/>
      <c r="X163" s="72"/>
      <c r="Y163" s="72"/>
      <c r="Z163" s="72"/>
      <c r="AA163" s="72"/>
      <c r="AB163" s="72"/>
      <c r="AC163" s="72"/>
      <c r="AD163" s="72"/>
      <c r="AE163" s="72"/>
      <c r="AF163" s="72"/>
      <c r="AG163" s="72"/>
      <c r="AH163" s="72"/>
      <c r="AI163" s="72"/>
      <c r="AJ163" s="72"/>
      <c r="AK163" s="72"/>
      <c r="AL163" s="72"/>
      <c r="AM163" s="72"/>
      <c r="AN163" s="72"/>
    </row>
    <row r="164" spans="1:40" x14ac:dyDescent="0.2">
      <c r="A164" s="231"/>
      <c r="B164" s="235"/>
      <c r="C164" s="146">
        <f t="shared" si="70"/>
        <v>95</v>
      </c>
      <c r="D164" s="147">
        <f t="shared" si="71"/>
        <v>110</v>
      </c>
      <c r="E164" s="236"/>
      <c r="F164" s="148">
        <f t="shared" si="72"/>
        <v>93.06</v>
      </c>
      <c r="G164" s="149">
        <f t="shared" si="73"/>
        <v>108</v>
      </c>
      <c r="H164" s="285"/>
      <c r="I164" s="276"/>
      <c r="J164" s="276"/>
      <c r="K164" s="276"/>
      <c r="L164" s="276"/>
      <c r="M164" s="276"/>
      <c r="N164" s="45"/>
      <c r="O164" s="308"/>
      <c r="P164" s="308"/>
      <c r="Q164" s="308"/>
      <c r="R164" s="45"/>
      <c r="S164" s="45"/>
      <c r="T164" s="45"/>
      <c r="U164" s="45"/>
      <c r="V164" s="45"/>
      <c r="W164" s="72"/>
      <c r="X164" s="72"/>
      <c r="Y164" s="72"/>
      <c r="Z164" s="72"/>
      <c r="AA164" s="72"/>
      <c r="AB164" s="72"/>
      <c r="AC164" s="72"/>
      <c r="AD164" s="72"/>
      <c r="AE164" s="72"/>
      <c r="AF164" s="72"/>
      <c r="AG164" s="72"/>
      <c r="AH164" s="72"/>
      <c r="AI164" s="72"/>
      <c r="AJ164" s="72"/>
      <c r="AK164" s="72"/>
      <c r="AL164" s="72"/>
      <c r="AM164" s="72"/>
      <c r="AN164" s="72"/>
    </row>
    <row r="165" spans="1:40" ht="13.5" thickBot="1" x14ac:dyDescent="0.25">
      <c r="A165" s="238"/>
      <c r="B165" s="239"/>
      <c r="C165" s="286">
        <f t="shared" si="70"/>
        <v>100</v>
      </c>
      <c r="D165" s="288">
        <f t="shared" si="71"/>
        <v>110</v>
      </c>
      <c r="E165" s="236"/>
      <c r="F165" s="168">
        <f t="shared" si="72"/>
        <v>100</v>
      </c>
      <c r="G165" s="169">
        <f t="shared" si="73"/>
        <v>110</v>
      </c>
      <c r="H165" s="285"/>
      <c r="I165" s="276"/>
      <c r="J165" s="276"/>
      <c r="K165" s="276"/>
      <c r="L165" s="276"/>
      <c r="M165" s="276"/>
      <c r="N165" s="45"/>
      <c r="O165" s="308"/>
      <c r="P165" s="308"/>
      <c r="Q165" s="308"/>
      <c r="R165" s="45"/>
      <c r="S165" s="45"/>
      <c r="T165" s="45"/>
      <c r="U165" s="45"/>
      <c r="V165" s="45"/>
      <c r="W165" s="72"/>
      <c r="X165" s="72"/>
      <c r="Y165" s="72"/>
      <c r="Z165" s="72"/>
      <c r="AA165" s="72"/>
      <c r="AB165" s="72"/>
      <c r="AC165" s="72"/>
      <c r="AD165" s="72"/>
      <c r="AE165" s="72"/>
      <c r="AF165" s="72"/>
      <c r="AG165" s="72"/>
      <c r="AH165" s="72"/>
      <c r="AI165" s="72"/>
      <c r="AJ165" s="72"/>
      <c r="AK165" s="72"/>
      <c r="AL165" s="72"/>
      <c r="AM165" s="72"/>
      <c r="AN165" s="72"/>
    </row>
    <row r="166" spans="1:40" x14ac:dyDescent="0.2">
      <c r="A166" s="277" t="s">
        <v>89</v>
      </c>
      <c r="B166" s="232" t="s">
        <v>38</v>
      </c>
      <c r="C166" s="160">
        <f>A545</f>
        <v>0</v>
      </c>
      <c r="D166" s="165">
        <f>B545</f>
        <v>150</v>
      </c>
      <c r="E166" s="245">
        <f>B542</f>
        <v>30</v>
      </c>
      <c r="F166" s="160">
        <f>O545</f>
        <v>0</v>
      </c>
      <c r="G166" s="165">
        <f>P545</f>
        <v>0</v>
      </c>
      <c r="H166" s="186">
        <f>P542</f>
        <v>60</v>
      </c>
      <c r="I166" s="276"/>
      <c r="J166" s="276"/>
      <c r="K166" s="276"/>
      <c r="L166" s="276"/>
      <c r="M166" s="276"/>
      <c r="N166" s="45"/>
      <c r="O166" s="45"/>
      <c r="P166" s="45"/>
      <c r="Q166" s="45"/>
      <c r="R166" s="45"/>
      <c r="S166" s="45"/>
      <c r="T166" s="45"/>
      <c r="U166" s="45"/>
      <c r="V166" s="45"/>
      <c r="W166" s="72"/>
      <c r="X166" s="72"/>
      <c r="Y166" s="72"/>
      <c r="Z166" s="72"/>
      <c r="AA166" s="72"/>
      <c r="AB166" s="72"/>
      <c r="AC166" s="72"/>
      <c r="AD166" s="72"/>
      <c r="AE166" s="72"/>
      <c r="AF166" s="72"/>
      <c r="AG166" s="72"/>
      <c r="AH166" s="72"/>
      <c r="AI166" s="72"/>
      <c r="AJ166" s="72"/>
      <c r="AK166" s="72"/>
      <c r="AL166" s="72"/>
      <c r="AM166" s="72"/>
      <c r="AN166" s="72"/>
    </row>
    <row r="167" spans="1:40" x14ac:dyDescent="0.2">
      <c r="A167" s="231"/>
      <c r="B167" s="236"/>
      <c r="C167" s="153">
        <f t="shared" ref="C167:C173" si="74">A546</f>
        <v>25</v>
      </c>
      <c r="D167" s="152">
        <f t="shared" ref="D167:D173" si="75">B546</f>
        <v>150</v>
      </c>
      <c r="E167" s="246"/>
      <c r="F167" s="153">
        <f t="shared" ref="F167:F173" si="76">O546</f>
        <v>5</v>
      </c>
      <c r="G167" s="152">
        <f t="shared" ref="G167:G173" si="77">P546</f>
        <v>0</v>
      </c>
      <c r="H167" s="285"/>
      <c r="I167" s="276"/>
      <c r="J167" s="276"/>
      <c r="K167" s="276"/>
      <c r="L167" s="276"/>
      <c r="M167" s="276"/>
      <c r="N167" s="45"/>
      <c r="O167" s="45"/>
      <c r="P167" s="45"/>
      <c r="Q167" s="45"/>
      <c r="R167" s="45"/>
      <c r="S167" s="45"/>
      <c r="T167" s="45"/>
      <c r="U167" s="45"/>
      <c r="V167" s="45"/>
      <c r="W167" s="72"/>
      <c r="X167" s="72"/>
      <c r="Y167" s="72"/>
      <c r="Z167" s="72"/>
      <c r="AA167" s="72"/>
      <c r="AB167" s="72"/>
      <c r="AC167" s="72"/>
      <c r="AD167" s="72"/>
      <c r="AE167" s="72"/>
      <c r="AF167" s="72"/>
      <c r="AG167" s="72"/>
      <c r="AH167" s="72"/>
      <c r="AI167" s="72"/>
      <c r="AJ167" s="72"/>
      <c r="AK167" s="72"/>
      <c r="AL167" s="72"/>
      <c r="AM167" s="72"/>
      <c r="AN167" s="72"/>
    </row>
    <row r="168" spans="1:40" x14ac:dyDescent="0.2">
      <c r="A168" s="231"/>
      <c r="B168" s="236"/>
      <c r="C168" s="153">
        <f t="shared" si="74"/>
        <v>50</v>
      </c>
      <c r="D168" s="152">
        <f t="shared" si="75"/>
        <v>150</v>
      </c>
      <c r="E168" s="246"/>
      <c r="F168" s="153">
        <f t="shared" si="76"/>
        <v>9.3800000000000008</v>
      </c>
      <c r="G168" s="152">
        <f t="shared" si="77"/>
        <v>0</v>
      </c>
      <c r="H168" s="285"/>
      <c r="I168" s="276"/>
      <c r="J168" s="276"/>
      <c r="K168" s="276"/>
      <c r="L168" s="276"/>
      <c r="M168" s="276"/>
      <c r="N168" s="45"/>
      <c r="O168" s="45"/>
      <c r="P168" s="45"/>
      <c r="Q168" s="45"/>
      <c r="R168" s="45"/>
      <c r="S168" s="45"/>
      <c r="T168" s="45"/>
      <c r="U168" s="45"/>
      <c r="V168" s="45"/>
      <c r="W168" s="72"/>
      <c r="X168" s="72"/>
      <c r="Y168" s="72"/>
      <c r="Z168" s="72"/>
      <c r="AA168" s="72"/>
      <c r="AB168" s="72"/>
      <c r="AC168" s="72"/>
      <c r="AD168" s="72"/>
      <c r="AE168" s="72"/>
      <c r="AF168" s="72"/>
      <c r="AG168" s="72"/>
      <c r="AH168" s="72"/>
      <c r="AI168" s="72"/>
      <c r="AJ168" s="72"/>
      <c r="AK168" s="72"/>
      <c r="AL168" s="72"/>
      <c r="AM168" s="72"/>
      <c r="AN168" s="72"/>
    </row>
    <row r="169" spans="1:40" x14ac:dyDescent="0.2">
      <c r="A169" s="231"/>
      <c r="B169" s="236"/>
      <c r="C169" s="153">
        <f t="shared" si="74"/>
        <v>75</v>
      </c>
      <c r="D169" s="152">
        <f t="shared" si="75"/>
        <v>150</v>
      </c>
      <c r="E169" s="246"/>
      <c r="F169" s="153">
        <f t="shared" si="76"/>
        <v>11.81</v>
      </c>
      <c r="G169" s="152">
        <f t="shared" si="77"/>
        <v>0</v>
      </c>
      <c r="H169" s="285"/>
      <c r="I169" s="276"/>
      <c r="J169" s="276"/>
      <c r="K169" s="276"/>
      <c r="L169" s="276"/>
      <c r="M169" s="276"/>
      <c r="N169" s="45"/>
      <c r="O169" s="45"/>
      <c r="P169" s="45"/>
      <c r="Q169" s="45"/>
      <c r="R169" s="45"/>
      <c r="S169" s="45"/>
      <c r="T169" s="45"/>
      <c r="U169" s="45"/>
      <c r="V169" s="45"/>
      <c r="W169" s="72"/>
      <c r="X169" s="72"/>
      <c r="Y169" s="72"/>
      <c r="Z169" s="72"/>
      <c r="AA169" s="72"/>
      <c r="AB169" s="72"/>
      <c r="AC169" s="72"/>
      <c r="AD169" s="72"/>
      <c r="AE169" s="72"/>
      <c r="AF169" s="72"/>
      <c r="AG169" s="72"/>
      <c r="AH169" s="72"/>
      <c r="AI169" s="72"/>
      <c r="AJ169" s="72"/>
      <c r="AK169" s="72"/>
      <c r="AL169" s="72"/>
      <c r="AM169" s="72"/>
      <c r="AN169" s="72"/>
    </row>
    <row r="170" spans="1:40" x14ac:dyDescent="0.2">
      <c r="A170" s="231"/>
      <c r="B170" s="236"/>
      <c r="C170" s="153">
        <f t="shared" si="74"/>
        <v>88</v>
      </c>
      <c r="D170" s="152">
        <f t="shared" si="75"/>
        <v>150</v>
      </c>
      <c r="E170" s="246"/>
      <c r="F170" s="153">
        <f t="shared" si="76"/>
        <v>86.81</v>
      </c>
      <c r="G170" s="152">
        <f t="shared" si="77"/>
        <v>0</v>
      </c>
      <c r="H170" s="285"/>
      <c r="I170" s="276"/>
      <c r="J170" s="276"/>
      <c r="K170" s="276"/>
      <c r="L170" s="276"/>
      <c r="M170" s="276"/>
      <c r="N170" s="45"/>
      <c r="O170" s="45"/>
      <c r="P170" s="45"/>
      <c r="Q170" s="45"/>
      <c r="R170" s="45"/>
      <c r="S170" s="45"/>
      <c r="T170" s="45"/>
      <c r="U170" s="45"/>
      <c r="V170" s="45"/>
      <c r="W170" s="72"/>
      <c r="X170" s="72"/>
      <c r="Y170" s="72"/>
      <c r="Z170" s="72"/>
      <c r="AA170" s="72"/>
      <c r="AB170" s="72"/>
      <c r="AC170" s="72"/>
      <c r="AD170" s="72"/>
      <c r="AE170" s="72"/>
      <c r="AF170" s="72"/>
      <c r="AG170" s="72"/>
      <c r="AH170" s="72"/>
      <c r="AI170" s="72"/>
      <c r="AJ170" s="72"/>
      <c r="AK170" s="72"/>
      <c r="AL170" s="72"/>
      <c r="AM170" s="72"/>
      <c r="AN170" s="72"/>
    </row>
    <row r="171" spans="1:40" x14ac:dyDescent="0.2">
      <c r="A171" s="231"/>
      <c r="B171" s="236"/>
      <c r="C171" s="153">
        <f t="shared" si="74"/>
        <v>94</v>
      </c>
      <c r="D171" s="152">
        <f t="shared" si="75"/>
        <v>150</v>
      </c>
      <c r="E171" s="246"/>
      <c r="F171" s="153">
        <f t="shared" si="76"/>
        <v>89.93</v>
      </c>
      <c r="G171" s="152">
        <f t="shared" si="77"/>
        <v>0</v>
      </c>
      <c r="H171" s="285"/>
      <c r="I171" s="276"/>
      <c r="J171" s="276"/>
      <c r="K171" s="276"/>
      <c r="L171" s="276"/>
      <c r="M171" s="276"/>
      <c r="N171" s="45"/>
      <c r="O171" s="45"/>
      <c r="P171" s="45"/>
      <c r="Q171" s="45"/>
      <c r="R171" s="45"/>
      <c r="S171" s="45"/>
      <c r="T171" s="45"/>
      <c r="U171" s="45"/>
      <c r="V171" s="45"/>
      <c r="W171" s="72"/>
      <c r="X171" s="72"/>
      <c r="Y171" s="72"/>
      <c r="Z171" s="72"/>
      <c r="AA171" s="72"/>
      <c r="AB171" s="72"/>
      <c r="AC171" s="72"/>
      <c r="AD171" s="72"/>
      <c r="AE171" s="72"/>
      <c r="AF171" s="72"/>
      <c r="AG171" s="72"/>
      <c r="AH171" s="72"/>
      <c r="AI171" s="72"/>
      <c r="AJ171" s="72"/>
      <c r="AK171" s="72"/>
      <c r="AL171" s="72"/>
      <c r="AM171" s="72"/>
      <c r="AN171" s="72"/>
    </row>
    <row r="172" spans="1:40" x14ac:dyDescent="0.2">
      <c r="A172" s="231"/>
      <c r="B172" s="236"/>
      <c r="C172" s="153">
        <f t="shared" si="74"/>
        <v>95</v>
      </c>
      <c r="D172" s="152">
        <f t="shared" si="75"/>
        <v>150</v>
      </c>
      <c r="E172" s="246"/>
      <c r="F172" s="153">
        <f t="shared" si="76"/>
        <v>93.06</v>
      </c>
      <c r="G172" s="152">
        <f t="shared" si="77"/>
        <v>0</v>
      </c>
      <c r="H172" s="285"/>
      <c r="I172" s="276"/>
      <c r="J172" s="276"/>
      <c r="K172" s="276"/>
      <c r="L172" s="276"/>
      <c r="M172" s="276"/>
      <c r="N172" s="45"/>
      <c r="O172" s="45"/>
      <c r="P172" s="45"/>
      <c r="Q172" s="45"/>
      <c r="R172" s="45"/>
      <c r="S172" s="45"/>
      <c r="T172" s="45"/>
      <c r="U172" s="45"/>
      <c r="V172" s="45"/>
      <c r="W172" s="72"/>
      <c r="X172" s="72"/>
      <c r="Y172" s="72"/>
      <c r="Z172" s="72"/>
      <c r="AA172" s="72"/>
      <c r="AB172" s="72"/>
      <c r="AC172" s="72"/>
      <c r="AD172" s="72"/>
      <c r="AE172" s="72"/>
      <c r="AF172" s="72"/>
      <c r="AG172" s="72"/>
      <c r="AH172" s="72"/>
      <c r="AI172" s="72"/>
      <c r="AJ172" s="72"/>
      <c r="AK172" s="72"/>
      <c r="AL172" s="72"/>
      <c r="AM172" s="72"/>
      <c r="AN172" s="72"/>
    </row>
    <row r="173" spans="1:40" ht="12.75" customHeight="1" thickBot="1" x14ac:dyDescent="0.25">
      <c r="A173" s="238"/>
      <c r="B173" s="240"/>
      <c r="C173" s="157">
        <f t="shared" si="74"/>
        <v>100</v>
      </c>
      <c r="D173" s="156">
        <f t="shared" si="75"/>
        <v>150</v>
      </c>
      <c r="E173" s="247"/>
      <c r="F173" s="157">
        <f t="shared" si="76"/>
        <v>100</v>
      </c>
      <c r="G173" s="156">
        <f t="shared" si="77"/>
        <v>0</v>
      </c>
      <c r="H173" s="287"/>
      <c r="I173" s="61"/>
      <c r="J173" s="45"/>
      <c r="K173" s="45"/>
      <c r="L173" s="45"/>
      <c r="M173" s="45"/>
      <c r="N173" s="45"/>
      <c r="O173" s="45"/>
      <c r="P173" s="45"/>
      <c r="Q173" s="45"/>
      <c r="R173" s="45"/>
      <c r="S173" s="45"/>
      <c r="T173" s="45"/>
      <c r="U173" s="45"/>
      <c r="V173" s="45"/>
      <c r="W173" s="72"/>
      <c r="X173" s="72"/>
      <c r="Y173" s="72"/>
      <c r="Z173" s="72"/>
      <c r="AA173" s="72"/>
      <c r="AB173" s="72"/>
      <c r="AC173" s="72"/>
      <c r="AD173" s="72"/>
      <c r="AE173" s="72"/>
      <c r="AF173" s="72"/>
      <c r="AG173" s="72"/>
      <c r="AH173" s="72"/>
      <c r="AI173" s="72"/>
      <c r="AJ173" s="72"/>
      <c r="AK173" s="72"/>
      <c r="AL173" s="72"/>
      <c r="AM173" s="72"/>
      <c r="AN173" s="72"/>
    </row>
    <row r="174" spans="1:40" ht="12.75" customHeight="1" x14ac:dyDescent="0.25">
      <c r="A174" s="2"/>
      <c r="B174" s="2"/>
      <c r="C174" s="26"/>
      <c r="G174" s="26"/>
      <c r="H174" s="61"/>
      <c r="I174" s="61"/>
      <c r="J174" s="45"/>
      <c r="K174" s="45"/>
      <c r="L174" s="45"/>
      <c r="M174" s="45"/>
      <c r="N174" s="45"/>
      <c r="O174" s="45"/>
      <c r="P174" s="45"/>
      <c r="Q174" s="45"/>
      <c r="R174" s="45"/>
      <c r="S174" s="45"/>
      <c r="T174" s="45"/>
      <c r="U174" s="45"/>
      <c r="V174" s="45"/>
      <c r="W174" s="72"/>
      <c r="X174" s="72"/>
      <c r="Y174" s="72"/>
      <c r="Z174" s="72"/>
      <c r="AA174" s="72"/>
      <c r="AB174" s="72"/>
      <c r="AC174" s="72"/>
      <c r="AD174" s="72"/>
      <c r="AE174" s="72"/>
      <c r="AF174" s="72"/>
      <c r="AG174" s="72"/>
      <c r="AH174" s="72"/>
      <c r="AI174" s="72"/>
      <c r="AJ174" s="72"/>
      <c r="AK174" s="72"/>
      <c r="AL174" s="72"/>
      <c r="AM174" s="72"/>
      <c r="AN174" s="72"/>
    </row>
    <row r="175" spans="1:40" x14ac:dyDescent="0.2">
      <c r="A175" s="363" t="s">
        <v>22</v>
      </c>
      <c r="B175" s="363"/>
      <c r="C175" s="363"/>
      <c r="D175" s="363"/>
      <c r="E175" s="2"/>
      <c r="F175" s="2"/>
      <c r="G175" s="2"/>
      <c r="H175" s="61"/>
      <c r="I175" s="61"/>
      <c r="J175" s="61"/>
      <c r="K175" s="61"/>
      <c r="L175" s="61"/>
      <c r="M175" s="61"/>
      <c r="N175" s="45"/>
      <c r="O175" s="45"/>
      <c r="P175" s="45"/>
      <c r="Q175" s="45"/>
      <c r="R175" s="45"/>
      <c r="S175" s="45"/>
      <c r="T175" s="45"/>
      <c r="U175" s="45"/>
      <c r="V175" s="45"/>
      <c r="W175" s="72"/>
      <c r="X175" s="72"/>
      <c r="Y175" s="72"/>
      <c r="Z175" s="72"/>
      <c r="AA175" s="72"/>
      <c r="AB175" s="72"/>
      <c r="AC175" s="72"/>
      <c r="AD175" s="72"/>
      <c r="AE175" s="72"/>
      <c r="AF175" s="72"/>
      <c r="AG175" s="72"/>
      <c r="AH175" s="72"/>
      <c r="AI175" s="72"/>
      <c r="AJ175" s="72"/>
      <c r="AK175" s="72"/>
      <c r="AL175" s="72"/>
      <c r="AM175" s="72"/>
      <c r="AN175" s="72"/>
    </row>
    <row r="176" spans="1:40" ht="12.75" customHeight="1" x14ac:dyDescent="0.2">
      <c r="A176" s="2"/>
      <c r="B176" s="64"/>
      <c r="C176" s="2"/>
      <c r="D176" s="362" t="s">
        <v>3</v>
      </c>
      <c r="E176" s="362"/>
      <c r="F176" s="362"/>
      <c r="G176" s="2"/>
      <c r="H176" s="2"/>
      <c r="I176" s="362" t="s">
        <v>4</v>
      </c>
      <c r="J176" s="362"/>
      <c r="K176" s="362"/>
      <c r="L176" s="362"/>
      <c r="M176" s="14"/>
      <c r="P176" s="130"/>
    </row>
    <row r="177" spans="1:16" x14ac:dyDescent="0.2">
      <c r="A177" s="2"/>
      <c r="B177" s="2"/>
      <c r="C177" s="2"/>
      <c r="D177" s="362"/>
      <c r="E177" s="362"/>
      <c r="F177" s="362"/>
      <c r="G177" s="2"/>
      <c r="H177" s="2"/>
      <c r="I177" s="362"/>
      <c r="J177" s="362"/>
      <c r="K177" s="362"/>
      <c r="L177" s="362"/>
      <c r="M177" s="14"/>
    </row>
    <row r="178" spans="1:16" x14ac:dyDescent="0.2">
      <c r="A178" s="2"/>
      <c r="B178" s="2"/>
      <c r="C178" s="2"/>
      <c r="D178" s="2"/>
      <c r="E178" s="2"/>
      <c r="F178" s="2"/>
      <c r="G178" s="2"/>
      <c r="H178" s="2"/>
      <c r="I178" s="2"/>
      <c r="J178" s="2"/>
      <c r="K178" s="2"/>
      <c r="L178" s="2"/>
      <c r="M178" s="2"/>
    </row>
    <row r="179" spans="1:16" ht="13.5" thickBot="1" x14ac:dyDescent="0.25">
      <c r="A179" s="121"/>
      <c r="B179" s="121"/>
      <c r="C179" s="2"/>
      <c r="D179" s="2"/>
      <c r="E179" s="2"/>
      <c r="F179" s="2"/>
      <c r="G179" s="2"/>
      <c r="H179" s="2"/>
      <c r="I179" s="2"/>
      <c r="J179" s="2"/>
      <c r="K179" s="2"/>
      <c r="L179" s="2"/>
      <c r="M179" s="2"/>
      <c r="O179" s="122"/>
      <c r="P179" s="122"/>
    </row>
    <row r="180" spans="1:16" ht="13.5" thickBot="1" x14ac:dyDescent="0.25">
      <c r="A180" s="129" t="s">
        <v>73</v>
      </c>
      <c r="B180" s="119" t="s">
        <v>16</v>
      </c>
      <c r="C180" s="2"/>
      <c r="D180" s="2"/>
      <c r="E180" s="2"/>
      <c r="F180" s="2"/>
      <c r="G180" s="2"/>
      <c r="H180" s="2"/>
      <c r="I180" s="2"/>
      <c r="J180" s="2"/>
      <c r="K180" s="2"/>
      <c r="L180" s="2"/>
      <c r="M180" s="2"/>
      <c r="O180" s="144"/>
      <c r="P180" s="119" t="s">
        <v>16</v>
      </c>
    </row>
    <row r="181" spans="1:16" ht="13.5" thickBot="1" x14ac:dyDescent="0.25">
      <c r="A181" s="311" t="s">
        <v>74</v>
      </c>
      <c r="B181" s="210">
        <v>60</v>
      </c>
      <c r="C181" s="2"/>
      <c r="D181" s="2"/>
      <c r="E181" s="2"/>
      <c r="F181" s="2"/>
      <c r="G181" s="2"/>
      <c r="H181" s="2"/>
      <c r="I181" s="2"/>
      <c r="J181" s="2"/>
      <c r="K181" s="2"/>
      <c r="L181" s="2"/>
      <c r="M181" s="2"/>
      <c r="O181" s="80"/>
      <c r="P181" s="210">
        <v>60</v>
      </c>
    </row>
    <row r="182" spans="1:16" ht="13.5" thickBot="1" x14ac:dyDescent="0.25">
      <c r="A182" s="128"/>
      <c r="B182" s="310"/>
      <c r="C182" s="2"/>
      <c r="D182" s="2"/>
      <c r="E182" s="2"/>
      <c r="F182" s="2"/>
      <c r="G182" s="2"/>
      <c r="H182" s="2"/>
      <c r="I182" s="2"/>
      <c r="J182" s="2"/>
      <c r="K182" s="2"/>
      <c r="L182" s="2"/>
      <c r="M182" s="2"/>
      <c r="O182" s="122"/>
      <c r="P182" s="122"/>
    </row>
    <row r="183" spans="1:16" ht="13.5" thickBot="1" x14ac:dyDescent="0.25">
      <c r="A183" s="118" t="s">
        <v>1</v>
      </c>
      <c r="B183" s="119" t="s">
        <v>14</v>
      </c>
      <c r="C183" s="2"/>
      <c r="D183" s="2"/>
      <c r="E183" s="2"/>
      <c r="F183" s="2"/>
      <c r="G183" s="2"/>
      <c r="H183" s="2"/>
      <c r="K183" s="2"/>
      <c r="L183" s="2"/>
      <c r="M183" s="2"/>
      <c r="O183" s="118" t="s">
        <v>1</v>
      </c>
      <c r="P183" s="119" t="s">
        <v>14</v>
      </c>
    </row>
    <row r="184" spans="1:16" x14ac:dyDescent="0.2">
      <c r="A184" s="48">
        <v>0</v>
      </c>
      <c r="B184" s="51">
        <v>100</v>
      </c>
      <c r="C184" s="2"/>
      <c r="D184" s="2"/>
      <c r="E184" s="2"/>
      <c r="F184" s="2"/>
      <c r="G184" s="2"/>
      <c r="H184" s="2"/>
      <c r="I184" s="2"/>
      <c r="J184" s="2"/>
      <c r="K184" s="2"/>
      <c r="L184" s="2"/>
      <c r="M184" s="2"/>
      <c r="O184" s="54">
        <v>0</v>
      </c>
      <c r="P184" s="51">
        <v>131</v>
      </c>
    </row>
    <row r="185" spans="1:16" x14ac:dyDescent="0.2">
      <c r="A185" s="49">
        <v>10</v>
      </c>
      <c r="B185" s="52">
        <v>100</v>
      </c>
      <c r="C185" s="2"/>
      <c r="D185" s="2"/>
      <c r="E185" s="2"/>
      <c r="F185" s="2"/>
      <c r="G185" s="2"/>
      <c r="H185" s="2"/>
      <c r="I185" s="2"/>
      <c r="J185" s="2"/>
      <c r="K185" s="2"/>
      <c r="L185" s="2"/>
      <c r="M185" s="2"/>
      <c r="O185" s="49">
        <v>4.51</v>
      </c>
      <c r="P185" s="52">
        <v>120</v>
      </c>
    </row>
    <row r="186" spans="1:16" x14ac:dyDescent="0.2">
      <c r="A186" s="49">
        <v>17.36</v>
      </c>
      <c r="B186" s="52">
        <v>100</v>
      </c>
      <c r="C186" s="2"/>
      <c r="D186" s="2"/>
      <c r="E186" s="2"/>
      <c r="F186" s="2"/>
      <c r="G186" s="2"/>
      <c r="H186" s="2"/>
      <c r="I186" s="2"/>
      <c r="J186" s="2"/>
      <c r="K186" s="2"/>
      <c r="L186" s="2"/>
      <c r="M186" s="2"/>
      <c r="O186" s="49">
        <v>14.93</v>
      </c>
      <c r="P186" s="52">
        <v>100</v>
      </c>
    </row>
    <row r="187" spans="1:16" x14ac:dyDescent="0.2">
      <c r="A187" s="49">
        <v>19.79</v>
      </c>
      <c r="B187" s="52">
        <v>0</v>
      </c>
      <c r="C187" s="2"/>
      <c r="D187" s="2"/>
      <c r="E187" s="2"/>
      <c r="F187" s="2"/>
      <c r="G187" s="2"/>
      <c r="H187" s="2"/>
      <c r="I187" s="2"/>
      <c r="J187" s="2"/>
      <c r="K187" s="2"/>
      <c r="L187" s="2"/>
      <c r="M187" s="2"/>
      <c r="O187" s="49">
        <v>57</v>
      </c>
      <c r="P187" s="52">
        <v>100</v>
      </c>
    </row>
    <row r="188" spans="1:16" x14ac:dyDescent="0.2">
      <c r="A188" s="49">
        <v>64.239999999999995</v>
      </c>
      <c r="B188" s="52">
        <v>0</v>
      </c>
      <c r="C188" s="109"/>
      <c r="D188" s="109"/>
      <c r="E188" s="109"/>
      <c r="F188" s="109"/>
      <c r="G188" s="109"/>
      <c r="H188" s="109"/>
      <c r="I188" s="109"/>
      <c r="J188" s="109"/>
      <c r="K188" s="109"/>
      <c r="L188" s="109"/>
      <c r="M188" s="109"/>
      <c r="O188" s="49">
        <v>79</v>
      </c>
      <c r="P188" s="52">
        <v>100</v>
      </c>
    </row>
    <row r="189" spans="1:16" x14ac:dyDescent="0.2">
      <c r="A189" s="49">
        <v>75.349999999999994</v>
      </c>
      <c r="B189" s="52">
        <v>150</v>
      </c>
      <c r="C189" s="109"/>
      <c r="D189" s="109"/>
      <c r="E189" s="109"/>
      <c r="F189" s="109"/>
      <c r="G189" s="109"/>
      <c r="H189" s="109"/>
      <c r="I189" s="109"/>
      <c r="J189" s="109"/>
      <c r="K189" s="109"/>
      <c r="L189" s="109"/>
      <c r="M189" s="109"/>
      <c r="O189" s="49">
        <v>85</v>
      </c>
      <c r="P189" s="52">
        <v>100</v>
      </c>
    </row>
    <row r="190" spans="1:16" x14ac:dyDescent="0.2">
      <c r="A190" s="49">
        <v>92.01</v>
      </c>
      <c r="B190" s="52">
        <v>131</v>
      </c>
      <c r="C190" s="2"/>
      <c r="D190" s="2"/>
      <c r="E190" s="2"/>
      <c r="F190" s="2"/>
      <c r="G190" s="2"/>
      <c r="H190" s="2"/>
      <c r="I190" s="2"/>
      <c r="J190" s="2"/>
      <c r="K190" s="2"/>
      <c r="L190" s="2"/>
      <c r="M190" s="2"/>
      <c r="O190" s="49">
        <v>95</v>
      </c>
      <c r="P190" s="52">
        <v>100</v>
      </c>
    </row>
    <row r="191" spans="1:16" ht="13.5" thickBot="1" x14ac:dyDescent="0.25">
      <c r="A191" s="50">
        <v>100</v>
      </c>
      <c r="B191" s="53">
        <v>131</v>
      </c>
      <c r="C191" s="2"/>
      <c r="D191" s="2"/>
      <c r="E191" s="2"/>
      <c r="F191" s="2"/>
      <c r="G191" s="2"/>
      <c r="H191" s="2"/>
      <c r="I191" s="2"/>
      <c r="J191" s="2"/>
      <c r="K191" s="2"/>
      <c r="L191" s="2"/>
      <c r="M191" s="2"/>
      <c r="O191" s="50">
        <v>100</v>
      </c>
      <c r="P191" s="53">
        <v>100</v>
      </c>
    </row>
    <row r="192" spans="1:16" ht="13.5" thickBot="1" x14ac:dyDescent="0.25">
      <c r="A192" s="2"/>
      <c r="B192" s="2"/>
      <c r="C192" s="2"/>
      <c r="D192" s="2"/>
      <c r="E192" s="2"/>
      <c r="F192" s="2"/>
      <c r="G192" s="2"/>
      <c r="H192" s="2"/>
      <c r="I192" s="2"/>
      <c r="J192" s="2"/>
      <c r="K192" s="2"/>
      <c r="L192" s="2"/>
      <c r="M192" s="2"/>
    </row>
    <row r="193" spans="1:16" ht="13.5" thickBot="1" x14ac:dyDescent="0.25">
      <c r="A193" s="342" t="s">
        <v>15</v>
      </c>
      <c r="B193" s="25" t="s">
        <v>14</v>
      </c>
      <c r="C193" s="2"/>
      <c r="D193" s="2"/>
      <c r="E193" s="2"/>
      <c r="F193" s="2"/>
      <c r="G193" s="2"/>
      <c r="H193" s="2"/>
      <c r="I193" s="2"/>
      <c r="J193" s="2"/>
      <c r="K193" s="2"/>
      <c r="L193" s="2"/>
      <c r="M193" s="2"/>
      <c r="O193" s="24" t="s">
        <v>15</v>
      </c>
      <c r="P193" s="25" t="s">
        <v>14</v>
      </c>
    </row>
    <row r="194" spans="1:16" x14ac:dyDescent="0.2">
      <c r="A194" s="37">
        <f t="shared" ref="A194:A201" si="78">A184*F$4/100</f>
        <v>0</v>
      </c>
      <c r="B194" s="38">
        <f t="shared" ref="B194:B201" si="79">B184</f>
        <v>100</v>
      </c>
      <c r="C194" s="2"/>
      <c r="D194" s="2"/>
      <c r="E194" s="2"/>
      <c r="F194" s="2"/>
      <c r="G194" s="2"/>
      <c r="H194" s="2"/>
      <c r="I194" s="2"/>
      <c r="J194" s="2"/>
      <c r="K194" s="2"/>
      <c r="L194" s="2"/>
      <c r="M194" s="2"/>
      <c r="O194" s="37">
        <f t="shared" ref="O194:O201" si="80">O184*F$5/100</f>
        <v>0</v>
      </c>
      <c r="P194" s="38">
        <f t="shared" ref="P194:P201" si="81">P184</f>
        <v>131</v>
      </c>
    </row>
    <row r="195" spans="1:16" x14ac:dyDescent="0.2">
      <c r="A195" s="39">
        <f t="shared" si="78"/>
        <v>0.13700000000000001</v>
      </c>
      <c r="B195" s="40">
        <f t="shared" si="79"/>
        <v>100</v>
      </c>
      <c r="C195" s="2"/>
      <c r="D195" s="2"/>
      <c r="E195" s="2"/>
      <c r="F195" s="2"/>
      <c r="G195" s="2"/>
      <c r="H195" s="2"/>
      <c r="I195" s="2"/>
      <c r="J195" s="2"/>
      <c r="K195" s="2"/>
      <c r="L195" s="2"/>
      <c r="M195" s="2"/>
      <c r="O195" s="39">
        <f t="shared" si="80"/>
        <v>6.7650000000000002E-2</v>
      </c>
      <c r="P195" s="40">
        <f t="shared" si="81"/>
        <v>120</v>
      </c>
    </row>
    <row r="196" spans="1:16" x14ac:dyDescent="0.2">
      <c r="A196" s="39">
        <f t="shared" si="78"/>
        <v>0.23783200000000002</v>
      </c>
      <c r="B196" s="40">
        <f t="shared" si="79"/>
        <v>100</v>
      </c>
      <c r="C196" s="2"/>
      <c r="D196" s="2"/>
      <c r="E196" s="2"/>
      <c r="F196" s="2"/>
      <c r="G196" s="2"/>
      <c r="H196" s="2"/>
      <c r="I196" s="2"/>
      <c r="J196" s="2"/>
      <c r="K196" s="2"/>
      <c r="L196" s="2"/>
      <c r="M196" s="2"/>
      <c r="O196" s="39">
        <f t="shared" si="80"/>
        <v>0.22394999999999998</v>
      </c>
      <c r="P196" s="40">
        <f t="shared" si="81"/>
        <v>100</v>
      </c>
    </row>
    <row r="197" spans="1:16" x14ac:dyDescent="0.2">
      <c r="A197" s="39">
        <f t="shared" si="78"/>
        <v>0.271123</v>
      </c>
      <c r="B197" s="40">
        <f t="shared" si="79"/>
        <v>0</v>
      </c>
      <c r="C197" s="2"/>
      <c r="D197" s="2"/>
      <c r="E197" s="2"/>
      <c r="F197" s="2"/>
      <c r="G197" s="2"/>
      <c r="H197" s="2"/>
      <c r="I197" s="2"/>
      <c r="J197" s="2"/>
      <c r="K197" s="2"/>
      <c r="L197" s="2"/>
      <c r="M197" s="2"/>
      <c r="O197" s="39">
        <f t="shared" si="80"/>
        <v>0.85499999999999998</v>
      </c>
      <c r="P197" s="40">
        <f t="shared" si="81"/>
        <v>100</v>
      </c>
    </row>
    <row r="198" spans="1:16" x14ac:dyDescent="0.2">
      <c r="A198" s="39">
        <f t="shared" si="78"/>
        <v>0.88008799999999998</v>
      </c>
      <c r="B198" s="40">
        <f t="shared" si="79"/>
        <v>0</v>
      </c>
      <c r="C198" s="109"/>
      <c r="D198" s="109"/>
      <c r="E198" s="109"/>
      <c r="F198" s="109"/>
      <c r="G198" s="109"/>
      <c r="H198" s="109"/>
      <c r="I198" s="109"/>
      <c r="J198" s="109"/>
      <c r="K198" s="109"/>
      <c r="L198" s="109"/>
      <c r="M198" s="109"/>
      <c r="O198" s="39">
        <f t="shared" si="80"/>
        <v>1.1850000000000001</v>
      </c>
      <c r="P198" s="40">
        <f t="shared" si="81"/>
        <v>100</v>
      </c>
    </row>
    <row r="199" spans="1:16" x14ac:dyDescent="0.2">
      <c r="A199" s="39">
        <f t="shared" si="78"/>
        <v>1.032295</v>
      </c>
      <c r="B199" s="40">
        <f t="shared" si="79"/>
        <v>150</v>
      </c>
      <c r="C199" s="109"/>
      <c r="D199" s="109"/>
      <c r="E199" s="109"/>
      <c r="F199" s="109"/>
      <c r="G199" s="109"/>
      <c r="H199" s="109"/>
      <c r="I199" s="109"/>
      <c r="J199" s="109"/>
      <c r="K199" s="109"/>
      <c r="L199" s="109"/>
      <c r="M199" s="109"/>
      <c r="O199" s="39">
        <f t="shared" si="80"/>
        <v>1.2749999999999999</v>
      </c>
      <c r="P199" s="40">
        <f t="shared" si="81"/>
        <v>100</v>
      </c>
    </row>
    <row r="200" spans="1:16" x14ac:dyDescent="0.2">
      <c r="A200" s="39">
        <f t="shared" si="78"/>
        <v>1.2605370000000002</v>
      </c>
      <c r="B200" s="123">
        <f t="shared" si="79"/>
        <v>131</v>
      </c>
      <c r="C200" s="2"/>
      <c r="D200" s="2"/>
      <c r="E200" s="2"/>
      <c r="F200" s="2"/>
      <c r="G200" s="2"/>
      <c r="H200" s="2"/>
      <c r="I200" s="2"/>
      <c r="J200" s="2"/>
      <c r="K200" s="2"/>
      <c r="L200" s="2"/>
      <c r="M200" s="2"/>
      <c r="O200" s="120">
        <f t="shared" si="80"/>
        <v>1.425</v>
      </c>
      <c r="P200" s="123">
        <f t="shared" si="81"/>
        <v>100</v>
      </c>
    </row>
    <row r="201" spans="1:16" ht="13.5" thickBot="1" x14ac:dyDescent="0.25">
      <c r="A201" s="41">
        <f t="shared" si="78"/>
        <v>1.37</v>
      </c>
      <c r="B201" s="42">
        <f t="shared" si="79"/>
        <v>131</v>
      </c>
      <c r="C201" s="2"/>
      <c r="D201" s="2"/>
      <c r="E201" s="2"/>
      <c r="F201" s="2"/>
      <c r="G201" s="2"/>
      <c r="H201" s="2"/>
      <c r="I201" s="2"/>
      <c r="J201" s="2"/>
      <c r="K201" s="2"/>
      <c r="L201" s="2"/>
      <c r="M201" s="2"/>
      <c r="O201" s="41">
        <f t="shared" si="80"/>
        <v>1.5</v>
      </c>
      <c r="P201" s="42">
        <f t="shared" si="81"/>
        <v>100</v>
      </c>
    </row>
    <row r="202" spans="1:16" x14ac:dyDescent="0.2">
      <c r="A202" s="2"/>
      <c r="B202" s="2"/>
      <c r="C202" s="2"/>
      <c r="D202" s="2"/>
      <c r="E202" s="2"/>
      <c r="F202" s="2"/>
      <c r="G202" s="2"/>
      <c r="H202" s="2"/>
      <c r="I202" s="2"/>
      <c r="J202" s="2"/>
      <c r="K202" s="2"/>
      <c r="L202" s="2"/>
      <c r="M202" s="2"/>
    </row>
    <row r="203" spans="1:16" ht="13.5" thickBot="1" x14ac:dyDescent="0.25">
      <c r="A203" s="121"/>
      <c r="B203" s="121"/>
      <c r="C203" s="2"/>
      <c r="D203" s="2"/>
      <c r="E203" s="2"/>
      <c r="F203" s="2"/>
      <c r="G203" s="2"/>
      <c r="H203" s="2"/>
      <c r="I203" s="2"/>
      <c r="J203" s="2"/>
      <c r="K203" s="2"/>
      <c r="L203" s="2"/>
      <c r="M203" s="2"/>
      <c r="O203" s="122"/>
      <c r="P203" s="122"/>
    </row>
    <row r="204" spans="1:16" ht="13.5" thickBot="1" x14ac:dyDescent="0.25">
      <c r="A204" s="129" t="s">
        <v>73</v>
      </c>
      <c r="B204" s="119" t="s">
        <v>16</v>
      </c>
      <c r="C204" s="2"/>
      <c r="D204" s="2"/>
      <c r="E204" s="2"/>
      <c r="F204" s="2"/>
      <c r="G204" s="2"/>
      <c r="H204" s="2"/>
      <c r="I204" s="2"/>
      <c r="J204" s="2"/>
      <c r="K204" s="2"/>
      <c r="L204" s="2"/>
      <c r="M204" s="2"/>
      <c r="O204" s="144"/>
      <c r="P204" s="119" t="s">
        <v>16</v>
      </c>
    </row>
    <row r="205" spans="1:16" ht="13.5" thickBot="1" x14ac:dyDescent="0.25">
      <c r="A205" s="311" t="s">
        <v>75</v>
      </c>
      <c r="B205" s="210">
        <v>30</v>
      </c>
      <c r="C205" s="2"/>
      <c r="D205" s="2"/>
      <c r="E205" s="2"/>
      <c r="F205" s="2"/>
      <c r="G205" s="2"/>
      <c r="H205" s="2"/>
      <c r="I205" s="2"/>
      <c r="J205" s="2"/>
      <c r="K205" s="2"/>
      <c r="L205" s="2"/>
      <c r="M205" s="2"/>
      <c r="O205" s="65"/>
      <c r="P205" s="210">
        <v>60</v>
      </c>
    </row>
    <row r="206" spans="1:16" ht="13.5" thickBot="1" x14ac:dyDescent="0.25">
      <c r="A206" s="121"/>
      <c r="B206" s="121"/>
      <c r="C206" s="2"/>
      <c r="D206" s="2"/>
      <c r="E206" s="2"/>
      <c r="F206" s="2"/>
      <c r="G206" s="2"/>
      <c r="H206" s="2"/>
      <c r="I206" s="2"/>
      <c r="J206" s="2"/>
      <c r="K206" s="2"/>
      <c r="L206" s="2"/>
      <c r="M206" s="2"/>
      <c r="O206" s="122"/>
      <c r="P206" s="122"/>
    </row>
    <row r="207" spans="1:16" ht="13.5" thickBot="1" x14ac:dyDescent="0.25">
      <c r="A207" s="118" t="s">
        <v>1</v>
      </c>
      <c r="B207" s="119" t="s">
        <v>14</v>
      </c>
      <c r="C207" s="2"/>
      <c r="D207" s="2"/>
      <c r="E207" s="2"/>
      <c r="F207" s="2"/>
      <c r="G207" s="2"/>
      <c r="H207" s="2"/>
      <c r="I207" s="2"/>
      <c r="J207" s="2"/>
      <c r="K207" s="2"/>
      <c r="L207" s="2"/>
      <c r="M207" s="2"/>
      <c r="O207" s="118" t="s">
        <v>1</v>
      </c>
      <c r="P207" s="119" t="s">
        <v>14</v>
      </c>
    </row>
    <row r="208" spans="1:16" x14ac:dyDescent="0.2">
      <c r="A208" s="54">
        <v>0</v>
      </c>
      <c r="B208" s="51">
        <v>0</v>
      </c>
      <c r="C208" s="2"/>
      <c r="D208" s="2"/>
      <c r="E208" s="2"/>
      <c r="F208" s="2"/>
      <c r="G208" s="2"/>
      <c r="H208" s="2"/>
      <c r="I208" s="2"/>
      <c r="J208" s="2"/>
      <c r="K208" s="2"/>
      <c r="L208" s="2"/>
      <c r="M208" s="2"/>
      <c r="O208" s="54">
        <v>0</v>
      </c>
      <c r="P208" s="51">
        <v>0</v>
      </c>
    </row>
    <row r="209" spans="1:16" x14ac:dyDescent="0.2">
      <c r="A209" s="49">
        <v>10</v>
      </c>
      <c r="B209" s="52">
        <v>0</v>
      </c>
      <c r="C209" s="2"/>
      <c r="D209" s="2"/>
      <c r="E209" s="2"/>
      <c r="F209" s="2"/>
      <c r="G209" s="2"/>
      <c r="H209" s="2"/>
      <c r="I209" s="2"/>
      <c r="J209" s="2"/>
      <c r="K209" s="2"/>
      <c r="L209" s="2"/>
      <c r="M209" s="2"/>
      <c r="O209" s="49">
        <v>10</v>
      </c>
      <c r="P209" s="52">
        <v>0</v>
      </c>
    </row>
    <row r="210" spans="1:16" x14ac:dyDescent="0.2">
      <c r="A210" s="49">
        <v>17.36</v>
      </c>
      <c r="B210" s="52">
        <v>0</v>
      </c>
      <c r="C210" s="2"/>
      <c r="D210" s="2"/>
      <c r="E210" s="2"/>
      <c r="F210" s="2"/>
      <c r="G210" s="2"/>
      <c r="H210" s="2"/>
      <c r="I210" s="2"/>
      <c r="J210" s="2"/>
      <c r="K210" s="2"/>
      <c r="L210" s="2"/>
      <c r="M210" s="2"/>
      <c r="O210" s="49">
        <v>50</v>
      </c>
      <c r="P210" s="52">
        <v>0</v>
      </c>
    </row>
    <row r="211" spans="1:16" x14ac:dyDescent="0.2">
      <c r="A211" s="49">
        <v>19.79</v>
      </c>
      <c r="B211" s="52">
        <v>60</v>
      </c>
      <c r="C211" s="2"/>
      <c r="D211" s="2"/>
      <c r="E211" s="2"/>
      <c r="F211" s="2"/>
      <c r="G211" s="2"/>
      <c r="H211" s="2"/>
      <c r="I211" s="2"/>
      <c r="J211" s="2"/>
      <c r="K211" s="2"/>
      <c r="L211" s="2"/>
      <c r="M211" s="2"/>
      <c r="O211" s="49">
        <v>75</v>
      </c>
      <c r="P211" s="52">
        <v>0</v>
      </c>
    </row>
    <row r="212" spans="1:16" x14ac:dyDescent="0.2">
      <c r="A212" s="49">
        <v>69.790000000000006</v>
      </c>
      <c r="B212" s="52">
        <v>60</v>
      </c>
      <c r="C212" s="109"/>
      <c r="D212" s="109"/>
      <c r="E212" s="109"/>
      <c r="F212" s="109"/>
      <c r="G212" s="109"/>
      <c r="H212" s="109"/>
      <c r="I212" s="109"/>
      <c r="J212" s="109"/>
      <c r="K212" s="109"/>
      <c r="L212" s="109"/>
      <c r="M212" s="109"/>
      <c r="O212" s="49">
        <v>88</v>
      </c>
      <c r="P212" s="52">
        <v>0</v>
      </c>
    </row>
    <row r="213" spans="1:16" x14ac:dyDescent="0.2">
      <c r="A213" s="49">
        <v>92.01</v>
      </c>
      <c r="B213" s="52">
        <v>0</v>
      </c>
      <c r="C213" s="109"/>
      <c r="D213" s="109"/>
      <c r="E213" s="109"/>
      <c r="F213" s="109"/>
      <c r="G213" s="109"/>
      <c r="H213" s="109"/>
      <c r="I213" s="109"/>
      <c r="J213" s="109"/>
      <c r="K213" s="109"/>
      <c r="L213" s="109"/>
      <c r="M213" s="109"/>
      <c r="O213" s="49">
        <v>94</v>
      </c>
      <c r="P213" s="52">
        <v>0</v>
      </c>
    </row>
    <row r="214" spans="1:16" x14ac:dyDescent="0.2">
      <c r="A214" s="49">
        <v>95</v>
      </c>
      <c r="B214" s="52">
        <v>0</v>
      </c>
      <c r="C214" s="2"/>
      <c r="D214" s="2"/>
      <c r="E214" s="2"/>
      <c r="F214" s="2"/>
      <c r="G214" s="2"/>
      <c r="H214" s="2"/>
      <c r="I214" s="2"/>
      <c r="J214" s="2"/>
      <c r="K214" s="2"/>
      <c r="L214" s="2"/>
      <c r="M214" s="2"/>
      <c r="O214" s="49">
        <v>95</v>
      </c>
      <c r="P214" s="52">
        <v>0</v>
      </c>
    </row>
    <row r="215" spans="1:16" ht="13.5" thickBot="1" x14ac:dyDescent="0.25">
      <c r="A215" s="50">
        <v>100</v>
      </c>
      <c r="B215" s="53">
        <v>0</v>
      </c>
      <c r="C215" s="2"/>
      <c r="D215" s="2"/>
      <c r="E215" s="2"/>
      <c r="F215" s="2"/>
      <c r="G215" s="2"/>
      <c r="H215" s="2"/>
      <c r="I215" s="2"/>
      <c r="J215" s="2"/>
      <c r="K215" s="2"/>
      <c r="L215" s="2"/>
      <c r="M215" s="2"/>
      <c r="O215" s="50">
        <v>100</v>
      </c>
      <c r="P215" s="53">
        <v>0</v>
      </c>
    </row>
    <row r="216" spans="1:16" ht="13.5" thickBot="1" x14ac:dyDescent="0.25">
      <c r="A216" s="2"/>
      <c r="B216" s="2"/>
      <c r="C216" s="2"/>
      <c r="D216" s="2"/>
      <c r="E216" s="2"/>
      <c r="F216" s="2"/>
      <c r="G216" s="2"/>
      <c r="H216" s="2"/>
      <c r="I216" s="2"/>
      <c r="J216" s="2"/>
      <c r="K216" s="2"/>
      <c r="L216" s="2"/>
      <c r="M216" s="2"/>
    </row>
    <row r="217" spans="1:16" ht="13.5" thickBot="1" x14ac:dyDescent="0.25">
      <c r="A217" s="24" t="s">
        <v>15</v>
      </c>
      <c r="B217" s="25" t="s">
        <v>14</v>
      </c>
      <c r="C217" s="2"/>
      <c r="D217" s="2"/>
      <c r="E217" s="2"/>
      <c r="F217" s="2"/>
      <c r="G217" s="2"/>
      <c r="H217" s="2"/>
      <c r="I217" s="2"/>
      <c r="J217" s="2"/>
      <c r="K217" s="2"/>
      <c r="L217" s="2"/>
      <c r="M217" s="2"/>
      <c r="O217" s="24" t="s">
        <v>15</v>
      </c>
      <c r="P217" s="25" t="s">
        <v>14</v>
      </c>
    </row>
    <row r="218" spans="1:16" x14ac:dyDescent="0.2">
      <c r="A218" s="37">
        <f t="shared" ref="A218:A225" si="82">A208*F$4/100</f>
        <v>0</v>
      </c>
      <c r="B218" s="38">
        <f t="shared" ref="B218:B225" si="83">B208</f>
        <v>0</v>
      </c>
      <c r="C218" s="2"/>
      <c r="D218" s="2"/>
      <c r="E218" s="2"/>
      <c r="F218" s="2"/>
      <c r="G218" s="2"/>
      <c r="H218" s="2"/>
      <c r="I218" s="2"/>
      <c r="J218" s="2"/>
      <c r="K218" s="2"/>
      <c r="L218" s="2"/>
      <c r="M218" s="2"/>
      <c r="O218" s="37">
        <f t="shared" ref="O218:O225" si="84">O208*F$5/100</f>
        <v>0</v>
      </c>
      <c r="P218" s="38">
        <f t="shared" ref="P218:P225" si="85">P208</f>
        <v>0</v>
      </c>
    </row>
    <row r="219" spans="1:16" x14ac:dyDescent="0.2">
      <c r="A219" s="39">
        <f t="shared" si="82"/>
        <v>0.13700000000000001</v>
      </c>
      <c r="B219" s="40">
        <f t="shared" si="83"/>
        <v>0</v>
      </c>
      <c r="C219" s="2"/>
      <c r="D219" s="2"/>
      <c r="E219" s="2"/>
      <c r="F219" s="2"/>
      <c r="G219" s="2"/>
      <c r="H219" s="2"/>
      <c r="I219" s="2"/>
      <c r="J219" s="2"/>
      <c r="K219" s="2"/>
      <c r="L219" s="2"/>
      <c r="M219" s="2"/>
      <c r="O219" s="39">
        <f t="shared" si="84"/>
        <v>0.15</v>
      </c>
      <c r="P219" s="40">
        <f t="shared" si="85"/>
        <v>0</v>
      </c>
    </row>
    <row r="220" spans="1:16" x14ac:dyDescent="0.2">
      <c r="A220" s="39">
        <f t="shared" si="82"/>
        <v>0.23783200000000002</v>
      </c>
      <c r="B220" s="40">
        <f t="shared" si="83"/>
        <v>0</v>
      </c>
      <c r="C220" s="2"/>
      <c r="D220" s="2"/>
      <c r="E220" s="2"/>
      <c r="F220" s="2"/>
      <c r="G220" s="2"/>
      <c r="H220" s="2"/>
      <c r="I220" s="2"/>
      <c r="J220" s="2"/>
      <c r="K220" s="2"/>
      <c r="L220" s="2"/>
      <c r="M220" s="2"/>
      <c r="O220" s="120">
        <f t="shared" si="84"/>
        <v>0.75</v>
      </c>
      <c r="P220" s="123">
        <f t="shared" si="85"/>
        <v>0</v>
      </c>
    </row>
    <row r="221" spans="1:16" x14ac:dyDescent="0.2">
      <c r="A221" s="39">
        <f t="shared" si="82"/>
        <v>0.271123</v>
      </c>
      <c r="B221" s="40">
        <f t="shared" si="83"/>
        <v>60</v>
      </c>
      <c r="C221" s="2"/>
      <c r="D221" s="2"/>
      <c r="E221" s="2"/>
      <c r="F221" s="2"/>
      <c r="G221" s="2"/>
      <c r="H221" s="2"/>
      <c r="I221" s="2"/>
      <c r="J221" s="2"/>
      <c r="K221" s="2"/>
      <c r="L221" s="2"/>
      <c r="M221" s="2"/>
      <c r="O221" s="124">
        <f t="shared" si="84"/>
        <v>1.125</v>
      </c>
      <c r="P221" s="123">
        <f t="shared" si="85"/>
        <v>0</v>
      </c>
    </row>
    <row r="222" spans="1:16" x14ac:dyDescent="0.2">
      <c r="A222" s="39">
        <f t="shared" si="82"/>
        <v>0.95612300000000017</v>
      </c>
      <c r="B222" s="40">
        <f t="shared" si="83"/>
        <v>60</v>
      </c>
      <c r="C222" s="109"/>
      <c r="D222" s="109"/>
      <c r="E222" s="109"/>
      <c r="F222" s="109"/>
      <c r="G222" s="109"/>
      <c r="H222" s="109"/>
      <c r="I222" s="109"/>
      <c r="J222" s="109"/>
      <c r="K222" s="109"/>
      <c r="L222" s="109"/>
      <c r="M222" s="109"/>
      <c r="O222" s="124">
        <f t="shared" si="84"/>
        <v>1.32</v>
      </c>
      <c r="P222" s="123">
        <f t="shared" si="85"/>
        <v>0</v>
      </c>
    </row>
    <row r="223" spans="1:16" x14ac:dyDescent="0.2">
      <c r="A223" s="120">
        <f t="shared" si="82"/>
        <v>1.2605370000000002</v>
      </c>
      <c r="B223" s="125">
        <f t="shared" si="83"/>
        <v>0</v>
      </c>
      <c r="C223" s="109"/>
      <c r="D223" s="109"/>
      <c r="E223" s="109"/>
      <c r="F223" s="109"/>
      <c r="G223" s="109"/>
      <c r="H223" s="109"/>
      <c r="I223" s="109"/>
      <c r="J223" s="109"/>
      <c r="K223" s="109"/>
      <c r="L223" s="109"/>
      <c r="M223" s="109"/>
      <c r="O223" s="120">
        <f t="shared" si="84"/>
        <v>1.41</v>
      </c>
      <c r="P223" s="125">
        <f t="shared" si="85"/>
        <v>0</v>
      </c>
    </row>
    <row r="224" spans="1:16" x14ac:dyDescent="0.2">
      <c r="A224" s="120">
        <f t="shared" si="82"/>
        <v>1.3015000000000001</v>
      </c>
      <c r="B224" s="125">
        <f t="shared" si="83"/>
        <v>0</v>
      </c>
      <c r="C224" s="2"/>
      <c r="D224" s="2"/>
      <c r="E224" s="2"/>
      <c r="F224" s="2"/>
      <c r="G224" s="2"/>
      <c r="H224" s="2"/>
      <c r="I224" s="2"/>
      <c r="J224" s="2"/>
      <c r="K224" s="2"/>
      <c r="L224" s="2"/>
      <c r="M224" s="2"/>
      <c r="O224" s="120">
        <f t="shared" si="84"/>
        <v>1.425</v>
      </c>
      <c r="P224" s="125">
        <f t="shared" si="85"/>
        <v>0</v>
      </c>
    </row>
    <row r="225" spans="1:16" ht="13.5" thickBot="1" x14ac:dyDescent="0.25">
      <c r="A225" s="126">
        <f t="shared" si="82"/>
        <v>1.37</v>
      </c>
      <c r="B225" s="127">
        <f t="shared" si="83"/>
        <v>0</v>
      </c>
      <c r="C225" s="1"/>
      <c r="D225" s="1"/>
      <c r="E225" s="1"/>
      <c r="F225" s="1"/>
      <c r="G225" s="1"/>
      <c r="H225" s="1"/>
      <c r="I225" s="1"/>
      <c r="J225" s="1"/>
      <c r="K225" s="1"/>
      <c r="L225" s="1"/>
      <c r="M225" s="1"/>
      <c r="O225" s="126">
        <f t="shared" si="84"/>
        <v>1.5</v>
      </c>
      <c r="P225" s="127">
        <f t="shared" si="85"/>
        <v>0</v>
      </c>
    </row>
    <row r="226" spans="1:16" x14ac:dyDescent="0.2">
      <c r="A226" s="128"/>
      <c r="B226" s="128"/>
      <c r="C226" s="1"/>
      <c r="D226" s="1"/>
      <c r="E226" s="1"/>
      <c r="F226" s="1"/>
      <c r="G226" s="1"/>
      <c r="H226" s="1"/>
      <c r="I226" s="1"/>
      <c r="J226" s="1"/>
      <c r="K226" s="1"/>
      <c r="L226" s="1"/>
      <c r="M226" s="1"/>
      <c r="O226" s="122"/>
      <c r="P226" s="122"/>
    </row>
    <row r="227" spans="1:16" ht="13.5" thickBot="1" x14ac:dyDescent="0.25">
      <c r="A227" s="128"/>
      <c r="B227" s="128"/>
      <c r="C227" s="1"/>
      <c r="D227" s="1"/>
      <c r="E227" s="1"/>
      <c r="F227" s="1"/>
      <c r="G227" s="1"/>
      <c r="H227" s="1"/>
      <c r="I227" s="1"/>
      <c r="J227" s="1"/>
      <c r="K227" s="1"/>
      <c r="L227" s="1"/>
      <c r="M227" s="1"/>
      <c r="O227" s="122"/>
      <c r="P227" s="122"/>
    </row>
    <row r="228" spans="1:16" ht="13.5" thickBot="1" x14ac:dyDescent="0.25">
      <c r="A228" s="129" t="s">
        <v>73</v>
      </c>
      <c r="B228" s="119" t="s">
        <v>16</v>
      </c>
      <c r="C228" s="1"/>
      <c r="D228" s="1"/>
      <c r="E228" s="1"/>
      <c r="F228" s="1"/>
      <c r="G228" s="1"/>
      <c r="H228" s="1"/>
      <c r="I228" s="1"/>
      <c r="J228" s="1"/>
      <c r="K228" s="1"/>
      <c r="L228" s="1"/>
      <c r="M228" s="1"/>
      <c r="O228" s="145"/>
      <c r="P228" s="119" t="s">
        <v>16</v>
      </c>
    </row>
    <row r="229" spans="1:16" ht="13.5" thickBot="1" x14ac:dyDescent="0.25">
      <c r="A229" s="311" t="s">
        <v>76</v>
      </c>
      <c r="B229" s="210">
        <v>60</v>
      </c>
      <c r="C229" s="1"/>
      <c r="D229" s="1"/>
      <c r="E229" s="1"/>
      <c r="F229" s="1"/>
      <c r="G229" s="1"/>
      <c r="H229" s="1"/>
      <c r="I229" s="1"/>
      <c r="J229" s="1"/>
      <c r="K229" s="1"/>
      <c r="L229" s="1"/>
      <c r="M229" s="1"/>
      <c r="O229" s="65"/>
      <c r="P229" s="210">
        <v>30</v>
      </c>
    </row>
    <row r="230" spans="1:16" ht="13.5" thickBot="1" x14ac:dyDescent="0.25">
      <c r="A230" s="122"/>
      <c r="B230" s="122"/>
      <c r="O230" s="122"/>
      <c r="P230" s="122"/>
    </row>
    <row r="231" spans="1:16" ht="13.5" thickBot="1" x14ac:dyDescent="0.25">
      <c r="A231" s="118" t="s">
        <v>1</v>
      </c>
      <c r="B231" s="119" t="s">
        <v>14</v>
      </c>
      <c r="O231" s="118" t="s">
        <v>1</v>
      </c>
      <c r="P231" s="119" t="s">
        <v>14</v>
      </c>
    </row>
    <row r="232" spans="1:16" x14ac:dyDescent="0.2">
      <c r="A232" s="54">
        <v>0</v>
      </c>
      <c r="B232" s="51">
        <v>60</v>
      </c>
      <c r="O232" s="54">
        <v>0</v>
      </c>
      <c r="P232" s="51">
        <v>60</v>
      </c>
    </row>
    <row r="233" spans="1:16" x14ac:dyDescent="0.2">
      <c r="A233" s="49">
        <v>10</v>
      </c>
      <c r="B233" s="52">
        <v>60</v>
      </c>
      <c r="O233" s="49">
        <v>10</v>
      </c>
      <c r="P233" s="52">
        <v>60</v>
      </c>
    </row>
    <row r="234" spans="1:16" x14ac:dyDescent="0.2">
      <c r="A234" s="49">
        <v>17.36</v>
      </c>
      <c r="B234" s="52">
        <v>60</v>
      </c>
      <c r="O234" s="49">
        <v>20</v>
      </c>
      <c r="P234" s="52">
        <v>60</v>
      </c>
    </row>
    <row r="235" spans="1:16" x14ac:dyDescent="0.2">
      <c r="A235" s="49">
        <v>19.79</v>
      </c>
      <c r="B235" s="52">
        <v>0</v>
      </c>
      <c r="O235" s="49">
        <v>50</v>
      </c>
      <c r="P235" s="52">
        <v>60</v>
      </c>
    </row>
    <row r="236" spans="1:16" x14ac:dyDescent="0.2">
      <c r="A236" s="49">
        <v>67.010000000000005</v>
      </c>
      <c r="B236" s="52">
        <v>0</v>
      </c>
      <c r="O236" s="49">
        <v>93.06</v>
      </c>
      <c r="P236" s="52">
        <v>60</v>
      </c>
    </row>
    <row r="237" spans="1:16" x14ac:dyDescent="0.2">
      <c r="A237" s="49">
        <v>80.900000000000006</v>
      </c>
      <c r="B237" s="52">
        <v>60</v>
      </c>
      <c r="O237" s="49">
        <v>97</v>
      </c>
      <c r="P237" s="52">
        <v>60</v>
      </c>
    </row>
    <row r="238" spans="1:16" x14ac:dyDescent="0.2">
      <c r="A238" s="49">
        <v>90</v>
      </c>
      <c r="B238" s="52">
        <v>60</v>
      </c>
      <c r="O238" s="49">
        <v>99</v>
      </c>
      <c r="P238" s="52">
        <v>60</v>
      </c>
    </row>
    <row r="239" spans="1:16" ht="13.5" thickBot="1" x14ac:dyDescent="0.25">
      <c r="A239" s="50">
        <v>100</v>
      </c>
      <c r="B239" s="53">
        <v>60</v>
      </c>
      <c r="O239" s="50">
        <v>100</v>
      </c>
      <c r="P239" s="53">
        <v>60</v>
      </c>
    </row>
    <row r="240" spans="1:16" ht="13.5" thickBot="1" x14ac:dyDescent="0.25">
      <c r="O240" s="130"/>
    </row>
    <row r="241" spans="1:16" ht="13.5" thickBot="1" x14ac:dyDescent="0.25">
      <c r="A241" s="342" t="s">
        <v>15</v>
      </c>
      <c r="B241" s="25" t="s">
        <v>14</v>
      </c>
      <c r="O241" s="24" t="s">
        <v>15</v>
      </c>
      <c r="P241" s="25" t="s">
        <v>14</v>
      </c>
    </row>
    <row r="242" spans="1:16" x14ac:dyDescent="0.2">
      <c r="A242" s="37">
        <f t="shared" ref="A242:A249" si="86">A232*F$4/100</f>
        <v>0</v>
      </c>
      <c r="B242" s="38">
        <f t="shared" ref="B242:B249" si="87">B232</f>
        <v>60</v>
      </c>
      <c r="O242" s="37">
        <f t="shared" ref="O242:O249" si="88">O232*F$5/100</f>
        <v>0</v>
      </c>
      <c r="P242" s="38">
        <f t="shared" ref="P242:P249" si="89">P232</f>
        <v>60</v>
      </c>
    </row>
    <row r="243" spans="1:16" x14ac:dyDescent="0.2">
      <c r="A243" s="120">
        <f t="shared" si="86"/>
        <v>0.13700000000000001</v>
      </c>
      <c r="B243" s="125">
        <f t="shared" si="87"/>
        <v>60</v>
      </c>
      <c r="O243" s="120">
        <f t="shared" si="88"/>
        <v>0.15</v>
      </c>
      <c r="P243" s="125">
        <f t="shared" si="89"/>
        <v>60</v>
      </c>
    </row>
    <row r="244" spans="1:16" x14ac:dyDescent="0.2">
      <c r="A244" s="120">
        <f t="shared" si="86"/>
        <v>0.23783200000000002</v>
      </c>
      <c r="B244" s="125">
        <f t="shared" si="87"/>
        <v>60</v>
      </c>
      <c r="O244" s="120">
        <f t="shared" si="88"/>
        <v>0.3</v>
      </c>
      <c r="P244" s="125">
        <f t="shared" si="89"/>
        <v>60</v>
      </c>
    </row>
    <row r="245" spans="1:16" x14ac:dyDescent="0.2">
      <c r="A245" s="120">
        <f t="shared" si="86"/>
        <v>0.271123</v>
      </c>
      <c r="B245" s="125">
        <f t="shared" si="87"/>
        <v>0</v>
      </c>
      <c r="O245" s="120">
        <f t="shared" si="88"/>
        <v>0.75</v>
      </c>
      <c r="P245" s="125">
        <f t="shared" si="89"/>
        <v>60</v>
      </c>
    </row>
    <row r="246" spans="1:16" x14ac:dyDescent="0.2">
      <c r="A246" s="120">
        <f t="shared" si="86"/>
        <v>0.91803700000000021</v>
      </c>
      <c r="B246" s="125">
        <f t="shared" si="87"/>
        <v>0</v>
      </c>
      <c r="O246" s="120">
        <f t="shared" si="88"/>
        <v>1.3959000000000001</v>
      </c>
      <c r="P246" s="125">
        <f t="shared" si="89"/>
        <v>60</v>
      </c>
    </row>
    <row r="247" spans="1:16" x14ac:dyDescent="0.2">
      <c r="A247" s="120">
        <f t="shared" si="86"/>
        <v>1.10833</v>
      </c>
      <c r="B247" s="125">
        <f t="shared" si="87"/>
        <v>60</v>
      </c>
      <c r="O247" s="120">
        <f t="shared" si="88"/>
        <v>1.4550000000000001</v>
      </c>
      <c r="P247" s="125">
        <f t="shared" si="89"/>
        <v>60</v>
      </c>
    </row>
    <row r="248" spans="1:16" x14ac:dyDescent="0.2">
      <c r="A248" s="120">
        <f t="shared" si="86"/>
        <v>1.2330000000000001</v>
      </c>
      <c r="B248" s="125">
        <f t="shared" si="87"/>
        <v>60</v>
      </c>
      <c r="O248" s="120">
        <f t="shared" si="88"/>
        <v>1.4850000000000001</v>
      </c>
      <c r="P248" s="125">
        <f t="shared" si="89"/>
        <v>60</v>
      </c>
    </row>
    <row r="249" spans="1:16" ht="13.5" thickBot="1" x14ac:dyDescent="0.25">
      <c r="A249" s="41">
        <f t="shared" si="86"/>
        <v>1.37</v>
      </c>
      <c r="B249" s="42">
        <f t="shared" si="87"/>
        <v>60</v>
      </c>
      <c r="O249" s="41">
        <f t="shared" si="88"/>
        <v>1.5</v>
      </c>
      <c r="P249" s="42">
        <f t="shared" si="89"/>
        <v>60</v>
      </c>
    </row>
    <row r="251" spans="1:16" ht="13.5" thickBot="1" x14ac:dyDescent="0.25">
      <c r="A251" s="122"/>
      <c r="B251" s="122"/>
      <c r="O251" s="122"/>
      <c r="P251" s="122"/>
    </row>
    <row r="252" spans="1:16" ht="13.5" thickBot="1" x14ac:dyDescent="0.25">
      <c r="A252" s="129" t="s">
        <v>90</v>
      </c>
      <c r="B252" s="119" t="s">
        <v>16</v>
      </c>
      <c r="O252" s="144"/>
      <c r="P252" s="119" t="s">
        <v>16</v>
      </c>
    </row>
    <row r="253" spans="1:16" ht="13.5" thickBot="1" x14ac:dyDescent="0.25">
      <c r="A253" s="311" t="s">
        <v>77</v>
      </c>
      <c r="B253" s="210">
        <v>60</v>
      </c>
      <c r="O253" s="65"/>
      <c r="P253" s="210">
        <v>30</v>
      </c>
    </row>
    <row r="254" spans="1:16" ht="13.5" thickBot="1" x14ac:dyDescent="0.25">
      <c r="A254" s="122"/>
      <c r="B254" s="122"/>
      <c r="O254" s="122"/>
      <c r="P254" s="122"/>
    </row>
    <row r="255" spans="1:16" ht="13.5" thickBot="1" x14ac:dyDescent="0.25">
      <c r="A255" s="118" t="s">
        <v>1</v>
      </c>
      <c r="B255" s="119" t="s">
        <v>14</v>
      </c>
      <c r="O255" s="118" t="s">
        <v>1</v>
      </c>
      <c r="P255" s="119" t="s">
        <v>14</v>
      </c>
    </row>
    <row r="256" spans="1:16" x14ac:dyDescent="0.2">
      <c r="A256" s="54">
        <v>0</v>
      </c>
      <c r="B256" s="51">
        <v>150</v>
      </c>
      <c r="O256" s="54">
        <v>0</v>
      </c>
      <c r="P256" s="51">
        <v>150</v>
      </c>
    </row>
    <row r="257" spans="1:16" x14ac:dyDescent="0.2">
      <c r="A257" s="49">
        <v>17.36</v>
      </c>
      <c r="B257" s="52">
        <v>100</v>
      </c>
      <c r="O257" s="49">
        <v>10</v>
      </c>
      <c r="P257" s="52">
        <v>150</v>
      </c>
    </row>
    <row r="258" spans="1:16" x14ac:dyDescent="0.2">
      <c r="A258" s="49">
        <v>19.79</v>
      </c>
      <c r="B258" s="52">
        <v>0</v>
      </c>
      <c r="O258" s="49">
        <v>50</v>
      </c>
      <c r="P258" s="52">
        <v>150</v>
      </c>
    </row>
    <row r="259" spans="1:16" x14ac:dyDescent="0.2">
      <c r="A259" s="49">
        <v>89.24</v>
      </c>
      <c r="B259" s="52">
        <v>0</v>
      </c>
      <c r="O259" s="49">
        <v>89.93</v>
      </c>
      <c r="P259" s="52">
        <v>150</v>
      </c>
    </row>
    <row r="260" spans="1:16" x14ac:dyDescent="0.2">
      <c r="A260" s="49">
        <v>92.01</v>
      </c>
      <c r="B260" s="52">
        <v>150</v>
      </c>
      <c r="O260" s="49">
        <v>95</v>
      </c>
      <c r="P260" s="52">
        <v>150</v>
      </c>
    </row>
    <row r="261" spans="1:16" x14ac:dyDescent="0.2">
      <c r="A261" s="49">
        <v>94</v>
      </c>
      <c r="B261" s="52">
        <v>150</v>
      </c>
      <c r="O261" s="49">
        <v>98</v>
      </c>
      <c r="P261" s="52">
        <v>150</v>
      </c>
    </row>
    <row r="262" spans="1:16" x14ac:dyDescent="0.2">
      <c r="A262" s="49">
        <v>96</v>
      </c>
      <c r="B262" s="52">
        <v>150</v>
      </c>
      <c r="O262" s="49">
        <v>99</v>
      </c>
      <c r="P262" s="52">
        <v>150</v>
      </c>
    </row>
    <row r="263" spans="1:16" ht="13.5" thickBot="1" x14ac:dyDescent="0.25">
      <c r="A263" s="50">
        <v>100</v>
      </c>
      <c r="B263" s="53">
        <v>150</v>
      </c>
      <c r="O263" s="50">
        <v>100</v>
      </c>
      <c r="P263" s="53">
        <v>150</v>
      </c>
    </row>
    <row r="264" spans="1:16" ht="13.5" thickBot="1" x14ac:dyDescent="0.25">
      <c r="A264" s="122"/>
      <c r="B264" s="122"/>
      <c r="O264" s="122"/>
      <c r="P264" s="122"/>
    </row>
    <row r="265" spans="1:16" ht="13.5" thickBot="1" x14ac:dyDescent="0.25">
      <c r="A265" s="118" t="s">
        <v>15</v>
      </c>
      <c r="B265" s="119" t="s">
        <v>14</v>
      </c>
      <c r="O265" s="118" t="s">
        <v>15</v>
      </c>
      <c r="P265" s="119" t="s">
        <v>14</v>
      </c>
    </row>
    <row r="266" spans="1:16" x14ac:dyDescent="0.2">
      <c r="A266" s="131">
        <f t="shared" ref="A266:A273" si="90">A256*F$4/100</f>
        <v>0</v>
      </c>
      <c r="B266" s="132">
        <f t="shared" ref="B266:B273" si="91">B256</f>
        <v>150</v>
      </c>
      <c r="O266" s="131">
        <f t="shared" ref="O266:O273" si="92">O256*F$5/100</f>
        <v>0</v>
      </c>
      <c r="P266" s="132">
        <f t="shared" ref="P266:P273" si="93">P256</f>
        <v>150</v>
      </c>
    </row>
    <row r="267" spans="1:16" x14ac:dyDescent="0.2">
      <c r="A267" s="120">
        <f t="shared" si="90"/>
        <v>0.23783200000000002</v>
      </c>
      <c r="B267" s="125">
        <f t="shared" si="91"/>
        <v>100</v>
      </c>
      <c r="O267" s="120">
        <f t="shared" si="92"/>
        <v>0.15</v>
      </c>
      <c r="P267" s="125">
        <f t="shared" si="93"/>
        <v>150</v>
      </c>
    </row>
    <row r="268" spans="1:16" x14ac:dyDescent="0.2">
      <c r="A268" s="120">
        <f t="shared" si="90"/>
        <v>0.271123</v>
      </c>
      <c r="B268" s="125">
        <f t="shared" si="91"/>
        <v>0</v>
      </c>
      <c r="O268" s="120">
        <f t="shared" si="92"/>
        <v>0.75</v>
      </c>
      <c r="P268" s="125">
        <f t="shared" si="93"/>
        <v>150</v>
      </c>
    </row>
    <row r="269" spans="1:16" x14ac:dyDescent="0.2">
      <c r="A269" s="39">
        <f t="shared" si="90"/>
        <v>1.222588</v>
      </c>
      <c r="B269" s="40">
        <f t="shared" si="91"/>
        <v>0</v>
      </c>
      <c r="O269" s="39">
        <f t="shared" si="92"/>
        <v>1.3489500000000001</v>
      </c>
      <c r="P269" s="40">
        <f t="shared" si="93"/>
        <v>150</v>
      </c>
    </row>
    <row r="270" spans="1:16" x14ac:dyDescent="0.2">
      <c r="A270" s="39">
        <f t="shared" si="90"/>
        <v>1.2605370000000002</v>
      </c>
      <c r="B270" s="40">
        <f t="shared" si="91"/>
        <v>150</v>
      </c>
      <c r="O270" s="39">
        <f t="shared" si="92"/>
        <v>1.425</v>
      </c>
      <c r="P270" s="40">
        <f t="shared" si="93"/>
        <v>150</v>
      </c>
    </row>
    <row r="271" spans="1:16" x14ac:dyDescent="0.2">
      <c r="A271" s="39">
        <f t="shared" si="90"/>
        <v>1.2878000000000001</v>
      </c>
      <c r="B271" s="40">
        <f t="shared" si="91"/>
        <v>150</v>
      </c>
      <c r="O271" s="39">
        <f t="shared" si="92"/>
        <v>1.47</v>
      </c>
      <c r="P271" s="40">
        <f t="shared" si="93"/>
        <v>150</v>
      </c>
    </row>
    <row r="272" spans="1:16" x14ac:dyDescent="0.2">
      <c r="A272" s="39">
        <f t="shared" si="90"/>
        <v>1.3152000000000001</v>
      </c>
      <c r="B272" s="123">
        <f t="shared" si="91"/>
        <v>150</v>
      </c>
      <c r="O272" s="39">
        <f t="shared" si="92"/>
        <v>1.4850000000000001</v>
      </c>
      <c r="P272" s="123">
        <f t="shared" si="93"/>
        <v>150</v>
      </c>
    </row>
    <row r="273" spans="1:16" ht="13.5" thickBot="1" x14ac:dyDescent="0.25">
      <c r="A273" s="41">
        <f t="shared" si="90"/>
        <v>1.37</v>
      </c>
      <c r="B273" s="42">
        <f t="shared" si="91"/>
        <v>150</v>
      </c>
      <c r="O273" s="41">
        <f t="shared" si="92"/>
        <v>1.5</v>
      </c>
      <c r="P273" s="42">
        <f t="shared" si="93"/>
        <v>150</v>
      </c>
    </row>
    <row r="275" spans="1:16" ht="13.5" thickBot="1" x14ac:dyDescent="0.25">
      <c r="A275" s="122"/>
      <c r="B275" s="122"/>
      <c r="O275" s="122"/>
      <c r="P275" s="122"/>
    </row>
    <row r="276" spans="1:16" ht="13.5" thickBot="1" x14ac:dyDescent="0.25">
      <c r="A276" s="129" t="s">
        <v>73</v>
      </c>
      <c r="B276" s="119" t="s">
        <v>16</v>
      </c>
      <c r="O276" s="144"/>
      <c r="P276" s="119" t="s">
        <v>16</v>
      </c>
    </row>
    <row r="277" spans="1:16" ht="13.5" thickBot="1" x14ac:dyDescent="0.25">
      <c r="A277" s="311" t="s">
        <v>78</v>
      </c>
      <c r="B277" s="210">
        <v>60</v>
      </c>
      <c r="O277" s="65"/>
      <c r="P277" s="210">
        <v>30</v>
      </c>
    </row>
    <row r="278" spans="1:16" ht="13.5" thickBot="1" x14ac:dyDescent="0.25">
      <c r="A278" s="122"/>
      <c r="B278" s="122"/>
      <c r="O278" s="122"/>
      <c r="P278" s="122"/>
    </row>
    <row r="279" spans="1:16" ht="13.5" thickBot="1" x14ac:dyDescent="0.25">
      <c r="A279" s="118" t="s">
        <v>1</v>
      </c>
      <c r="B279" s="119" t="s">
        <v>14</v>
      </c>
      <c r="O279" s="118" t="s">
        <v>1</v>
      </c>
      <c r="P279" s="119" t="s">
        <v>14</v>
      </c>
    </row>
    <row r="280" spans="1:16" x14ac:dyDescent="0.2">
      <c r="A280" s="54">
        <v>0</v>
      </c>
      <c r="B280" s="51">
        <v>150</v>
      </c>
      <c r="O280" s="54">
        <v>0</v>
      </c>
      <c r="P280" s="51">
        <v>150</v>
      </c>
    </row>
    <row r="281" spans="1:16" x14ac:dyDescent="0.2">
      <c r="A281" s="49">
        <v>17.36</v>
      </c>
      <c r="B281" s="52">
        <v>100</v>
      </c>
      <c r="O281" s="49">
        <v>10</v>
      </c>
      <c r="P281" s="52">
        <v>150</v>
      </c>
    </row>
    <row r="282" spans="1:16" x14ac:dyDescent="0.2">
      <c r="A282" s="49">
        <v>19.79</v>
      </c>
      <c r="B282" s="52">
        <v>0</v>
      </c>
      <c r="O282" s="49">
        <v>50</v>
      </c>
      <c r="P282" s="52">
        <v>150</v>
      </c>
    </row>
    <row r="283" spans="1:16" x14ac:dyDescent="0.2">
      <c r="A283" s="49">
        <v>86.46</v>
      </c>
      <c r="B283" s="52">
        <v>0</v>
      </c>
      <c r="O283" s="49">
        <v>93.06</v>
      </c>
      <c r="P283" s="52">
        <v>150</v>
      </c>
    </row>
    <row r="284" spans="1:16" x14ac:dyDescent="0.2">
      <c r="A284" s="49">
        <v>92.01</v>
      </c>
      <c r="B284" s="52">
        <v>150</v>
      </c>
      <c r="O284" s="49">
        <v>96.53</v>
      </c>
      <c r="P284" s="52">
        <v>150</v>
      </c>
    </row>
    <row r="285" spans="1:16" x14ac:dyDescent="0.2">
      <c r="A285" s="49">
        <v>96</v>
      </c>
      <c r="B285" s="52">
        <v>150</v>
      </c>
      <c r="L285" s="111"/>
      <c r="O285" s="49">
        <v>98</v>
      </c>
      <c r="P285" s="52">
        <v>150</v>
      </c>
    </row>
    <row r="286" spans="1:16" x14ac:dyDescent="0.2">
      <c r="A286" s="49">
        <v>98</v>
      </c>
      <c r="B286" s="52">
        <v>150</v>
      </c>
      <c r="L286" s="111"/>
      <c r="O286" s="49">
        <v>99</v>
      </c>
      <c r="P286" s="52">
        <v>150</v>
      </c>
    </row>
    <row r="287" spans="1:16" ht="13.5" thickBot="1" x14ac:dyDescent="0.25">
      <c r="A287" s="50">
        <v>100</v>
      </c>
      <c r="B287" s="53">
        <v>150</v>
      </c>
      <c r="L287" s="111"/>
      <c r="O287" s="50">
        <v>100</v>
      </c>
      <c r="P287" s="53">
        <v>150</v>
      </c>
    </row>
    <row r="288" spans="1:16" ht="13.5" thickBot="1" x14ac:dyDescent="0.25">
      <c r="L288" s="111"/>
    </row>
    <row r="289" spans="1:16" ht="13.5" thickBot="1" x14ac:dyDescent="0.25">
      <c r="A289" s="24" t="s">
        <v>15</v>
      </c>
      <c r="B289" s="25" t="s">
        <v>14</v>
      </c>
      <c r="L289" s="111"/>
      <c r="O289" s="24" t="s">
        <v>15</v>
      </c>
      <c r="P289" s="25" t="s">
        <v>14</v>
      </c>
    </row>
    <row r="290" spans="1:16" x14ac:dyDescent="0.2">
      <c r="A290" s="37">
        <f t="shared" ref="A290:A297" si="94">A280*F$4/100</f>
        <v>0</v>
      </c>
      <c r="B290" s="38">
        <f t="shared" ref="B290:B297" si="95">B280</f>
        <v>150</v>
      </c>
      <c r="L290" s="111"/>
      <c r="O290" s="37">
        <f t="shared" ref="O290:O297" si="96">O280*F$5/100</f>
        <v>0</v>
      </c>
      <c r="P290" s="38">
        <f t="shared" ref="P290:P297" si="97">P280</f>
        <v>150</v>
      </c>
    </row>
    <row r="291" spans="1:16" x14ac:dyDescent="0.2">
      <c r="A291" s="39">
        <f t="shared" si="94"/>
        <v>0.23783200000000002</v>
      </c>
      <c r="B291" s="40">
        <f t="shared" si="95"/>
        <v>100</v>
      </c>
      <c r="L291" s="111"/>
      <c r="O291" s="39">
        <f t="shared" si="96"/>
        <v>0.15</v>
      </c>
      <c r="P291" s="40">
        <f t="shared" si="97"/>
        <v>150</v>
      </c>
    </row>
    <row r="292" spans="1:16" x14ac:dyDescent="0.2">
      <c r="A292" s="39">
        <f t="shared" si="94"/>
        <v>0.271123</v>
      </c>
      <c r="B292" s="40">
        <f t="shared" si="95"/>
        <v>0</v>
      </c>
      <c r="L292" s="111"/>
      <c r="O292" s="39">
        <f t="shared" si="96"/>
        <v>0.75</v>
      </c>
      <c r="P292" s="40">
        <f t="shared" si="97"/>
        <v>150</v>
      </c>
    </row>
    <row r="293" spans="1:16" x14ac:dyDescent="0.2">
      <c r="A293" s="39">
        <f t="shared" si="94"/>
        <v>1.1845019999999999</v>
      </c>
      <c r="B293" s="40">
        <f t="shared" si="95"/>
        <v>0</v>
      </c>
      <c r="O293" s="39">
        <f t="shared" si="96"/>
        <v>1.3959000000000001</v>
      </c>
      <c r="P293" s="40">
        <f t="shared" si="97"/>
        <v>150</v>
      </c>
    </row>
    <row r="294" spans="1:16" x14ac:dyDescent="0.2">
      <c r="A294" s="39">
        <f t="shared" si="94"/>
        <v>1.2605370000000002</v>
      </c>
      <c r="B294" s="40">
        <f t="shared" si="95"/>
        <v>150</v>
      </c>
      <c r="O294" s="39">
        <f t="shared" si="96"/>
        <v>1.4479500000000001</v>
      </c>
      <c r="P294" s="40">
        <f t="shared" si="97"/>
        <v>150</v>
      </c>
    </row>
    <row r="295" spans="1:16" x14ac:dyDescent="0.2">
      <c r="A295" s="39">
        <f t="shared" si="94"/>
        <v>1.3152000000000001</v>
      </c>
      <c r="B295" s="40">
        <f t="shared" si="95"/>
        <v>150</v>
      </c>
      <c r="O295" s="39">
        <f t="shared" si="96"/>
        <v>1.47</v>
      </c>
      <c r="P295" s="40">
        <f t="shared" si="97"/>
        <v>150</v>
      </c>
    </row>
    <row r="296" spans="1:16" x14ac:dyDescent="0.2">
      <c r="A296" s="39">
        <f t="shared" si="94"/>
        <v>1.3426000000000002</v>
      </c>
      <c r="B296" s="123">
        <f t="shared" si="95"/>
        <v>150</v>
      </c>
      <c r="O296" s="39">
        <f t="shared" si="96"/>
        <v>1.4850000000000001</v>
      </c>
      <c r="P296" s="123">
        <f t="shared" si="97"/>
        <v>150</v>
      </c>
    </row>
    <row r="297" spans="1:16" ht="13.5" thickBot="1" x14ac:dyDescent="0.25">
      <c r="A297" s="41">
        <f t="shared" si="94"/>
        <v>1.37</v>
      </c>
      <c r="B297" s="133">
        <f t="shared" si="95"/>
        <v>150</v>
      </c>
      <c r="O297" s="126">
        <f t="shared" si="96"/>
        <v>1.5</v>
      </c>
      <c r="P297" s="42">
        <f t="shared" si="97"/>
        <v>150</v>
      </c>
    </row>
    <row r="299" spans="1:16" ht="13.5" thickBot="1" x14ac:dyDescent="0.25">
      <c r="A299" s="122"/>
      <c r="B299" s="122"/>
      <c r="O299" s="122"/>
      <c r="P299" s="122"/>
    </row>
    <row r="300" spans="1:16" ht="13.5" thickBot="1" x14ac:dyDescent="0.25">
      <c r="A300" s="129" t="s">
        <v>73</v>
      </c>
      <c r="B300" s="119" t="s">
        <v>16</v>
      </c>
      <c r="O300" s="144"/>
      <c r="P300" s="119" t="s">
        <v>16</v>
      </c>
    </row>
    <row r="301" spans="1:16" ht="13.5" thickBot="1" x14ac:dyDescent="0.25">
      <c r="A301" s="311" t="s">
        <v>79</v>
      </c>
      <c r="B301" s="210">
        <v>30</v>
      </c>
      <c r="O301" s="65"/>
      <c r="P301" s="210">
        <v>60</v>
      </c>
    </row>
    <row r="302" spans="1:16" ht="13.5" thickBot="1" x14ac:dyDescent="0.25">
      <c r="A302" s="122"/>
      <c r="B302" s="122"/>
      <c r="O302" s="122"/>
      <c r="P302" s="122"/>
    </row>
    <row r="303" spans="1:16" ht="13.5" thickBot="1" x14ac:dyDescent="0.25">
      <c r="A303" s="118" t="s">
        <v>1</v>
      </c>
      <c r="B303" s="119" t="s">
        <v>14</v>
      </c>
      <c r="O303" s="118" t="s">
        <v>1</v>
      </c>
      <c r="P303" s="119" t="s">
        <v>14</v>
      </c>
    </row>
    <row r="304" spans="1:16" x14ac:dyDescent="0.2">
      <c r="A304" s="54">
        <v>0</v>
      </c>
      <c r="B304" s="51">
        <v>0</v>
      </c>
      <c r="O304" s="54">
        <v>0</v>
      </c>
      <c r="P304" s="51">
        <v>0</v>
      </c>
    </row>
    <row r="305" spans="1:16" x14ac:dyDescent="0.2">
      <c r="A305" s="49">
        <v>10</v>
      </c>
      <c r="B305" s="52">
        <v>0</v>
      </c>
      <c r="O305" s="49">
        <v>10</v>
      </c>
      <c r="P305" s="52">
        <v>0</v>
      </c>
    </row>
    <row r="306" spans="1:16" x14ac:dyDescent="0.2">
      <c r="A306" s="49">
        <v>17.36</v>
      </c>
      <c r="B306" s="52">
        <v>0</v>
      </c>
      <c r="O306" s="49">
        <v>50</v>
      </c>
      <c r="P306" s="52">
        <v>0</v>
      </c>
    </row>
    <row r="307" spans="1:16" x14ac:dyDescent="0.2">
      <c r="A307" s="49">
        <v>19.79</v>
      </c>
      <c r="B307" s="52">
        <v>150</v>
      </c>
      <c r="O307" s="49">
        <v>75</v>
      </c>
      <c r="P307" s="52">
        <v>0</v>
      </c>
    </row>
    <row r="308" spans="1:16" x14ac:dyDescent="0.2">
      <c r="A308" s="49">
        <v>69.790000000000006</v>
      </c>
      <c r="B308" s="52">
        <v>150</v>
      </c>
      <c r="O308" s="49">
        <v>88</v>
      </c>
      <c r="P308" s="52">
        <v>0</v>
      </c>
    </row>
    <row r="309" spans="1:16" x14ac:dyDescent="0.2">
      <c r="A309" s="49">
        <v>92.01</v>
      </c>
      <c r="B309" s="52">
        <v>0</v>
      </c>
      <c r="O309" s="49">
        <v>94</v>
      </c>
      <c r="P309" s="52">
        <v>0</v>
      </c>
    </row>
    <row r="310" spans="1:16" x14ac:dyDescent="0.2">
      <c r="A310" s="49">
        <v>95</v>
      </c>
      <c r="B310" s="52">
        <v>0</v>
      </c>
      <c r="O310" s="49">
        <v>95</v>
      </c>
      <c r="P310" s="52">
        <v>0</v>
      </c>
    </row>
    <row r="311" spans="1:16" ht="13.5" thickBot="1" x14ac:dyDescent="0.25">
      <c r="A311" s="50">
        <v>100</v>
      </c>
      <c r="B311" s="53">
        <v>0</v>
      </c>
      <c r="O311" s="50">
        <v>100</v>
      </c>
      <c r="P311" s="53">
        <v>0</v>
      </c>
    </row>
    <row r="312" spans="1:16" ht="13.5" thickBot="1" x14ac:dyDescent="0.25"/>
    <row r="313" spans="1:16" ht="13.5" thickBot="1" x14ac:dyDescent="0.25">
      <c r="A313" s="24" t="s">
        <v>15</v>
      </c>
      <c r="B313" s="25" t="s">
        <v>14</v>
      </c>
      <c r="O313" s="24" t="s">
        <v>15</v>
      </c>
      <c r="P313" s="25" t="s">
        <v>14</v>
      </c>
    </row>
    <row r="314" spans="1:16" x14ac:dyDescent="0.2">
      <c r="A314" s="37">
        <f t="shared" ref="A314:A321" si="98">A304*F$4/100</f>
        <v>0</v>
      </c>
      <c r="B314" s="38">
        <f t="shared" ref="B314:B321" si="99">B304</f>
        <v>0</v>
      </c>
      <c r="O314" s="37">
        <f t="shared" ref="O314:O321" si="100">O304*F$5/100</f>
        <v>0</v>
      </c>
      <c r="P314" s="38">
        <f t="shared" ref="P314:P321" si="101">P304</f>
        <v>0</v>
      </c>
    </row>
    <row r="315" spans="1:16" x14ac:dyDescent="0.2">
      <c r="A315" s="39">
        <f t="shared" si="98"/>
        <v>0.13700000000000001</v>
      </c>
      <c r="B315" s="40">
        <f t="shared" si="99"/>
        <v>0</v>
      </c>
      <c r="O315" s="39">
        <f t="shared" si="100"/>
        <v>0.15</v>
      </c>
      <c r="P315" s="40">
        <f t="shared" si="101"/>
        <v>0</v>
      </c>
    </row>
    <row r="316" spans="1:16" x14ac:dyDescent="0.2">
      <c r="A316" s="39">
        <f t="shared" si="98"/>
        <v>0.23783200000000002</v>
      </c>
      <c r="B316" s="40">
        <f t="shared" si="99"/>
        <v>0</v>
      </c>
      <c r="O316" s="39">
        <f t="shared" si="100"/>
        <v>0.75</v>
      </c>
      <c r="P316" s="40">
        <f t="shared" si="101"/>
        <v>0</v>
      </c>
    </row>
    <row r="317" spans="1:16" x14ac:dyDescent="0.2">
      <c r="A317" s="39">
        <f t="shared" si="98"/>
        <v>0.271123</v>
      </c>
      <c r="B317" s="123">
        <f t="shared" si="99"/>
        <v>150</v>
      </c>
      <c r="O317" s="120">
        <f t="shared" si="100"/>
        <v>1.125</v>
      </c>
      <c r="P317" s="40">
        <f t="shared" si="101"/>
        <v>0</v>
      </c>
    </row>
    <row r="318" spans="1:16" x14ac:dyDescent="0.2">
      <c r="A318" s="39">
        <f t="shared" si="98"/>
        <v>0.95612300000000017</v>
      </c>
      <c r="B318" s="40">
        <f t="shared" si="99"/>
        <v>150</v>
      </c>
      <c r="O318" s="39">
        <f t="shared" si="100"/>
        <v>1.32</v>
      </c>
      <c r="P318" s="40">
        <f t="shared" si="101"/>
        <v>0</v>
      </c>
    </row>
    <row r="319" spans="1:16" x14ac:dyDescent="0.2">
      <c r="A319" s="39">
        <f t="shared" si="98"/>
        <v>1.2605370000000002</v>
      </c>
      <c r="B319" s="40">
        <f t="shared" si="99"/>
        <v>0</v>
      </c>
      <c r="O319" s="39">
        <f t="shared" si="100"/>
        <v>1.41</v>
      </c>
      <c r="P319" s="40">
        <f t="shared" si="101"/>
        <v>0</v>
      </c>
    </row>
    <row r="320" spans="1:16" x14ac:dyDescent="0.2">
      <c r="A320" s="135">
        <f t="shared" si="98"/>
        <v>1.3015000000000001</v>
      </c>
      <c r="B320" s="136">
        <f t="shared" si="99"/>
        <v>0</v>
      </c>
      <c r="O320" s="120">
        <f t="shared" si="100"/>
        <v>1.425</v>
      </c>
      <c r="P320" s="125">
        <f t="shared" si="101"/>
        <v>0</v>
      </c>
    </row>
    <row r="321" spans="1:16" ht="13.5" thickBot="1" x14ac:dyDescent="0.25">
      <c r="A321" s="137">
        <f t="shared" si="98"/>
        <v>1.37</v>
      </c>
      <c r="B321" s="138">
        <f t="shared" si="99"/>
        <v>0</v>
      </c>
      <c r="O321" s="126">
        <f t="shared" si="100"/>
        <v>1.5</v>
      </c>
      <c r="P321" s="127">
        <f t="shared" si="101"/>
        <v>0</v>
      </c>
    </row>
    <row r="322" spans="1:16" x14ac:dyDescent="0.2">
      <c r="A322" s="134"/>
      <c r="B322" s="134"/>
      <c r="O322" s="122"/>
      <c r="P322" s="122"/>
    </row>
    <row r="323" spans="1:16" ht="13.5" thickBot="1" x14ac:dyDescent="0.25">
      <c r="A323" s="122"/>
      <c r="B323" s="122"/>
      <c r="O323" s="122"/>
      <c r="P323" s="122"/>
    </row>
    <row r="324" spans="1:16" ht="13.5" thickBot="1" x14ac:dyDescent="0.25">
      <c r="A324" s="129" t="s">
        <v>73</v>
      </c>
      <c r="B324" s="119" t="s">
        <v>16</v>
      </c>
      <c r="O324" s="144"/>
      <c r="P324" s="119" t="s">
        <v>16</v>
      </c>
    </row>
    <row r="325" spans="1:16" ht="13.5" thickBot="1" x14ac:dyDescent="0.25">
      <c r="A325" s="311" t="s">
        <v>80</v>
      </c>
      <c r="B325" s="210">
        <v>30</v>
      </c>
      <c r="O325" s="65"/>
      <c r="P325" s="210">
        <v>60</v>
      </c>
    </row>
    <row r="326" spans="1:16" ht="13.5" thickBot="1" x14ac:dyDescent="0.25">
      <c r="A326" s="122"/>
      <c r="B326" s="122"/>
      <c r="O326" s="122"/>
      <c r="P326" s="122"/>
    </row>
    <row r="327" spans="1:16" ht="13.5" thickBot="1" x14ac:dyDescent="0.25">
      <c r="A327" s="118" t="s">
        <v>1</v>
      </c>
      <c r="B327" s="119" t="s">
        <v>14</v>
      </c>
      <c r="O327" s="118" t="s">
        <v>1</v>
      </c>
      <c r="P327" s="119" t="s">
        <v>14</v>
      </c>
    </row>
    <row r="328" spans="1:16" x14ac:dyDescent="0.2">
      <c r="A328" s="54">
        <v>0</v>
      </c>
      <c r="B328" s="51">
        <v>0</v>
      </c>
      <c r="O328" s="54">
        <v>0</v>
      </c>
      <c r="P328" s="51">
        <v>0</v>
      </c>
    </row>
    <row r="329" spans="1:16" x14ac:dyDescent="0.2">
      <c r="A329" s="49">
        <v>10</v>
      </c>
      <c r="B329" s="52">
        <v>0</v>
      </c>
      <c r="O329" s="49">
        <v>10</v>
      </c>
      <c r="P329" s="52">
        <v>0</v>
      </c>
    </row>
    <row r="330" spans="1:16" x14ac:dyDescent="0.2">
      <c r="A330" s="49">
        <v>17.36</v>
      </c>
      <c r="B330" s="52">
        <v>0</v>
      </c>
      <c r="O330" s="49">
        <v>50</v>
      </c>
      <c r="P330" s="52">
        <v>0</v>
      </c>
    </row>
    <row r="331" spans="1:16" x14ac:dyDescent="0.2">
      <c r="A331" s="49">
        <v>19.79</v>
      </c>
      <c r="B331" s="52">
        <v>60</v>
      </c>
      <c r="O331" s="49">
        <v>75</v>
      </c>
      <c r="P331" s="52">
        <v>0</v>
      </c>
    </row>
    <row r="332" spans="1:16" x14ac:dyDescent="0.2">
      <c r="A332" s="49">
        <v>69.790000000000006</v>
      </c>
      <c r="B332" s="52">
        <v>60</v>
      </c>
      <c r="O332" s="49">
        <v>88</v>
      </c>
      <c r="P332" s="52">
        <v>0</v>
      </c>
    </row>
    <row r="333" spans="1:16" x14ac:dyDescent="0.2">
      <c r="A333" s="49">
        <v>92.01</v>
      </c>
      <c r="B333" s="52">
        <v>0</v>
      </c>
      <c r="O333" s="49">
        <v>94</v>
      </c>
      <c r="P333" s="52">
        <v>0</v>
      </c>
    </row>
    <row r="334" spans="1:16" x14ac:dyDescent="0.2">
      <c r="A334" s="49">
        <v>95</v>
      </c>
      <c r="B334" s="52">
        <v>0</v>
      </c>
      <c r="O334" s="49">
        <v>95</v>
      </c>
      <c r="P334" s="52">
        <v>0</v>
      </c>
    </row>
    <row r="335" spans="1:16" ht="13.5" thickBot="1" x14ac:dyDescent="0.25">
      <c r="A335" s="50">
        <v>100</v>
      </c>
      <c r="B335" s="53">
        <v>0</v>
      </c>
      <c r="O335" s="50">
        <v>100</v>
      </c>
      <c r="P335" s="53">
        <v>0</v>
      </c>
    </row>
    <row r="336" spans="1:16" ht="13.5" thickBot="1" x14ac:dyDescent="0.25"/>
    <row r="337" spans="1:16" ht="13.5" thickBot="1" x14ac:dyDescent="0.25">
      <c r="A337" s="118" t="s">
        <v>15</v>
      </c>
      <c r="B337" s="119" t="s">
        <v>14</v>
      </c>
      <c r="O337" s="24" t="s">
        <v>15</v>
      </c>
      <c r="P337" s="25" t="s">
        <v>14</v>
      </c>
    </row>
    <row r="338" spans="1:16" x14ac:dyDescent="0.2">
      <c r="A338" s="199">
        <f t="shared" ref="A338:A345" si="102">A328*F$4/100</f>
        <v>0</v>
      </c>
      <c r="B338" s="200">
        <f t="shared" ref="B338:B345" si="103">B328</f>
        <v>0</v>
      </c>
      <c r="O338" s="37">
        <f t="shared" ref="O338:O345" si="104">O328*F$5/100</f>
        <v>0</v>
      </c>
      <c r="P338" s="38">
        <f t="shared" ref="P338:P345" si="105">P328</f>
        <v>0</v>
      </c>
    </row>
    <row r="339" spans="1:16" x14ac:dyDescent="0.2">
      <c r="A339" s="124">
        <f t="shared" si="102"/>
        <v>0.13700000000000001</v>
      </c>
      <c r="B339" s="123">
        <f t="shared" si="103"/>
        <v>0</v>
      </c>
      <c r="O339" s="39">
        <f t="shared" si="104"/>
        <v>0.15</v>
      </c>
      <c r="P339" s="40">
        <f t="shared" si="105"/>
        <v>0</v>
      </c>
    </row>
    <row r="340" spans="1:16" x14ac:dyDescent="0.2">
      <c r="A340" s="120">
        <f t="shared" si="102"/>
        <v>0.23783200000000002</v>
      </c>
      <c r="B340" s="125">
        <f t="shared" si="103"/>
        <v>0</v>
      </c>
      <c r="O340" s="120">
        <f t="shared" si="104"/>
        <v>0.75</v>
      </c>
      <c r="P340" s="125">
        <f t="shared" si="105"/>
        <v>0</v>
      </c>
    </row>
    <row r="341" spans="1:16" x14ac:dyDescent="0.2">
      <c r="A341" s="120">
        <f t="shared" si="102"/>
        <v>0.271123</v>
      </c>
      <c r="B341" s="125">
        <f t="shared" si="103"/>
        <v>60</v>
      </c>
      <c r="O341" s="120">
        <f t="shared" si="104"/>
        <v>1.125</v>
      </c>
      <c r="P341" s="125">
        <f t="shared" si="105"/>
        <v>0</v>
      </c>
    </row>
    <row r="342" spans="1:16" x14ac:dyDescent="0.2">
      <c r="A342" s="120">
        <f t="shared" si="102"/>
        <v>0.95612300000000017</v>
      </c>
      <c r="B342" s="125">
        <f t="shared" si="103"/>
        <v>60</v>
      </c>
      <c r="O342" s="120">
        <f t="shared" si="104"/>
        <v>1.32</v>
      </c>
      <c r="P342" s="125">
        <f t="shared" si="105"/>
        <v>0</v>
      </c>
    </row>
    <row r="343" spans="1:16" x14ac:dyDescent="0.2">
      <c r="A343" s="120">
        <f t="shared" si="102"/>
        <v>1.2605370000000002</v>
      </c>
      <c r="B343" s="125">
        <f t="shared" si="103"/>
        <v>0</v>
      </c>
      <c r="O343" s="120">
        <f t="shared" si="104"/>
        <v>1.41</v>
      </c>
      <c r="P343" s="125">
        <f t="shared" si="105"/>
        <v>0</v>
      </c>
    </row>
    <row r="344" spans="1:16" x14ac:dyDescent="0.2">
      <c r="A344" s="120">
        <f t="shared" si="102"/>
        <v>1.3015000000000001</v>
      </c>
      <c r="B344" s="125">
        <f t="shared" si="103"/>
        <v>0</v>
      </c>
      <c r="O344" s="120">
        <f t="shared" si="104"/>
        <v>1.425</v>
      </c>
      <c r="P344" s="125">
        <f t="shared" si="105"/>
        <v>0</v>
      </c>
    </row>
    <row r="345" spans="1:16" ht="13.5" thickBot="1" x14ac:dyDescent="0.25">
      <c r="A345" s="126">
        <f t="shared" si="102"/>
        <v>1.37</v>
      </c>
      <c r="B345" s="127">
        <f t="shared" si="103"/>
        <v>0</v>
      </c>
      <c r="O345" s="126">
        <f t="shared" si="104"/>
        <v>1.5</v>
      </c>
      <c r="P345" s="127">
        <f t="shared" si="105"/>
        <v>0</v>
      </c>
    </row>
    <row r="347" spans="1:16" ht="13.5" thickBot="1" x14ac:dyDescent="0.25">
      <c r="A347" s="122"/>
      <c r="B347" s="122"/>
      <c r="O347" s="122"/>
      <c r="P347" s="122"/>
    </row>
    <row r="348" spans="1:16" ht="13.5" thickBot="1" x14ac:dyDescent="0.25">
      <c r="A348" s="129" t="s">
        <v>73</v>
      </c>
      <c r="B348" s="119" t="s">
        <v>16</v>
      </c>
      <c r="O348" s="144"/>
      <c r="P348" s="119" t="s">
        <v>16</v>
      </c>
    </row>
    <row r="349" spans="1:16" ht="13.5" thickBot="1" x14ac:dyDescent="0.25">
      <c r="A349" s="311" t="s">
        <v>81</v>
      </c>
      <c r="B349" s="210">
        <v>30</v>
      </c>
      <c r="O349" s="65"/>
      <c r="P349" s="210">
        <v>60</v>
      </c>
    </row>
    <row r="350" spans="1:16" ht="13.5" thickBot="1" x14ac:dyDescent="0.25">
      <c r="A350" s="122"/>
      <c r="B350" s="122"/>
      <c r="O350" s="122"/>
      <c r="P350" s="122"/>
    </row>
    <row r="351" spans="1:16" ht="13.5" thickBot="1" x14ac:dyDescent="0.25">
      <c r="A351" s="118" t="s">
        <v>1</v>
      </c>
      <c r="B351" s="119" t="s">
        <v>14</v>
      </c>
      <c r="O351" s="118" t="s">
        <v>1</v>
      </c>
      <c r="P351" s="119" t="s">
        <v>14</v>
      </c>
    </row>
    <row r="352" spans="1:16" x14ac:dyDescent="0.2">
      <c r="A352" s="54">
        <v>0</v>
      </c>
      <c r="B352" s="51">
        <v>0</v>
      </c>
      <c r="O352" s="54">
        <v>0</v>
      </c>
      <c r="P352" s="51">
        <v>0</v>
      </c>
    </row>
    <row r="353" spans="1:16" x14ac:dyDescent="0.2">
      <c r="A353" s="49">
        <v>10</v>
      </c>
      <c r="B353" s="52">
        <v>0</v>
      </c>
      <c r="O353" s="49">
        <v>10</v>
      </c>
      <c r="P353" s="52">
        <v>0</v>
      </c>
    </row>
    <row r="354" spans="1:16" x14ac:dyDescent="0.2">
      <c r="A354" s="49">
        <v>17.36</v>
      </c>
      <c r="B354" s="52">
        <v>0</v>
      </c>
      <c r="O354" s="49">
        <v>50</v>
      </c>
      <c r="P354" s="52">
        <v>0</v>
      </c>
    </row>
    <row r="355" spans="1:16" x14ac:dyDescent="0.2">
      <c r="A355" s="49">
        <v>19.79</v>
      </c>
      <c r="B355" s="52">
        <v>150</v>
      </c>
      <c r="O355" s="49">
        <v>75</v>
      </c>
      <c r="P355" s="52">
        <v>0</v>
      </c>
    </row>
    <row r="356" spans="1:16" x14ac:dyDescent="0.2">
      <c r="A356" s="49">
        <v>75.349999999999994</v>
      </c>
      <c r="B356" s="52">
        <v>150</v>
      </c>
      <c r="O356" s="49">
        <v>88</v>
      </c>
      <c r="P356" s="52">
        <v>0</v>
      </c>
    </row>
    <row r="357" spans="1:16" x14ac:dyDescent="0.2">
      <c r="A357" s="49">
        <v>86.46</v>
      </c>
      <c r="B357" s="52">
        <v>0</v>
      </c>
      <c r="O357" s="49">
        <v>94</v>
      </c>
      <c r="P357" s="52">
        <v>0</v>
      </c>
    </row>
    <row r="358" spans="1:16" x14ac:dyDescent="0.2">
      <c r="A358" s="49">
        <v>95</v>
      </c>
      <c r="B358" s="52">
        <v>0</v>
      </c>
      <c r="O358" s="49">
        <v>95</v>
      </c>
      <c r="P358" s="52">
        <v>0</v>
      </c>
    </row>
    <row r="359" spans="1:16" ht="13.5" thickBot="1" x14ac:dyDescent="0.25">
      <c r="A359" s="50">
        <v>100</v>
      </c>
      <c r="B359" s="53">
        <v>0</v>
      </c>
      <c r="O359" s="50">
        <v>100</v>
      </c>
      <c r="P359" s="53">
        <v>0</v>
      </c>
    </row>
    <row r="360" spans="1:16" ht="13.5" thickBot="1" x14ac:dyDescent="0.25">
      <c r="A360" s="134"/>
      <c r="B360" s="134"/>
      <c r="O360" s="134"/>
      <c r="P360" s="134"/>
    </row>
    <row r="361" spans="1:16" ht="13.5" thickBot="1" x14ac:dyDescent="0.25">
      <c r="A361" s="118" t="s">
        <v>15</v>
      </c>
      <c r="B361" s="119" t="s">
        <v>14</v>
      </c>
      <c r="O361" s="118" t="s">
        <v>15</v>
      </c>
      <c r="P361" s="119" t="s">
        <v>14</v>
      </c>
    </row>
    <row r="362" spans="1:16" x14ac:dyDescent="0.2">
      <c r="A362" s="131">
        <f t="shared" ref="A362:A369" si="106">A352*F$4/100</f>
        <v>0</v>
      </c>
      <c r="B362" s="132">
        <f t="shared" ref="B362:B369" si="107">B352</f>
        <v>0</v>
      </c>
      <c r="O362" s="131">
        <f t="shared" ref="O362:O369" si="108">O352*F$5/100</f>
        <v>0</v>
      </c>
      <c r="P362" s="132">
        <f t="shared" ref="P362:P369" si="109">P352</f>
        <v>0</v>
      </c>
    </row>
    <row r="363" spans="1:16" x14ac:dyDescent="0.2">
      <c r="A363" s="135">
        <f t="shared" si="106"/>
        <v>0.13700000000000001</v>
      </c>
      <c r="B363" s="136">
        <f t="shared" si="107"/>
        <v>0</v>
      </c>
      <c r="O363" s="135">
        <f t="shared" si="108"/>
        <v>0.15</v>
      </c>
      <c r="P363" s="136">
        <f t="shared" si="109"/>
        <v>0</v>
      </c>
    </row>
    <row r="364" spans="1:16" x14ac:dyDescent="0.2">
      <c r="A364" s="135">
        <f t="shared" si="106"/>
        <v>0.23783200000000002</v>
      </c>
      <c r="B364" s="136">
        <f t="shared" si="107"/>
        <v>0</v>
      </c>
      <c r="O364" s="135">
        <f t="shared" si="108"/>
        <v>0.75</v>
      </c>
      <c r="P364" s="136">
        <f t="shared" si="109"/>
        <v>0</v>
      </c>
    </row>
    <row r="365" spans="1:16" x14ac:dyDescent="0.2">
      <c r="A365" s="135">
        <f t="shared" si="106"/>
        <v>0.271123</v>
      </c>
      <c r="B365" s="136">
        <f t="shared" si="107"/>
        <v>150</v>
      </c>
      <c r="O365" s="135">
        <f t="shared" si="108"/>
        <v>1.125</v>
      </c>
      <c r="P365" s="136">
        <f t="shared" si="109"/>
        <v>0</v>
      </c>
    </row>
    <row r="366" spans="1:16" x14ac:dyDescent="0.2">
      <c r="A366" s="39">
        <f t="shared" si="106"/>
        <v>1.032295</v>
      </c>
      <c r="B366" s="40">
        <f t="shared" si="107"/>
        <v>150</v>
      </c>
      <c r="O366" s="39">
        <f t="shared" si="108"/>
        <v>1.32</v>
      </c>
      <c r="P366" s="40">
        <f t="shared" si="109"/>
        <v>0</v>
      </c>
    </row>
    <row r="367" spans="1:16" x14ac:dyDescent="0.2">
      <c r="A367" s="39">
        <f t="shared" si="106"/>
        <v>1.1845019999999999</v>
      </c>
      <c r="B367" s="40">
        <f t="shared" si="107"/>
        <v>0</v>
      </c>
      <c r="O367" s="39">
        <f t="shared" si="108"/>
        <v>1.41</v>
      </c>
      <c r="P367" s="40">
        <f t="shared" si="109"/>
        <v>0</v>
      </c>
    </row>
    <row r="368" spans="1:16" x14ac:dyDescent="0.2">
      <c r="A368" s="39">
        <f t="shared" si="106"/>
        <v>1.3015000000000001</v>
      </c>
      <c r="B368" s="123">
        <f t="shared" si="107"/>
        <v>0</v>
      </c>
      <c r="O368" s="39">
        <f t="shared" si="108"/>
        <v>1.425</v>
      </c>
      <c r="P368" s="123">
        <f t="shared" si="109"/>
        <v>0</v>
      </c>
    </row>
    <row r="369" spans="1:17" ht="13.5" thickBot="1" x14ac:dyDescent="0.25">
      <c r="A369" s="41">
        <f t="shared" si="106"/>
        <v>1.37</v>
      </c>
      <c r="B369" s="42">
        <f t="shared" si="107"/>
        <v>0</v>
      </c>
      <c r="O369" s="41">
        <f t="shared" si="108"/>
        <v>1.5</v>
      </c>
      <c r="P369" s="42">
        <f t="shared" si="109"/>
        <v>0</v>
      </c>
    </row>
    <row r="371" spans="1:17" ht="13.5" thickBot="1" x14ac:dyDescent="0.25">
      <c r="A371" s="122"/>
      <c r="B371" s="122"/>
      <c r="O371" s="122"/>
      <c r="P371" s="122"/>
    </row>
    <row r="372" spans="1:17" ht="13.5" thickBot="1" x14ac:dyDescent="0.25">
      <c r="A372" s="129" t="s">
        <v>73</v>
      </c>
      <c r="B372" s="119" t="s">
        <v>16</v>
      </c>
      <c r="O372" s="122"/>
      <c r="P372" s="119" t="s">
        <v>16</v>
      </c>
    </row>
    <row r="373" spans="1:17" ht="13.5" thickBot="1" x14ac:dyDescent="0.25">
      <c r="A373" s="311" t="s">
        <v>82</v>
      </c>
      <c r="B373" s="210">
        <v>60</v>
      </c>
      <c r="C373" s="59"/>
      <c r="D373" s="59"/>
      <c r="E373" s="59"/>
      <c r="F373" s="59"/>
      <c r="G373" s="59"/>
      <c r="O373" s="122"/>
      <c r="P373" s="210">
        <v>60</v>
      </c>
    </row>
    <row r="374" spans="1:17" ht="13.5" thickBot="1" x14ac:dyDescent="0.25">
      <c r="A374" s="122"/>
      <c r="B374" s="122"/>
      <c r="C374" s="71"/>
      <c r="D374" s="71"/>
      <c r="E374" s="71"/>
      <c r="F374" s="71"/>
      <c r="G374" s="71"/>
      <c r="H374" s="71"/>
      <c r="I374" s="71"/>
      <c r="J374" s="71"/>
      <c r="K374" s="71"/>
      <c r="L374" s="71"/>
      <c r="M374" s="71"/>
      <c r="N374" s="71"/>
      <c r="O374" s="312"/>
      <c r="P374" s="312"/>
      <c r="Q374" s="71"/>
    </row>
    <row r="375" spans="1:17" ht="13.5" thickBot="1" x14ac:dyDescent="0.25">
      <c r="A375" s="118" t="s">
        <v>1</v>
      </c>
      <c r="B375" s="119" t="s">
        <v>14</v>
      </c>
      <c r="C375" s="9"/>
      <c r="D375" s="9"/>
      <c r="E375" s="9"/>
      <c r="F375" s="9"/>
      <c r="G375" s="9"/>
      <c r="H375" s="9"/>
      <c r="I375" s="9"/>
      <c r="J375" s="9"/>
      <c r="K375" s="9"/>
      <c r="L375" s="9"/>
      <c r="M375" s="9"/>
      <c r="N375" s="9"/>
      <c r="O375" s="118" t="s">
        <v>1</v>
      </c>
      <c r="P375" s="119" t="s">
        <v>14</v>
      </c>
    </row>
    <row r="376" spans="1:17" x14ac:dyDescent="0.2">
      <c r="A376" s="54">
        <v>0</v>
      </c>
      <c r="B376" s="51">
        <v>50</v>
      </c>
      <c r="O376" s="54">
        <v>0</v>
      </c>
      <c r="P376" s="51">
        <v>0</v>
      </c>
    </row>
    <row r="377" spans="1:17" x14ac:dyDescent="0.2">
      <c r="A377" s="49">
        <v>7.89</v>
      </c>
      <c r="B377" s="52">
        <v>50</v>
      </c>
      <c r="C377" s="60"/>
      <c r="D377" s="60"/>
      <c r="F377" s="60"/>
      <c r="G377" s="60"/>
      <c r="H377" s="60"/>
      <c r="I377" s="60"/>
      <c r="K377" s="361"/>
      <c r="L377" s="361"/>
      <c r="M377" s="361"/>
      <c r="N377" s="361"/>
      <c r="O377" s="49">
        <v>10</v>
      </c>
      <c r="P377" s="52">
        <v>0</v>
      </c>
    </row>
    <row r="378" spans="1:17" x14ac:dyDescent="0.2">
      <c r="A378" s="49">
        <v>20</v>
      </c>
      <c r="B378" s="52">
        <v>50</v>
      </c>
      <c r="C378" s="19"/>
      <c r="D378" s="70"/>
      <c r="F378" s="58"/>
      <c r="G378" s="70"/>
      <c r="H378" s="19"/>
      <c r="I378" s="70"/>
      <c r="K378" s="28"/>
      <c r="L378" s="69"/>
      <c r="M378" s="28"/>
      <c r="N378" s="28"/>
      <c r="O378" s="49">
        <v>20</v>
      </c>
      <c r="P378" s="52">
        <v>0</v>
      </c>
    </row>
    <row r="379" spans="1:17" x14ac:dyDescent="0.2">
      <c r="A379" s="49">
        <v>55.26</v>
      </c>
      <c r="B379" s="52">
        <v>50</v>
      </c>
      <c r="C379" s="19"/>
      <c r="D379" s="70"/>
      <c r="F379" s="58"/>
      <c r="G379" s="70"/>
      <c r="H379" s="19"/>
      <c r="I379" s="70"/>
      <c r="K379" s="28"/>
      <c r="L379" s="69"/>
      <c r="M379" s="28"/>
      <c r="N379" s="28"/>
      <c r="O379" s="49">
        <v>30</v>
      </c>
      <c r="P379" s="52">
        <v>0</v>
      </c>
    </row>
    <row r="380" spans="1:17" x14ac:dyDescent="0.2">
      <c r="A380" s="49">
        <v>60</v>
      </c>
      <c r="B380" s="52">
        <v>50</v>
      </c>
      <c r="C380" s="19"/>
      <c r="D380" s="70"/>
      <c r="F380" s="58"/>
      <c r="G380" s="70"/>
      <c r="H380" s="19"/>
      <c r="I380" s="70"/>
      <c r="K380" s="28"/>
      <c r="L380" s="69"/>
      <c r="M380" s="28"/>
      <c r="N380" s="28"/>
      <c r="O380" s="49">
        <v>40</v>
      </c>
      <c r="P380" s="52">
        <v>0</v>
      </c>
    </row>
    <row r="381" spans="1:17" x14ac:dyDescent="0.2">
      <c r="A381" s="49">
        <v>65</v>
      </c>
      <c r="B381" s="52">
        <v>50</v>
      </c>
      <c r="C381" s="19"/>
      <c r="D381" s="70"/>
      <c r="F381" s="58"/>
      <c r="G381" s="70"/>
      <c r="H381" s="19"/>
      <c r="I381" s="70"/>
      <c r="K381" s="28"/>
      <c r="L381" s="69"/>
      <c r="M381" s="28"/>
      <c r="N381" s="28"/>
      <c r="O381" s="49">
        <v>50</v>
      </c>
      <c r="P381" s="52">
        <v>0</v>
      </c>
    </row>
    <row r="382" spans="1:17" x14ac:dyDescent="0.2">
      <c r="A382" s="49">
        <v>71.05</v>
      </c>
      <c r="B382" s="52">
        <v>50</v>
      </c>
      <c r="C382" s="19"/>
      <c r="D382" s="70"/>
      <c r="F382" s="58"/>
      <c r="G382" s="70"/>
      <c r="H382" s="19"/>
      <c r="I382" s="70"/>
      <c r="K382" s="28"/>
      <c r="L382" s="69"/>
      <c r="M382" s="28"/>
      <c r="N382" s="28"/>
      <c r="O382" s="49">
        <v>66.7</v>
      </c>
      <c r="P382" s="52">
        <v>0</v>
      </c>
    </row>
    <row r="383" spans="1:17" ht="13.5" thickBot="1" x14ac:dyDescent="0.25">
      <c r="A383" s="50">
        <v>100</v>
      </c>
      <c r="B383" s="53">
        <v>50</v>
      </c>
      <c r="C383" s="19"/>
      <c r="D383" s="70"/>
      <c r="F383" s="58"/>
      <c r="G383" s="70"/>
      <c r="H383" s="19"/>
      <c r="I383" s="70"/>
      <c r="K383" s="28"/>
      <c r="L383" s="69"/>
      <c r="M383" s="28"/>
      <c r="N383" s="28"/>
      <c r="O383" s="50">
        <v>100</v>
      </c>
      <c r="P383" s="53">
        <v>0</v>
      </c>
    </row>
    <row r="384" spans="1:17" ht="13.5" thickBot="1" x14ac:dyDescent="0.25">
      <c r="A384" s="134"/>
      <c r="B384" s="134"/>
      <c r="C384" s="19"/>
      <c r="D384" s="70"/>
      <c r="F384" s="58"/>
      <c r="G384" s="70"/>
      <c r="H384" s="19"/>
      <c r="I384" s="70"/>
      <c r="K384" s="28"/>
      <c r="L384" s="69"/>
      <c r="M384" s="28"/>
      <c r="N384" s="28"/>
      <c r="O384" s="134"/>
      <c r="P384" s="134"/>
    </row>
    <row r="385" spans="1:16" ht="13.5" thickBot="1" x14ac:dyDescent="0.25">
      <c r="A385" s="118" t="s">
        <v>15</v>
      </c>
      <c r="B385" s="119" t="s">
        <v>14</v>
      </c>
      <c r="C385" s="19"/>
      <c r="D385" s="70"/>
      <c r="F385" s="2"/>
      <c r="G385" s="8"/>
      <c r="H385" s="19"/>
      <c r="I385" s="8"/>
      <c r="K385" s="28"/>
      <c r="L385" s="69"/>
      <c r="M385" s="28"/>
      <c r="N385" s="28"/>
      <c r="O385" s="118" t="s">
        <v>15</v>
      </c>
      <c r="P385" s="119" t="s">
        <v>14</v>
      </c>
    </row>
    <row r="386" spans="1:16" x14ac:dyDescent="0.2">
      <c r="A386" s="37">
        <f t="shared" ref="A386:A393" si="110">A376*F$4/100</f>
        <v>0</v>
      </c>
      <c r="B386" s="38">
        <f t="shared" ref="B386:B393" si="111">B376</f>
        <v>50</v>
      </c>
      <c r="O386" s="37">
        <f t="shared" ref="O386:O393" si="112">O376*F$5/100</f>
        <v>0</v>
      </c>
      <c r="P386" s="38">
        <f t="shared" ref="P386:P393" si="113">P376</f>
        <v>0</v>
      </c>
    </row>
    <row r="387" spans="1:16" x14ac:dyDescent="0.2">
      <c r="A387" s="39">
        <f t="shared" si="110"/>
        <v>0.10809300000000001</v>
      </c>
      <c r="B387" s="40">
        <f t="shared" si="111"/>
        <v>50</v>
      </c>
      <c r="C387" s="28"/>
      <c r="D387" s="28"/>
      <c r="E387" s="28"/>
      <c r="F387" s="28"/>
      <c r="G387" s="28"/>
      <c r="H387" s="28"/>
      <c r="I387" s="28"/>
      <c r="J387" s="28"/>
      <c r="K387" s="28"/>
      <c r="L387" s="28"/>
      <c r="M387" s="28"/>
      <c r="N387" s="28"/>
      <c r="O387" s="39">
        <f t="shared" si="112"/>
        <v>0.15</v>
      </c>
      <c r="P387" s="40">
        <f t="shared" si="113"/>
        <v>0</v>
      </c>
    </row>
    <row r="388" spans="1:16" x14ac:dyDescent="0.2">
      <c r="A388" s="39">
        <f t="shared" si="110"/>
        <v>0.27400000000000002</v>
      </c>
      <c r="B388" s="40">
        <f t="shared" si="111"/>
        <v>50</v>
      </c>
      <c r="C388" s="28"/>
      <c r="D388" s="28"/>
      <c r="E388" s="28"/>
      <c r="F388" s="28"/>
      <c r="G388" s="28"/>
      <c r="H388" s="28"/>
      <c r="I388" s="28"/>
      <c r="J388" s="28"/>
      <c r="K388" s="28"/>
      <c r="L388" s="28"/>
      <c r="M388" s="28"/>
      <c r="N388" s="28"/>
      <c r="O388" s="39">
        <f t="shared" si="112"/>
        <v>0.3</v>
      </c>
      <c r="P388" s="40">
        <f t="shared" si="113"/>
        <v>0</v>
      </c>
    </row>
    <row r="389" spans="1:16" x14ac:dyDescent="0.2">
      <c r="A389" s="39">
        <f t="shared" si="110"/>
        <v>0.75706200000000012</v>
      </c>
      <c r="B389" s="40">
        <f t="shared" si="111"/>
        <v>50</v>
      </c>
      <c r="C389" s="28"/>
      <c r="D389" s="28"/>
      <c r="E389" s="28"/>
      <c r="F389" s="28"/>
      <c r="G389" s="28"/>
      <c r="H389" s="28"/>
      <c r="I389" s="28"/>
      <c r="J389" s="28"/>
      <c r="K389" s="28"/>
      <c r="L389" s="28"/>
      <c r="M389" s="28"/>
      <c r="N389" s="28"/>
      <c r="O389" s="39">
        <f t="shared" si="112"/>
        <v>0.45</v>
      </c>
      <c r="P389" s="40">
        <f t="shared" si="113"/>
        <v>0</v>
      </c>
    </row>
    <row r="390" spans="1:16" x14ac:dyDescent="0.2">
      <c r="A390" s="39">
        <f t="shared" si="110"/>
        <v>0.82200000000000006</v>
      </c>
      <c r="B390" s="40">
        <f t="shared" si="111"/>
        <v>50</v>
      </c>
      <c r="C390" s="28"/>
      <c r="D390" s="28"/>
      <c r="E390" s="28"/>
      <c r="F390" s="28"/>
      <c r="G390" s="28"/>
      <c r="H390" s="28"/>
      <c r="I390" s="28"/>
      <c r="J390" s="28"/>
      <c r="K390" s="28"/>
      <c r="L390" s="28"/>
      <c r="M390" s="28"/>
      <c r="N390" s="28"/>
      <c r="O390" s="39">
        <f t="shared" si="112"/>
        <v>0.6</v>
      </c>
      <c r="P390" s="40">
        <f t="shared" si="113"/>
        <v>0</v>
      </c>
    </row>
    <row r="391" spans="1:16" x14ac:dyDescent="0.2">
      <c r="A391" s="39">
        <f t="shared" si="110"/>
        <v>0.89050000000000007</v>
      </c>
      <c r="B391" s="40">
        <f t="shared" si="111"/>
        <v>50</v>
      </c>
      <c r="C391" s="28"/>
      <c r="D391" s="28"/>
      <c r="E391" s="28"/>
      <c r="F391" s="28"/>
      <c r="G391" s="28"/>
      <c r="H391" s="28"/>
      <c r="I391" s="28"/>
      <c r="J391" s="28"/>
      <c r="K391" s="28"/>
      <c r="L391" s="28"/>
      <c r="M391" s="28"/>
      <c r="N391" s="28"/>
      <c r="O391" s="39">
        <f t="shared" si="112"/>
        <v>0.75</v>
      </c>
      <c r="P391" s="40">
        <f t="shared" si="113"/>
        <v>0</v>
      </c>
    </row>
    <row r="392" spans="1:16" x14ac:dyDescent="0.2">
      <c r="A392" s="39">
        <f t="shared" si="110"/>
        <v>0.97338500000000006</v>
      </c>
      <c r="B392" s="123">
        <f t="shared" si="111"/>
        <v>50</v>
      </c>
      <c r="C392" s="28"/>
      <c r="D392" s="28"/>
      <c r="E392" s="28"/>
      <c r="F392" s="28"/>
      <c r="G392" s="28"/>
      <c r="H392" s="28"/>
      <c r="I392" s="28"/>
      <c r="J392" s="28"/>
      <c r="K392" s="28"/>
      <c r="L392" s="28"/>
      <c r="M392" s="28"/>
      <c r="N392" s="28"/>
      <c r="O392" s="39">
        <f t="shared" si="112"/>
        <v>1.0005000000000002</v>
      </c>
      <c r="P392" s="123">
        <f t="shared" si="113"/>
        <v>0</v>
      </c>
    </row>
    <row r="393" spans="1:16" ht="13.5" thickBot="1" x14ac:dyDescent="0.25">
      <c r="A393" s="41">
        <f t="shared" si="110"/>
        <v>1.37</v>
      </c>
      <c r="B393" s="42">
        <f t="shared" si="111"/>
        <v>50</v>
      </c>
      <c r="C393" s="28"/>
      <c r="D393" s="28"/>
      <c r="E393" s="28"/>
      <c r="F393" s="28"/>
      <c r="G393" s="28"/>
      <c r="H393" s="28"/>
      <c r="I393" s="28"/>
      <c r="J393" s="28"/>
      <c r="K393" s="28"/>
      <c r="L393" s="28"/>
      <c r="M393" s="28"/>
      <c r="N393" s="28"/>
      <c r="O393" s="41">
        <f t="shared" si="112"/>
        <v>1.5</v>
      </c>
      <c r="P393" s="42">
        <f t="shared" si="113"/>
        <v>0</v>
      </c>
    </row>
    <row r="394" spans="1:16" x14ac:dyDescent="0.2">
      <c r="A394" s="68"/>
      <c r="B394" s="66"/>
      <c r="C394" s="28"/>
      <c r="D394" s="28"/>
      <c r="E394" s="28"/>
      <c r="F394" s="28"/>
      <c r="G394" s="28"/>
      <c r="H394" s="28"/>
      <c r="I394" s="28"/>
      <c r="J394" s="28"/>
      <c r="K394" s="28"/>
      <c r="L394" s="28"/>
      <c r="M394" s="28"/>
      <c r="N394" s="28"/>
      <c r="O394" s="68"/>
      <c r="P394" s="66"/>
    </row>
    <row r="395" spans="1:16" ht="13.5" thickBot="1" x14ac:dyDescent="0.25">
      <c r="A395" s="68"/>
      <c r="B395" s="66"/>
      <c r="C395" s="28"/>
      <c r="D395" s="28"/>
      <c r="E395" s="28"/>
      <c r="F395" s="28"/>
      <c r="G395" s="28"/>
      <c r="H395" s="28"/>
      <c r="I395" s="28"/>
      <c r="J395" s="28"/>
      <c r="K395" s="28"/>
      <c r="L395" s="28"/>
      <c r="M395" s="28"/>
      <c r="N395" s="28"/>
      <c r="O395" s="68"/>
      <c r="P395" s="66"/>
    </row>
    <row r="396" spans="1:16" ht="13.5" thickBot="1" x14ac:dyDescent="0.25">
      <c r="A396" s="129" t="s">
        <v>73</v>
      </c>
      <c r="B396" s="119" t="s">
        <v>16</v>
      </c>
      <c r="C396" s="28"/>
      <c r="D396" s="28"/>
      <c r="E396" s="28"/>
      <c r="F396" s="28"/>
      <c r="G396" s="28"/>
      <c r="H396" s="28"/>
      <c r="I396" s="28"/>
      <c r="J396" s="28"/>
      <c r="K396" s="28"/>
      <c r="L396" s="28"/>
      <c r="M396" s="28"/>
      <c r="N396" s="28"/>
      <c r="O396" s="68"/>
      <c r="P396" s="119" t="s">
        <v>16</v>
      </c>
    </row>
    <row r="397" spans="1:16" ht="13.5" thickBot="1" x14ac:dyDescent="0.25">
      <c r="A397" s="311" t="s">
        <v>83</v>
      </c>
      <c r="B397" s="210">
        <v>60</v>
      </c>
      <c r="C397" s="28"/>
      <c r="D397" s="28"/>
      <c r="E397" s="28"/>
      <c r="F397" s="28"/>
      <c r="G397" s="28"/>
      <c r="H397" s="28"/>
      <c r="I397" s="28"/>
      <c r="J397" s="28"/>
      <c r="K397" s="28"/>
      <c r="L397" s="28"/>
      <c r="M397" s="28"/>
      <c r="N397" s="28"/>
      <c r="O397" s="68"/>
      <c r="P397" s="210">
        <v>60</v>
      </c>
    </row>
    <row r="398" spans="1:16" ht="13.5" thickBot="1" x14ac:dyDescent="0.25">
      <c r="A398" s="122"/>
      <c r="B398" s="122"/>
      <c r="C398" s="28"/>
      <c r="D398" s="28"/>
      <c r="E398" s="28"/>
      <c r="F398" s="28"/>
      <c r="G398" s="28"/>
      <c r="H398" s="28"/>
      <c r="I398" s="28"/>
      <c r="J398" s="28"/>
      <c r="K398" s="28"/>
      <c r="L398" s="28"/>
      <c r="M398" s="28"/>
      <c r="N398" s="28"/>
      <c r="O398" s="67"/>
      <c r="P398" s="66"/>
    </row>
    <row r="399" spans="1:16" ht="13.5" thickBot="1" x14ac:dyDescent="0.25">
      <c r="A399" s="118" t="s">
        <v>1</v>
      </c>
      <c r="B399" s="119" t="s">
        <v>14</v>
      </c>
      <c r="C399" s="28"/>
      <c r="D399" s="28"/>
      <c r="E399" s="28"/>
      <c r="F399" s="28"/>
      <c r="G399" s="28"/>
      <c r="H399" s="28"/>
      <c r="I399" s="28"/>
      <c r="J399" s="28"/>
      <c r="K399" s="28"/>
      <c r="L399" s="28"/>
      <c r="M399" s="28"/>
      <c r="N399" s="28"/>
      <c r="O399" s="118" t="s">
        <v>1</v>
      </c>
      <c r="P399" s="119" t="s">
        <v>14</v>
      </c>
    </row>
    <row r="400" spans="1:16" x14ac:dyDescent="0.2">
      <c r="A400" s="54">
        <v>0</v>
      </c>
      <c r="B400" s="51">
        <v>0</v>
      </c>
      <c r="C400" s="28"/>
      <c r="D400" s="28"/>
      <c r="E400" s="28"/>
      <c r="F400" s="28"/>
      <c r="G400" s="28"/>
      <c r="H400" s="28"/>
      <c r="I400" s="28"/>
      <c r="J400" s="28"/>
      <c r="K400" s="28"/>
      <c r="L400" s="28"/>
      <c r="M400" s="28"/>
      <c r="N400" s="28"/>
      <c r="O400" s="54">
        <v>0</v>
      </c>
      <c r="P400" s="51">
        <v>75</v>
      </c>
    </row>
    <row r="401" spans="1:16" x14ac:dyDescent="0.2">
      <c r="A401" s="49">
        <v>7.89</v>
      </c>
      <c r="B401" s="52">
        <v>0</v>
      </c>
      <c r="C401" s="28"/>
      <c r="D401" s="28"/>
      <c r="E401" s="28"/>
      <c r="F401" s="28"/>
      <c r="G401" s="28"/>
      <c r="H401" s="28"/>
      <c r="I401" s="28"/>
      <c r="J401" s="28"/>
      <c r="K401" s="28"/>
      <c r="L401" s="28"/>
      <c r="M401" s="28"/>
      <c r="N401" s="28"/>
      <c r="O401" s="49">
        <v>10</v>
      </c>
      <c r="P401" s="52">
        <v>75</v>
      </c>
    </row>
    <row r="402" spans="1:16" x14ac:dyDescent="0.2">
      <c r="A402" s="49">
        <v>20</v>
      </c>
      <c r="B402" s="52">
        <v>0</v>
      </c>
      <c r="C402" s="28"/>
      <c r="D402" s="28"/>
      <c r="E402" s="28"/>
      <c r="F402" s="28"/>
      <c r="G402" s="28"/>
      <c r="H402" s="28"/>
      <c r="I402" s="28"/>
      <c r="J402" s="28"/>
      <c r="K402" s="28"/>
      <c r="L402" s="28"/>
      <c r="M402" s="28"/>
      <c r="N402" s="28"/>
      <c r="O402" s="49">
        <v>20</v>
      </c>
      <c r="P402" s="52">
        <v>75</v>
      </c>
    </row>
    <row r="403" spans="1:16" x14ac:dyDescent="0.2">
      <c r="A403" s="49">
        <v>55.26</v>
      </c>
      <c r="B403" s="52">
        <v>0</v>
      </c>
      <c r="C403" s="28"/>
      <c r="D403" s="28"/>
      <c r="E403" s="28"/>
      <c r="F403" s="28"/>
      <c r="G403" s="28"/>
      <c r="H403" s="28"/>
      <c r="I403" s="28"/>
      <c r="J403" s="28"/>
      <c r="K403" s="28"/>
      <c r="L403" s="28"/>
      <c r="M403" s="28"/>
      <c r="N403" s="28"/>
      <c r="O403" s="49">
        <v>30</v>
      </c>
      <c r="P403" s="52">
        <v>75</v>
      </c>
    </row>
    <row r="404" spans="1:16" x14ac:dyDescent="0.2">
      <c r="A404" s="49">
        <v>60</v>
      </c>
      <c r="B404" s="52">
        <v>0</v>
      </c>
      <c r="C404" s="28"/>
      <c r="D404" s="28"/>
      <c r="E404" s="28"/>
      <c r="F404" s="28"/>
      <c r="G404" s="28"/>
      <c r="H404" s="28"/>
      <c r="I404" s="28"/>
      <c r="J404" s="28"/>
      <c r="K404" s="28"/>
      <c r="L404" s="28"/>
      <c r="M404" s="28"/>
      <c r="N404" s="28"/>
      <c r="O404" s="49">
        <v>40</v>
      </c>
      <c r="P404" s="52">
        <v>75</v>
      </c>
    </row>
    <row r="405" spans="1:16" x14ac:dyDescent="0.2">
      <c r="A405" s="49">
        <v>65</v>
      </c>
      <c r="B405" s="52">
        <v>0</v>
      </c>
      <c r="C405" s="28"/>
      <c r="D405" s="28"/>
      <c r="E405" s="28"/>
      <c r="F405" s="28"/>
      <c r="G405" s="28"/>
      <c r="H405" s="28"/>
      <c r="I405" s="28"/>
      <c r="J405" s="28"/>
      <c r="K405" s="28"/>
      <c r="L405" s="28"/>
      <c r="M405" s="28"/>
      <c r="N405" s="28"/>
      <c r="O405" s="49">
        <v>50</v>
      </c>
      <c r="P405" s="52">
        <v>75</v>
      </c>
    </row>
    <row r="406" spans="1:16" x14ac:dyDescent="0.2">
      <c r="A406" s="49">
        <v>71.05</v>
      </c>
      <c r="B406" s="52">
        <v>0</v>
      </c>
      <c r="C406" s="28"/>
      <c r="D406" s="28"/>
      <c r="E406" s="28"/>
      <c r="F406" s="28"/>
      <c r="G406" s="28"/>
      <c r="H406" s="28"/>
      <c r="I406" s="28"/>
      <c r="J406" s="28"/>
      <c r="K406" s="28"/>
      <c r="L406" s="28"/>
      <c r="M406" s="28"/>
      <c r="N406" s="28"/>
      <c r="O406" s="49">
        <v>66.7</v>
      </c>
      <c r="P406" s="52">
        <v>75</v>
      </c>
    </row>
    <row r="407" spans="1:16" ht="13.5" thickBot="1" x14ac:dyDescent="0.25">
      <c r="A407" s="50">
        <v>100</v>
      </c>
      <c r="B407" s="53">
        <v>0</v>
      </c>
      <c r="C407" s="28"/>
      <c r="D407" s="28"/>
      <c r="E407" s="28"/>
      <c r="F407" s="28"/>
      <c r="G407" s="28"/>
      <c r="H407" s="28"/>
      <c r="I407" s="28"/>
      <c r="J407" s="28"/>
      <c r="K407" s="28"/>
      <c r="L407" s="28"/>
      <c r="M407" s="28"/>
      <c r="N407" s="28"/>
      <c r="O407" s="50">
        <v>100</v>
      </c>
      <c r="P407" s="53">
        <v>75</v>
      </c>
    </row>
    <row r="408" spans="1:16" ht="13.5" thickBot="1" x14ac:dyDescent="0.25">
      <c r="C408" s="28"/>
      <c r="D408" s="28"/>
      <c r="E408" s="28"/>
      <c r="F408" s="28"/>
      <c r="G408" s="28"/>
      <c r="H408" s="28"/>
      <c r="I408" s="28"/>
      <c r="J408" s="28"/>
      <c r="K408" s="28"/>
      <c r="L408" s="28"/>
      <c r="M408" s="28"/>
      <c r="N408" s="28"/>
    </row>
    <row r="409" spans="1:16" ht="13.5" thickBot="1" x14ac:dyDescent="0.25">
      <c r="A409" s="110" t="s">
        <v>15</v>
      </c>
      <c r="B409" s="25" t="s">
        <v>14</v>
      </c>
      <c r="C409" s="28"/>
      <c r="D409" s="28"/>
      <c r="E409" s="28"/>
      <c r="F409" s="28"/>
      <c r="G409" s="28"/>
      <c r="H409" s="28"/>
      <c r="I409" s="28"/>
      <c r="J409" s="28"/>
      <c r="K409" s="28"/>
      <c r="L409" s="28"/>
      <c r="M409" s="28"/>
      <c r="N409" s="28"/>
      <c r="O409" s="110" t="s">
        <v>15</v>
      </c>
      <c r="P409" s="25" t="s">
        <v>14</v>
      </c>
    </row>
    <row r="410" spans="1:16" x14ac:dyDescent="0.2">
      <c r="A410" s="37">
        <f t="shared" ref="A410:A417" si="114">A400*F$4/100</f>
        <v>0</v>
      </c>
      <c r="B410" s="38">
        <f t="shared" ref="B410:B417" si="115">B400</f>
        <v>0</v>
      </c>
      <c r="C410" s="28"/>
      <c r="D410" s="28"/>
      <c r="E410" s="28"/>
      <c r="F410" s="28"/>
      <c r="G410" s="28"/>
      <c r="H410" s="28"/>
      <c r="I410" s="28"/>
      <c r="J410" s="28"/>
      <c r="K410" s="28"/>
      <c r="L410" s="28"/>
      <c r="M410" s="28"/>
      <c r="N410" s="28"/>
      <c r="O410" s="37">
        <f t="shared" ref="O410:O417" si="116">O400*F$5/100</f>
        <v>0</v>
      </c>
      <c r="P410" s="38">
        <f t="shared" ref="P410:P417" si="117">P400</f>
        <v>75</v>
      </c>
    </row>
    <row r="411" spans="1:16" x14ac:dyDescent="0.2">
      <c r="A411" s="39">
        <f t="shared" si="114"/>
        <v>0.10809300000000001</v>
      </c>
      <c r="B411" s="40">
        <f t="shared" si="115"/>
        <v>0</v>
      </c>
      <c r="C411" s="28"/>
      <c r="D411" s="28"/>
      <c r="E411" s="28"/>
      <c r="F411" s="28"/>
      <c r="G411" s="28"/>
      <c r="H411" s="28"/>
      <c r="I411" s="28"/>
      <c r="J411" s="28"/>
      <c r="K411" s="28"/>
      <c r="L411" s="28"/>
      <c r="M411" s="28"/>
      <c r="N411" s="28"/>
      <c r="O411" s="39">
        <f t="shared" si="116"/>
        <v>0.15</v>
      </c>
      <c r="P411" s="40">
        <f t="shared" si="117"/>
        <v>75</v>
      </c>
    </row>
    <row r="412" spans="1:16" x14ac:dyDescent="0.2">
      <c r="A412" s="39">
        <f t="shared" si="114"/>
        <v>0.27400000000000002</v>
      </c>
      <c r="B412" s="40">
        <f t="shared" si="115"/>
        <v>0</v>
      </c>
      <c r="C412" s="28"/>
      <c r="D412" s="28"/>
      <c r="E412" s="28"/>
      <c r="F412" s="28"/>
      <c r="G412" s="28"/>
      <c r="H412" s="28"/>
      <c r="I412" s="28"/>
      <c r="J412" s="28"/>
      <c r="K412" s="28"/>
      <c r="L412" s="28"/>
      <c r="M412" s="28"/>
      <c r="N412" s="28"/>
      <c r="O412" s="39">
        <f t="shared" si="116"/>
        <v>0.3</v>
      </c>
      <c r="P412" s="40">
        <f t="shared" si="117"/>
        <v>75</v>
      </c>
    </row>
    <row r="413" spans="1:16" x14ac:dyDescent="0.2">
      <c r="A413" s="39">
        <f t="shared" si="114"/>
        <v>0.75706200000000012</v>
      </c>
      <c r="B413" s="40">
        <f t="shared" si="115"/>
        <v>0</v>
      </c>
      <c r="C413" s="28"/>
      <c r="D413" s="28"/>
      <c r="E413" s="28"/>
      <c r="F413" s="28"/>
      <c r="G413" s="28"/>
      <c r="H413" s="28"/>
      <c r="I413" s="28"/>
      <c r="J413" s="28"/>
      <c r="K413" s="28"/>
      <c r="L413" s="28"/>
      <c r="M413" s="28"/>
      <c r="N413" s="28"/>
      <c r="O413" s="39">
        <f t="shared" si="116"/>
        <v>0.45</v>
      </c>
      <c r="P413" s="40">
        <f t="shared" si="117"/>
        <v>75</v>
      </c>
    </row>
    <row r="414" spans="1:16" x14ac:dyDescent="0.2">
      <c r="A414" s="39">
        <f t="shared" si="114"/>
        <v>0.82200000000000006</v>
      </c>
      <c r="B414" s="40">
        <f t="shared" si="115"/>
        <v>0</v>
      </c>
      <c r="C414" s="28"/>
      <c r="D414" s="28"/>
      <c r="E414" s="28"/>
      <c r="F414" s="28"/>
      <c r="G414" s="28"/>
      <c r="H414" s="28"/>
      <c r="I414" s="28"/>
      <c r="J414" s="28"/>
      <c r="K414" s="28"/>
      <c r="L414" s="28"/>
      <c r="M414" s="28"/>
      <c r="N414" s="28"/>
      <c r="O414" s="39">
        <f t="shared" si="116"/>
        <v>0.6</v>
      </c>
      <c r="P414" s="40">
        <f t="shared" si="117"/>
        <v>75</v>
      </c>
    </row>
    <row r="415" spans="1:16" x14ac:dyDescent="0.2">
      <c r="A415" s="39">
        <f t="shared" si="114"/>
        <v>0.89050000000000007</v>
      </c>
      <c r="B415" s="40">
        <f t="shared" si="115"/>
        <v>0</v>
      </c>
      <c r="C415" s="28"/>
      <c r="D415" s="28"/>
      <c r="E415" s="28"/>
      <c r="F415" s="28"/>
      <c r="G415" s="28"/>
      <c r="H415" s="28"/>
      <c r="I415" s="28"/>
      <c r="J415" s="28"/>
      <c r="K415" s="28"/>
      <c r="L415" s="28"/>
      <c r="M415" s="28"/>
      <c r="N415" s="28"/>
      <c r="O415" s="39">
        <f t="shared" si="116"/>
        <v>0.75</v>
      </c>
      <c r="P415" s="40">
        <f t="shared" si="117"/>
        <v>75</v>
      </c>
    </row>
    <row r="416" spans="1:16" x14ac:dyDescent="0.2">
      <c r="A416" s="39">
        <f t="shared" si="114"/>
        <v>0.97338500000000006</v>
      </c>
      <c r="B416" s="123">
        <f t="shared" si="115"/>
        <v>0</v>
      </c>
      <c r="C416" s="28"/>
      <c r="D416" s="28"/>
      <c r="E416" s="28"/>
      <c r="F416" s="28"/>
      <c r="G416" s="28"/>
      <c r="H416" s="28"/>
      <c r="I416" s="28"/>
      <c r="J416" s="28"/>
      <c r="K416" s="28"/>
      <c r="L416" s="28"/>
      <c r="M416" s="28"/>
      <c r="N416" s="28"/>
      <c r="O416" s="39">
        <f t="shared" si="116"/>
        <v>1.0005000000000002</v>
      </c>
      <c r="P416" s="123">
        <f t="shared" si="117"/>
        <v>75</v>
      </c>
    </row>
    <row r="417" spans="1:16" ht="13.5" thickBot="1" x14ac:dyDescent="0.25">
      <c r="A417" s="41">
        <f t="shared" si="114"/>
        <v>1.37</v>
      </c>
      <c r="B417" s="138">
        <f t="shared" si="115"/>
        <v>0</v>
      </c>
      <c r="C417" s="28"/>
      <c r="D417" s="28"/>
      <c r="E417" s="28"/>
      <c r="F417" s="28"/>
      <c r="G417" s="28"/>
      <c r="H417" s="28"/>
      <c r="I417" s="28"/>
      <c r="J417" s="28"/>
      <c r="K417" s="28"/>
      <c r="L417" s="28"/>
      <c r="M417" s="28"/>
      <c r="N417" s="28"/>
      <c r="O417" s="41">
        <f t="shared" si="116"/>
        <v>1.5</v>
      </c>
      <c r="P417" s="42">
        <f t="shared" si="117"/>
        <v>75</v>
      </c>
    </row>
    <row r="418" spans="1:16" x14ac:dyDescent="0.2">
      <c r="A418" s="67"/>
      <c r="B418" s="66"/>
      <c r="C418" s="28"/>
      <c r="D418" s="28"/>
      <c r="E418" s="28"/>
      <c r="F418" s="28"/>
      <c r="G418" s="28"/>
      <c r="H418" s="28"/>
      <c r="I418" s="28"/>
      <c r="J418" s="28"/>
      <c r="K418" s="28"/>
      <c r="L418" s="28"/>
      <c r="M418" s="28"/>
      <c r="N418" s="28"/>
      <c r="O418" s="67"/>
      <c r="P418" s="66"/>
    </row>
    <row r="419" spans="1:16" ht="13.5" thickBot="1" x14ac:dyDescent="0.25">
      <c r="A419" s="121"/>
      <c r="B419" s="121"/>
      <c r="C419" s="28"/>
      <c r="D419" s="28"/>
      <c r="E419" s="28"/>
      <c r="F419" s="28"/>
      <c r="G419" s="28"/>
      <c r="H419" s="28"/>
      <c r="I419" s="28"/>
      <c r="J419" s="28"/>
      <c r="K419" s="28"/>
      <c r="L419" s="28"/>
      <c r="M419" s="28"/>
      <c r="N419" s="28"/>
      <c r="O419" s="305"/>
      <c r="P419" s="305"/>
    </row>
    <row r="420" spans="1:16" ht="13.5" thickBot="1" x14ac:dyDescent="0.25">
      <c r="A420" s="129" t="s">
        <v>73</v>
      </c>
      <c r="B420" s="119" t="s">
        <v>16</v>
      </c>
      <c r="C420" s="28"/>
      <c r="D420" s="28"/>
      <c r="E420" s="28"/>
      <c r="F420" s="28"/>
      <c r="G420" s="28"/>
      <c r="H420" s="28"/>
      <c r="I420" s="28"/>
      <c r="J420" s="28"/>
      <c r="K420" s="28"/>
      <c r="L420" s="28"/>
      <c r="M420" s="28"/>
      <c r="N420" s="28"/>
      <c r="O420" s="306"/>
      <c r="P420" s="119" t="s">
        <v>16</v>
      </c>
    </row>
    <row r="421" spans="1:16" ht="13.5" thickBot="1" x14ac:dyDescent="0.25">
      <c r="A421" s="311" t="s">
        <v>84</v>
      </c>
      <c r="B421" s="210">
        <v>60</v>
      </c>
      <c r="C421" s="28"/>
      <c r="D421" s="28"/>
      <c r="E421" s="28"/>
      <c r="F421" s="28"/>
      <c r="G421" s="28"/>
      <c r="H421" s="28"/>
      <c r="I421" s="28"/>
      <c r="J421" s="28"/>
      <c r="K421" s="28"/>
      <c r="L421" s="28"/>
      <c r="M421" s="28"/>
      <c r="N421" s="28"/>
      <c r="O421" s="67"/>
      <c r="P421" s="210">
        <v>60</v>
      </c>
    </row>
    <row r="422" spans="1:16" ht="13.5" thickBot="1" x14ac:dyDescent="0.25">
      <c r="A422" s="122"/>
      <c r="B422" s="122"/>
      <c r="C422" s="28"/>
      <c r="D422" s="28"/>
      <c r="E422" s="28"/>
      <c r="F422" s="28"/>
      <c r="G422" s="28"/>
      <c r="H422" s="28"/>
      <c r="I422" s="28"/>
      <c r="J422" s="28"/>
      <c r="K422" s="28"/>
      <c r="L422" s="28"/>
      <c r="M422" s="28"/>
      <c r="N422" s="28"/>
      <c r="O422" s="67"/>
      <c r="P422" s="307"/>
    </row>
    <row r="423" spans="1:16" ht="13.5" thickBot="1" x14ac:dyDescent="0.25">
      <c r="A423" s="118" t="s">
        <v>1</v>
      </c>
      <c r="B423" s="119" t="s">
        <v>14</v>
      </c>
      <c r="C423" s="28"/>
      <c r="D423" s="28"/>
      <c r="E423" s="28"/>
      <c r="F423" s="28"/>
      <c r="G423" s="28"/>
      <c r="H423" s="28"/>
      <c r="I423" s="28"/>
      <c r="J423" s="28"/>
      <c r="K423" s="28"/>
      <c r="L423" s="28"/>
      <c r="M423" s="28"/>
      <c r="N423" s="28"/>
      <c r="O423" s="118" t="s">
        <v>1</v>
      </c>
      <c r="P423" s="119" t="s">
        <v>14</v>
      </c>
    </row>
    <row r="424" spans="1:16" x14ac:dyDescent="0.2">
      <c r="A424" s="54">
        <v>0</v>
      </c>
      <c r="B424" s="51">
        <v>100</v>
      </c>
      <c r="C424" s="28"/>
      <c r="D424" s="28"/>
      <c r="E424" s="28"/>
      <c r="F424" s="28"/>
      <c r="G424" s="28"/>
      <c r="H424" s="28"/>
      <c r="I424" s="28"/>
      <c r="J424" s="28"/>
      <c r="K424" s="28"/>
      <c r="L424" s="28"/>
      <c r="M424" s="28"/>
      <c r="N424" s="28"/>
      <c r="O424" s="54">
        <v>0</v>
      </c>
      <c r="P424" s="51">
        <v>0</v>
      </c>
    </row>
    <row r="425" spans="1:16" x14ac:dyDescent="0.2">
      <c r="A425" s="49">
        <v>7.89</v>
      </c>
      <c r="B425" s="52">
        <v>100</v>
      </c>
      <c r="C425" s="28"/>
      <c r="D425" s="28"/>
      <c r="E425" s="28"/>
      <c r="F425" s="28"/>
      <c r="G425" s="28"/>
      <c r="H425" s="28"/>
      <c r="I425" s="28"/>
      <c r="J425" s="28"/>
      <c r="K425" s="28"/>
      <c r="L425" s="28"/>
      <c r="M425" s="28"/>
      <c r="N425" s="28"/>
      <c r="O425" s="49">
        <v>10</v>
      </c>
      <c r="P425" s="52">
        <v>0</v>
      </c>
    </row>
    <row r="426" spans="1:16" x14ac:dyDescent="0.2">
      <c r="A426" s="49">
        <v>20</v>
      </c>
      <c r="B426" s="52">
        <v>100</v>
      </c>
      <c r="C426" s="28"/>
      <c r="D426" s="28"/>
      <c r="E426" s="28"/>
      <c r="F426" s="28"/>
      <c r="G426" s="28"/>
      <c r="H426" s="28"/>
      <c r="I426" s="28"/>
      <c r="J426" s="28"/>
      <c r="K426" s="28"/>
      <c r="L426" s="28"/>
      <c r="M426" s="28"/>
      <c r="N426" s="28"/>
      <c r="O426" s="49">
        <v>20</v>
      </c>
      <c r="P426" s="52">
        <v>0</v>
      </c>
    </row>
    <row r="427" spans="1:16" x14ac:dyDescent="0.2">
      <c r="A427" s="49">
        <v>55.26</v>
      </c>
      <c r="B427" s="52">
        <v>100</v>
      </c>
      <c r="C427" s="28"/>
      <c r="D427" s="28"/>
      <c r="E427" s="28"/>
      <c r="F427" s="28"/>
      <c r="G427" s="28"/>
      <c r="H427" s="28"/>
      <c r="I427" s="28"/>
      <c r="J427" s="28"/>
      <c r="K427" s="28"/>
      <c r="L427" s="28"/>
      <c r="M427" s="28"/>
      <c r="N427" s="28"/>
      <c r="O427" s="49">
        <v>30</v>
      </c>
      <c r="P427" s="52">
        <v>0</v>
      </c>
    </row>
    <row r="428" spans="1:16" x14ac:dyDescent="0.2">
      <c r="A428" s="49">
        <v>60</v>
      </c>
      <c r="B428" s="52">
        <v>100</v>
      </c>
      <c r="C428" s="28"/>
      <c r="D428" s="28"/>
      <c r="E428" s="28"/>
      <c r="F428" s="28"/>
      <c r="G428" s="28"/>
      <c r="H428" s="28"/>
      <c r="I428" s="28"/>
      <c r="J428" s="28"/>
      <c r="K428" s="28"/>
      <c r="L428" s="28"/>
      <c r="M428" s="28"/>
      <c r="N428" s="28"/>
      <c r="O428" s="49">
        <v>40</v>
      </c>
      <c r="P428" s="52">
        <v>0</v>
      </c>
    </row>
    <row r="429" spans="1:16" x14ac:dyDescent="0.2">
      <c r="A429" s="49">
        <v>65</v>
      </c>
      <c r="B429" s="52">
        <v>100</v>
      </c>
      <c r="C429" s="28"/>
      <c r="D429" s="28"/>
      <c r="E429" s="28"/>
      <c r="F429" s="28"/>
      <c r="G429" s="28"/>
      <c r="H429" s="28"/>
      <c r="I429" s="28"/>
      <c r="J429" s="28"/>
      <c r="K429" s="28"/>
      <c r="L429" s="28"/>
      <c r="M429" s="28"/>
      <c r="N429" s="28"/>
      <c r="O429" s="49">
        <v>50</v>
      </c>
      <c r="P429" s="52">
        <v>0</v>
      </c>
    </row>
    <row r="430" spans="1:16" x14ac:dyDescent="0.2">
      <c r="A430" s="49">
        <v>71.05</v>
      </c>
      <c r="B430" s="52">
        <v>100</v>
      </c>
      <c r="C430" s="28"/>
      <c r="D430" s="28"/>
      <c r="E430" s="28"/>
      <c r="F430" s="28"/>
      <c r="G430" s="28"/>
      <c r="H430" s="28"/>
      <c r="I430" s="28"/>
      <c r="J430" s="28"/>
      <c r="K430" s="28"/>
      <c r="L430" s="28"/>
      <c r="M430" s="28"/>
      <c r="N430" s="28"/>
      <c r="O430" s="49">
        <v>66.7</v>
      </c>
      <c r="P430" s="52">
        <v>0</v>
      </c>
    </row>
    <row r="431" spans="1:16" ht="13.5" thickBot="1" x14ac:dyDescent="0.25">
      <c r="A431" s="50">
        <v>100</v>
      </c>
      <c r="B431" s="53">
        <v>100</v>
      </c>
      <c r="C431" s="28"/>
      <c r="D431" s="28"/>
      <c r="E431" s="28"/>
      <c r="F431" s="28"/>
      <c r="G431" s="28"/>
      <c r="H431" s="28"/>
      <c r="I431" s="28"/>
      <c r="J431" s="28"/>
      <c r="K431" s="28"/>
      <c r="L431" s="28"/>
      <c r="M431" s="28"/>
      <c r="N431" s="28"/>
      <c r="O431" s="50">
        <v>100</v>
      </c>
      <c r="P431" s="53">
        <v>0</v>
      </c>
    </row>
    <row r="432" spans="1:16" ht="13.5" thickBot="1" x14ac:dyDescent="0.25">
      <c r="C432" s="28"/>
      <c r="D432" s="28"/>
      <c r="E432" s="28"/>
      <c r="F432" s="28"/>
      <c r="G432" s="28"/>
      <c r="H432" s="28"/>
      <c r="I432" s="28"/>
      <c r="J432" s="28"/>
      <c r="K432" s="28"/>
      <c r="L432" s="28"/>
      <c r="M432" s="28"/>
      <c r="N432" s="28"/>
    </row>
    <row r="433" spans="1:16" ht="13.5" thickBot="1" x14ac:dyDescent="0.25">
      <c r="A433" s="110" t="s">
        <v>15</v>
      </c>
      <c r="B433" s="25" t="s">
        <v>14</v>
      </c>
      <c r="C433" s="28"/>
      <c r="D433" s="28"/>
      <c r="E433" s="28"/>
      <c r="F433" s="28"/>
      <c r="G433" s="28"/>
      <c r="H433" s="28"/>
      <c r="I433" s="28"/>
      <c r="J433" s="28"/>
      <c r="K433" s="28"/>
      <c r="L433" s="28"/>
      <c r="M433" s="28"/>
      <c r="N433" s="28"/>
      <c r="O433" s="110" t="s">
        <v>15</v>
      </c>
      <c r="P433" s="25" t="s">
        <v>14</v>
      </c>
    </row>
    <row r="434" spans="1:16" x14ac:dyDescent="0.2">
      <c r="A434" s="37">
        <f t="shared" ref="A434:A441" si="118">A424*F$4/100</f>
        <v>0</v>
      </c>
      <c r="B434" s="38">
        <f t="shared" ref="B434:B441" si="119">B424</f>
        <v>100</v>
      </c>
      <c r="C434" s="28"/>
      <c r="D434" s="28"/>
      <c r="E434" s="28"/>
      <c r="F434" s="28"/>
      <c r="G434" s="28"/>
      <c r="H434" s="28"/>
      <c r="I434" s="28"/>
      <c r="J434" s="28"/>
      <c r="K434" s="28"/>
      <c r="L434" s="28"/>
      <c r="M434" s="28"/>
      <c r="N434" s="28"/>
      <c r="O434" s="37">
        <f t="shared" ref="O434:O441" si="120">O424*F$5/100</f>
        <v>0</v>
      </c>
      <c r="P434" s="38">
        <f t="shared" ref="P434:P441" si="121">P424</f>
        <v>0</v>
      </c>
    </row>
    <row r="435" spans="1:16" x14ac:dyDescent="0.2">
      <c r="A435" s="39">
        <f t="shared" si="118"/>
        <v>0.10809300000000001</v>
      </c>
      <c r="B435" s="40">
        <f t="shared" si="119"/>
        <v>100</v>
      </c>
      <c r="C435" s="28"/>
      <c r="D435" s="28"/>
      <c r="E435" s="28"/>
      <c r="F435" s="28"/>
      <c r="G435" s="28"/>
      <c r="H435" s="28"/>
      <c r="I435" s="28"/>
      <c r="J435" s="28"/>
      <c r="K435" s="28"/>
      <c r="L435" s="28"/>
      <c r="M435" s="28"/>
      <c r="N435" s="28"/>
      <c r="O435" s="39">
        <f t="shared" si="120"/>
        <v>0.15</v>
      </c>
      <c r="P435" s="40">
        <f t="shared" si="121"/>
        <v>0</v>
      </c>
    </row>
    <row r="436" spans="1:16" x14ac:dyDescent="0.2">
      <c r="A436" s="39">
        <f t="shared" si="118"/>
        <v>0.27400000000000002</v>
      </c>
      <c r="B436" s="40">
        <f t="shared" si="119"/>
        <v>100</v>
      </c>
      <c r="C436" s="28"/>
      <c r="D436" s="28"/>
      <c r="E436" s="28"/>
      <c r="F436" s="28"/>
      <c r="G436" s="28"/>
      <c r="H436" s="28"/>
      <c r="I436" s="28"/>
      <c r="J436" s="28"/>
      <c r="K436" s="28"/>
      <c r="L436" s="28"/>
      <c r="M436" s="28"/>
      <c r="N436" s="28"/>
      <c r="O436" s="39">
        <f t="shared" si="120"/>
        <v>0.3</v>
      </c>
      <c r="P436" s="40">
        <f t="shared" si="121"/>
        <v>0</v>
      </c>
    </row>
    <row r="437" spans="1:16" x14ac:dyDescent="0.2">
      <c r="A437" s="39">
        <f t="shared" si="118"/>
        <v>0.75706200000000012</v>
      </c>
      <c r="B437" s="40">
        <f t="shared" si="119"/>
        <v>100</v>
      </c>
      <c r="C437" s="28"/>
      <c r="D437" s="28"/>
      <c r="E437" s="28"/>
      <c r="F437" s="28"/>
      <c r="G437" s="28"/>
      <c r="H437" s="28"/>
      <c r="I437" s="28"/>
      <c r="J437" s="28"/>
      <c r="K437" s="28"/>
      <c r="L437" s="28"/>
      <c r="M437" s="28"/>
      <c r="N437" s="28"/>
      <c r="O437" s="39">
        <f t="shared" si="120"/>
        <v>0.45</v>
      </c>
      <c r="P437" s="40">
        <f t="shared" si="121"/>
        <v>0</v>
      </c>
    </row>
    <row r="438" spans="1:16" x14ac:dyDescent="0.2">
      <c r="A438" s="39">
        <f t="shared" si="118"/>
        <v>0.82200000000000006</v>
      </c>
      <c r="B438" s="40">
        <f t="shared" si="119"/>
        <v>100</v>
      </c>
      <c r="C438" s="28"/>
      <c r="D438" s="28"/>
      <c r="E438" s="28"/>
      <c r="F438" s="28"/>
      <c r="G438" s="28"/>
      <c r="H438" s="28"/>
      <c r="I438" s="28"/>
      <c r="J438" s="28"/>
      <c r="K438" s="28"/>
      <c r="L438" s="28"/>
      <c r="M438" s="28"/>
      <c r="N438" s="28"/>
      <c r="O438" s="39">
        <f t="shared" si="120"/>
        <v>0.6</v>
      </c>
      <c r="P438" s="40">
        <f t="shared" si="121"/>
        <v>0</v>
      </c>
    </row>
    <row r="439" spans="1:16" x14ac:dyDescent="0.2">
      <c r="A439" s="39">
        <f t="shared" si="118"/>
        <v>0.89050000000000007</v>
      </c>
      <c r="B439" s="40">
        <f t="shared" si="119"/>
        <v>100</v>
      </c>
      <c r="C439" s="28"/>
      <c r="D439" s="28"/>
      <c r="E439" s="28"/>
      <c r="F439" s="28"/>
      <c r="G439" s="28"/>
      <c r="H439" s="28"/>
      <c r="I439" s="28"/>
      <c r="J439" s="28"/>
      <c r="K439" s="28"/>
      <c r="L439" s="28"/>
      <c r="M439" s="28"/>
      <c r="N439" s="28"/>
      <c r="O439" s="39">
        <f t="shared" si="120"/>
        <v>0.75</v>
      </c>
      <c r="P439" s="40">
        <f t="shared" si="121"/>
        <v>0</v>
      </c>
    </row>
    <row r="440" spans="1:16" x14ac:dyDescent="0.2">
      <c r="A440" s="39">
        <f t="shared" si="118"/>
        <v>0.97338500000000006</v>
      </c>
      <c r="B440" s="40">
        <f t="shared" si="119"/>
        <v>100</v>
      </c>
      <c r="C440" s="28"/>
      <c r="D440" s="28"/>
      <c r="E440" s="28"/>
      <c r="F440" s="28"/>
      <c r="G440" s="28"/>
      <c r="H440" s="28"/>
      <c r="I440" s="28"/>
      <c r="J440" s="28"/>
      <c r="K440" s="28"/>
      <c r="L440" s="28"/>
      <c r="M440" s="28"/>
      <c r="N440" s="28"/>
      <c r="O440" s="39">
        <f t="shared" si="120"/>
        <v>1.0005000000000002</v>
      </c>
      <c r="P440" s="40">
        <f t="shared" si="121"/>
        <v>0</v>
      </c>
    </row>
    <row r="441" spans="1:16" ht="13.5" thickBot="1" x14ac:dyDescent="0.25">
      <c r="A441" s="41">
        <f t="shared" si="118"/>
        <v>1.37</v>
      </c>
      <c r="B441" s="133">
        <f t="shared" si="119"/>
        <v>100</v>
      </c>
      <c r="C441" s="28"/>
      <c r="D441" s="28"/>
      <c r="E441" s="28"/>
      <c r="F441" s="28"/>
      <c r="G441" s="28"/>
      <c r="H441" s="28"/>
      <c r="I441" s="28"/>
      <c r="J441" s="28"/>
      <c r="K441" s="28"/>
      <c r="L441" s="28"/>
      <c r="M441" s="28"/>
      <c r="N441" s="28"/>
      <c r="O441" s="41">
        <f t="shared" si="120"/>
        <v>1.5</v>
      </c>
      <c r="P441" s="133">
        <f t="shared" si="121"/>
        <v>0</v>
      </c>
    </row>
    <row r="442" spans="1:16" x14ac:dyDescent="0.2">
      <c r="A442" s="20"/>
      <c r="B442" s="21"/>
      <c r="C442" s="28"/>
      <c r="D442" s="28"/>
      <c r="E442" s="28"/>
      <c r="F442" s="28"/>
      <c r="G442" s="28"/>
      <c r="H442" s="28"/>
      <c r="I442" s="28"/>
      <c r="J442" s="28"/>
      <c r="K442" s="28"/>
      <c r="L442" s="28"/>
      <c r="M442" s="28"/>
      <c r="N442" s="28"/>
      <c r="O442" s="20"/>
      <c r="P442" s="21"/>
    </row>
    <row r="443" spans="1:16" ht="13.5" thickBot="1" x14ac:dyDescent="0.25">
      <c r="A443" s="20"/>
      <c r="B443" s="21"/>
      <c r="C443" s="28"/>
      <c r="D443" s="28"/>
      <c r="E443" s="28"/>
      <c r="F443" s="28"/>
      <c r="G443" s="28"/>
      <c r="H443" s="28"/>
      <c r="I443" s="28"/>
      <c r="J443" s="28"/>
      <c r="K443" s="28"/>
      <c r="L443" s="28"/>
      <c r="M443" s="28"/>
      <c r="N443" s="28"/>
      <c r="O443" s="20"/>
      <c r="P443" s="21"/>
    </row>
    <row r="444" spans="1:16" ht="13.5" thickBot="1" x14ac:dyDescent="0.25">
      <c r="A444" s="129" t="s">
        <v>73</v>
      </c>
      <c r="B444" s="119" t="s">
        <v>16</v>
      </c>
      <c r="C444" s="28"/>
      <c r="D444" s="28"/>
      <c r="E444" s="28"/>
      <c r="F444" s="28"/>
      <c r="G444" s="28"/>
      <c r="H444" s="28"/>
      <c r="I444" s="28"/>
      <c r="J444" s="28"/>
      <c r="K444" s="28"/>
      <c r="L444" s="28"/>
      <c r="M444" s="28"/>
      <c r="N444" s="28"/>
      <c r="O444" s="67"/>
      <c r="P444" s="119" t="s">
        <v>16</v>
      </c>
    </row>
    <row r="445" spans="1:16" ht="13.5" thickBot="1" x14ac:dyDescent="0.25">
      <c r="A445" s="311" t="s">
        <v>85</v>
      </c>
      <c r="B445" s="210">
        <v>60</v>
      </c>
      <c r="C445" s="28"/>
      <c r="D445" s="28"/>
      <c r="E445" s="28"/>
      <c r="F445" s="28"/>
      <c r="G445" s="28"/>
      <c r="H445" s="28"/>
      <c r="I445" s="28"/>
      <c r="J445" s="28"/>
      <c r="K445" s="28"/>
      <c r="L445" s="28"/>
      <c r="M445" s="28"/>
      <c r="N445" s="28"/>
      <c r="O445" s="67"/>
      <c r="P445" s="210">
        <v>60</v>
      </c>
    </row>
    <row r="446" spans="1:16" ht="13.5" thickBot="1" x14ac:dyDescent="0.25">
      <c r="A446" s="122"/>
      <c r="B446" s="122"/>
      <c r="C446" s="28"/>
      <c r="D446" s="28"/>
      <c r="E446" s="28"/>
      <c r="F446" s="28"/>
      <c r="G446" s="28"/>
      <c r="H446" s="28"/>
      <c r="I446" s="28"/>
      <c r="J446" s="28"/>
      <c r="K446" s="28"/>
      <c r="L446" s="28"/>
      <c r="M446" s="28"/>
      <c r="N446" s="28"/>
      <c r="O446" s="67"/>
      <c r="P446" s="307"/>
    </row>
    <row r="447" spans="1:16" ht="13.5" thickBot="1" x14ac:dyDescent="0.25">
      <c r="A447" s="118" t="s">
        <v>1</v>
      </c>
      <c r="B447" s="119" t="s">
        <v>14</v>
      </c>
      <c r="C447" s="28"/>
      <c r="D447" s="28"/>
      <c r="E447" s="28"/>
      <c r="F447" s="28"/>
      <c r="G447" s="28"/>
      <c r="H447" s="28"/>
      <c r="I447" s="28"/>
      <c r="J447" s="28"/>
      <c r="K447" s="28"/>
      <c r="L447" s="28"/>
      <c r="M447" s="28"/>
      <c r="N447" s="28"/>
      <c r="O447" s="118" t="s">
        <v>1</v>
      </c>
      <c r="P447" s="119" t="s">
        <v>14</v>
      </c>
    </row>
    <row r="448" spans="1:16" x14ac:dyDescent="0.2">
      <c r="A448" s="54">
        <v>0</v>
      </c>
      <c r="B448" s="51">
        <v>0</v>
      </c>
      <c r="C448" s="28"/>
      <c r="D448" s="28"/>
      <c r="E448" s="28"/>
      <c r="F448" s="28"/>
      <c r="G448" s="28"/>
      <c r="H448" s="28"/>
      <c r="I448" s="28"/>
      <c r="J448" s="28"/>
      <c r="K448" s="28"/>
      <c r="L448" s="28"/>
      <c r="M448" s="28"/>
      <c r="N448" s="28"/>
      <c r="O448" s="54">
        <v>0</v>
      </c>
      <c r="P448" s="51">
        <v>125</v>
      </c>
    </row>
    <row r="449" spans="1:16" x14ac:dyDescent="0.2">
      <c r="A449" s="49">
        <v>7.89</v>
      </c>
      <c r="B449" s="52">
        <v>0</v>
      </c>
      <c r="C449" s="28"/>
      <c r="D449" s="28"/>
      <c r="E449" s="28"/>
      <c r="F449" s="28"/>
      <c r="G449" s="28"/>
      <c r="H449" s="28"/>
      <c r="I449" s="28"/>
      <c r="J449" s="28"/>
      <c r="K449" s="28"/>
      <c r="L449" s="28"/>
      <c r="M449" s="28"/>
      <c r="N449" s="28"/>
      <c r="O449" s="49">
        <v>10</v>
      </c>
      <c r="P449" s="52">
        <v>125</v>
      </c>
    </row>
    <row r="450" spans="1:16" x14ac:dyDescent="0.2">
      <c r="A450" s="49">
        <v>20</v>
      </c>
      <c r="B450" s="52">
        <v>0</v>
      </c>
      <c r="C450" s="28"/>
      <c r="D450" s="28"/>
      <c r="E450" s="28"/>
      <c r="F450" s="28"/>
      <c r="G450" s="28"/>
      <c r="H450" s="28"/>
      <c r="I450" s="28"/>
      <c r="J450" s="28"/>
      <c r="K450" s="28"/>
      <c r="L450" s="28"/>
      <c r="M450" s="28"/>
      <c r="N450" s="28"/>
      <c r="O450" s="49">
        <v>20</v>
      </c>
      <c r="P450" s="52">
        <v>125</v>
      </c>
    </row>
    <row r="451" spans="1:16" x14ac:dyDescent="0.2">
      <c r="A451" s="49">
        <v>55.26</v>
      </c>
      <c r="B451" s="52">
        <v>0</v>
      </c>
      <c r="C451" s="28"/>
      <c r="D451" s="28"/>
      <c r="E451" s="28"/>
      <c r="F451" s="28"/>
      <c r="G451" s="28"/>
      <c r="H451" s="28"/>
      <c r="I451" s="28"/>
      <c r="J451" s="28"/>
      <c r="K451" s="28"/>
      <c r="L451" s="28"/>
      <c r="M451" s="28"/>
      <c r="N451" s="28"/>
      <c r="O451" s="49">
        <v>30</v>
      </c>
      <c r="P451" s="52">
        <v>125</v>
      </c>
    </row>
    <row r="452" spans="1:16" x14ac:dyDescent="0.2">
      <c r="A452" s="49">
        <v>60</v>
      </c>
      <c r="B452" s="52">
        <v>0</v>
      </c>
      <c r="C452" s="28"/>
      <c r="D452" s="28"/>
      <c r="E452" s="28"/>
      <c r="F452" s="28"/>
      <c r="G452" s="28"/>
      <c r="H452" s="28"/>
      <c r="I452" s="28"/>
      <c r="J452" s="28"/>
      <c r="K452" s="28"/>
      <c r="L452" s="28"/>
      <c r="M452" s="28"/>
      <c r="N452" s="28"/>
      <c r="O452" s="49">
        <v>40</v>
      </c>
      <c r="P452" s="52">
        <v>125</v>
      </c>
    </row>
    <row r="453" spans="1:16" x14ac:dyDescent="0.2">
      <c r="A453" s="49">
        <v>65</v>
      </c>
      <c r="B453" s="52">
        <v>0</v>
      </c>
      <c r="C453" s="28"/>
      <c r="D453" s="28"/>
      <c r="E453" s="28"/>
      <c r="F453" s="28"/>
      <c r="G453" s="28"/>
      <c r="H453" s="28"/>
      <c r="I453" s="28"/>
      <c r="J453" s="28"/>
      <c r="K453" s="28"/>
      <c r="L453" s="28"/>
      <c r="M453" s="28"/>
      <c r="N453" s="28"/>
      <c r="O453" s="49">
        <v>50</v>
      </c>
      <c r="P453" s="52">
        <v>125</v>
      </c>
    </row>
    <row r="454" spans="1:16" x14ac:dyDescent="0.2">
      <c r="A454" s="49">
        <v>71.05</v>
      </c>
      <c r="B454" s="52">
        <v>0</v>
      </c>
      <c r="C454" s="28"/>
      <c r="D454" s="28"/>
      <c r="E454" s="28"/>
      <c r="F454" s="28"/>
      <c r="G454" s="28"/>
      <c r="H454" s="28"/>
      <c r="I454" s="28"/>
      <c r="J454" s="28"/>
      <c r="K454" s="28"/>
      <c r="L454" s="28"/>
      <c r="M454" s="28"/>
      <c r="N454" s="28"/>
      <c r="O454" s="49">
        <v>66.7</v>
      </c>
      <c r="P454" s="52">
        <v>125</v>
      </c>
    </row>
    <row r="455" spans="1:16" ht="13.5" thickBot="1" x14ac:dyDescent="0.25">
      <c r="A455" s="50">
        <v>100</v>
      </c>
      <c r="B455" s="53">
        <v>0</v>
      </c>
      <c r="C455" s="28"/>
      <c r="D455" s="28"/>
      <c r="E455" s="28"/>
      <c r="F455" s="28"/>
      <c r="G455" s="28"/>
      <c r="H455" s="28"/>
      <c r="I455" s="28"/>
      <c r="J455" s="28"/>
      <c r="K455" s="28"/>
      <c r="L455" s="28"/>
      <c r="M455" s="28"/>
      <c r="N455" s="28"/>
      <c r="O455" s="50">
        <v>100</v>
      </c>
      <c r="P455" s="53">
        <v>125</v>
      </c>
    </row>
    <row r="456" spans="1:16" ht="13.5" thickBot="1" x14ac:dyDescent="0.25">
      <c r="C456" s="28"/>
      <c r="D456" s="28"/>
      <c r="E456" s="28"/>
      <c r="F456" s="28"/>
      <c r="G456" s="28"/>
      <c r="H456" s="28"/>
      <c r="I456" s="28"/>
      <c r="J456" s="28"/>
      <c r="K456" s="28"/>
      <c r="L456" s="28"/>
      <c r="M456" s="28"/>
      <c r="N456" s="28"/>
    </row>
    <row r="457" spans="1:16" ht="13.5" thickBot="1" x14ac:dyDescent="0.25">
      <c r="A457" s="110" t="s">
        <v>15</v>
      </c>
      <c r="B457" s="25" t="s">
        <v>14</v>
      </c>
      <c r="C457" s="28"/>
      <c r="D457" s="28"/>
      <c r="E457" s="28"/>
      <c r="F457" s="28"/>
      <c r="G457" s="28"/>
      <c r="H457" s="28"/>
      <c r="I457" s="28"/>
      <c r="J457" s="28"/>
      <c r="K457" s="28"/>
      <c r="L457" s="28"/>
      <c r="M457" s="28"/>
      <c r="N457" s="28"/>
      <c r="O457" s="110" t="s">
        <v>15</v>
      </c>
      <c r="P457" s="25" t="s">
        <v>14</v>
      </c>
    </row>
    <row r="458" spans="1:16" x14ac:dyDescent="0.2">
      <c r="A458" s="37">
        <f t="shared" ref="A458:A465" si="122">A448*F$4/100</f>
        <v>0</v>
      </c>
      <c r="B458" s="38">
        <f t="shared" ref="B458:B465" si="123">B448</f>
        <v>0</v>
      </c>
      <c r="C458" s="28"/>
      <c r="D458" s="28"/>
      <c r="E458" s="28"/>
      <c r="F458" s="28"/>
      <c r="G458" s="28"/>
      <c r="H458" s="28"/>
      <c r="I458" s="28"/>
      <c r="J458" s="28"/>
      <c r="K458" s="28"/>
      <c r="L458" s="28"/>
      <c r="M458" s="28"/>
      <c r="N458" s="28"/>
      <c r="O458" s="37">
        <f t="shared" ref="O458:O465" si="124">O448*F$5/100</f>
        <v>0</v>
      </c>
      <c r="P458" s="38">
        <f t="shared" ref="P458:P465" si="125">P448</f>
        <v>125</v>
      </c>
    </row>
    <row r="459" spans="1:16" x14ac:dyDescent="0.2">
      <c r="A459" s="39">
        <f t="shared" si="122"/>
        <v>0.10809300000000001</v>
      </c>
      <c r="B459" s="40">
        <f t="shared" si="123"/>
        <v>0</v>
      </c>
      <c r="C459" s="28"/>
      <c r="D459" s="28"/>
      <c r="E459" s="28"/>
      <c r="F459" s="28"/>
      <c r="G459" s="28"/>
      <c r="H459" s="28"/>
      <c r="I459" s="28"/>
      <c r="J459" s="28"/>
      <c r="K459" s="28"/>
      <c r="L459" s="28"/>
      <c r="M459" s="28"/>
      <c r="N459" s="28"/>
      <c r="O459" s="39">
        <f t="shared" si="124"/>
        <v>0.15</v>
      </c>
      <c r="P459" s="40">
        <f t="shared" si="125"/>
        <v>125</v>
      </c>
    </row>
    <row r="460" spans="1:16" x14ac:dyDescent="0.2">
      <c r="A460" s="39">
        <f t="shared" si="122"/>
        <v>0.27400000000000002</v>
      </c>
      <c r="B460" s="40">
        <f t="shared" si="123"/>
        <v>0</v>
      </c>
      <c r="C460" s="28"/>
      <c r="D460" s="28"/>
      <c r="E460" s="28"/>
      <c r="F460" s="28"/>
      <c r="G460" s="28"/>
      <c r="H460" s="28"/>
      <c r="I460" s="28"/>
      <c r="J460" s="28"/>
      <c r="K460" s="28"/>
      <c r="L460" s="28"/>
      <c r="M460" s="28"/>
      <c r="N460" s="28"/>
      <c r="O460" s="39">
        <f t="shared" si="124"/>
        <v>0.3</v>
      </c>
      <c r="P460" s="40">
        <f t="shared" si="125"/>
        <v>125</v>
      </c>
    </row>
    <row r="461" spans="1:16" x14ac:dyDescent="0.2">
      <c r="A461" s="39">
        <f t="shared" si="122"/>
        <v>0.75706200000000012</v>
      </c>
      <c r="B461" s="40">
        <f t="shared" si="123"/>
        <v>0</v>
      </c>
      <c r="C461" s="28"/>
      <c r="D461" s="28"/>
      <c r="E461" s="28"/>
      <c r="F461" s="28"/>
      <c r="G461" s="28"/>
      <c r="H461" s="28"/>
      <c r="I461" s="28"/>
      <c r="J461" s="28"/>
      <c r="K461" s="28"/>
      <c r="L461" s="28"/>
      <c r="M461" s="28"/>
      <c r="N461" s="28"/>
      <c r="O461" s="39">
        <f t="shared" si="124"/>
        <v>0.45</v>
      </c>
      <c r="P461" s="40">
        <f t="shared" si="125"/>
        <v>125</v>
      </c>
    </row>
    <row r="462" spans="1:16" x14ac:dyDescent="0.2">
      <c r="A462" s="39">
        <f t="shared" si="122"/>
        <v>0.82200000000000006</v>
      </c>
      <c r="B462" s="40">
        <f t="shared" si="123"/>
        <v>0</v>
      </c>
      <c r="C462" s="28"/>
      <c r="D462" s="28"/>
      <c r="E462" s="28"/>
      <c r="F462" s="28"/>
      <c r="G462" s="28"/>
      <c r="H462" s="28"/>
      <c r="I462" s="28"/>
      <c r="J462" s="28"/>
      <c r="K462" s="28"/>
      <c r="L462" s="28"/>
      <c r="M462" s="28"/>
      <c r="N462" s="28"/>
      <c r="O462" s="39">
        <f t="shared" si="124"/>
        <v>0.6</v>
      </c>
      <c r="P462" s="40">
        <f t="shared" si="125"/>
        <v>125</v>
      </c>
    </row>
    <row r="463" spans="1:16" x14ac:dyDescent="0.2">
      <c r="A463" s="39">
        <f t="shared" si="122"/>
        <v>0.89050000000000007</v>
      </c>
      <c r="B463" s="40">
        <f t="shared" si="123"/>
        <v>0</v>
      </c>
      <c r="C463" s="28"/>
      <c r="D463" s="28"/>
      <c r="E463" s="28"/>
      <c r="F463" s="28"/>
      <c r="G463" s="28"/>
      <c r="H463" s="28"/>
      <c r="I463" s="28"/>
      <c r="J463" s="28"/>
      <c r="K463" s="28"/>
      <c r="L463" s="28"/>
      <c r="M463" s="28"/>
      <c r="N463" s="28"/>
      <c r="O463" s="39">
        <f t="shared" si="124"/>
        <v>0.75</v>
      </c>
      <c r="P463" s="40">
        <f t="shared" si="125"/>
        <v>125</v>
      </c>
    </row>
    <row r="464" spans="1:16" x14ac:dyDescent="0.2">
      <c r="A464" s="39">
        <f t="shared" si="122"/>
        <v>0.97338500000000006</v>
      </c>
      <c r="B464" s="40">
        <f t="shared" si="123"/>
        <v>0</v>
      </c>
      <c r="C464" s="28"/>
      <c r="D464" s="28"/>
      <c r="E464" s="28"/>
      <c r="F464" s="28"/>
      <c r="G464" s="28"/>
      <c r="H464" s="28"/>
      <c r="I464" s="28"/>
      <c r="J464" s="28"/>
      <c r="K464" s="28"/>
      <c r="L464" s="28"/>
      <c r="M464" s="28"/>
      <c r="N464" s="28"/>
      <c r="O464" s="39">
        <f t="shared" si="124"/>
        <v>1.0005000000000002</v>
      </c>
      <c r="P464" s="40">
        <f t="shared" si="125"/>
        <v>125</v>
      </c>
    </row>
    <row r="465" spans="1:16" ht="13.5" thickBot="1" x14ac:dyDescent="0.25">
      <c r="A465" s="41">
        <f t="shared" si="122"/>
        <v>1.37</v>
      </c>
      <c r="B465" s="133">
        <f t="shared" si="123"/>
        <v>0</v>
      </c>
      <c r="C465" s="28"/>
      <c r="D465" s="28"/>
      <c r="E465" s="28"/>
      <c r="F465" s="28"/>
      <c r="G465" s="28"/>
      <c r="H465" s="28"/>
      <c r="I465" s="28"/>
      <c r="J465" s="28"/>
      <c r="K465" s="28"/>
      <c r="L465" s="28"/>
      <c r="M465" s="28"/>
      <c r="N465" s="28"/>
      <c r="O465" s="41">
        <f t="shared" si="124"/>
        <v>1.5</v>
      </c>
      <c r="P465" s="133">
        <f t="shared" si="125"/>
        <v>125</v>
      </c>
    </row>
    <row r="466" spans="1:16" x14ac:dyDescent="0.2">
      <c r="A466" s="20"/>
      <c r="B466" s="21"/>
      <c r="C466" s="28"/>
      <c r="D466" s="28"/>
      <c r="E466" s="28"/>
      <c r="F466" s="28"/>
      <c r="G466" s="28"/>
      <c r="H466" s="28"/>
      <c r="I466" s="28"/>
      <c r="J466" s="28"/>
      <c r="K466" s="28"/>
      <c r="L466" s="28"/>
      <c r="M466" s="28"/>
      <c r="N466" s="28"/>
      <c r="O466" s="20"/>
      <c r="P466" s="21"/>
    </row>
    <row r="467" spans="1:16" x14ac:dyDescent="0.2">
      <c r="A467" s="28"/>
      <c r="B467" s="28"/>
      <c r="C467" s="28"/>
      <c r="D467" s="28"/>
      <c r="E467" s="28"/>
      <c r="F467" s="28"/>
      <c r="G467" s="28"/>
      <c r="H467" s="28"/>
      <c r="I467" s="28"/>
      <c r="J467" s="28"/>
      <c r="K467" s="28"/>
      <c r="L467" s="28"/>
      <c r="M467" s="28"/>
      <c r="N467" s="28"/>
      <c r="O467" s="28"/>
      <c r="P467" s="28"/>
    </row>
    <row r="468" spans="1:16" ht="13.5" thickBot="1" x14ac:dyDescent="0.25">
      <c r="A468" s="305"/>
      <c r="B468" s="305"/>
      <c r="C468" s="28"/>
      <c r="D468" s="28"/>
      <c r="E468" s="28"/>
      <c r="F468" s="28"/>
      <c r="G468" s="28"/>
      <c r="H468" s="28"/>
      <c r="I468" s="28"/>
      <c r="J468" s="28"/>
      <c r="K468" s="28"/>
      <c r="L468" s="28"/>
      <c r="M468" s="28"/>
      <c r="N468" s="28"/>
      <c r="O468" s="305"/>
      <c r="P468" s="305"/>
    </row>
    <row r="469" spans="1:16" ht="13.5" thickBot="1" x14ac:dyDescent="0.25">
      <c r="A469" s="129" t="s">
        <v>73</v>
      </c>
      <c r="B469" s="119" t="s">
        <v>16</v>
      </c>
      <c r="C469" s="109"/>
      <c r="D469" s="109"/>
      <c r="E469" s="109"/>
      <c r="F469" s="109"/>
      <c r="G469" s="109"/>
      <c r="H469" s="109"/>
      <c r="I469" s="109"/>
      <c r="J469" s="109"/>
      <c r="K469" s="109"/>
      <c r="L469" s="109"/>
      <c r="M469" s="109"/>
      <c r="O469" s="144"/>
      <c r="P469" s="119" t="s">
        <v>16</v>
      </c>
    </row>
    <row r="470" spans="1:16" ht="13.5" thickBot="1" x14ac:dyDescent="0.25">
      <c r="A470" s="311" t="s">
        <v>86</v>
      </c>
      <c r="B470" s="210">
        <v>60</v>
      </c>
      <c r="C470" s="109"/>
      <c r="D470" s="109"/>
      <c r="E470" s="109"/>
      <c r="F470" s="109"/>
      <c r="G470" s="109"/>
      <c r="H470" s="109"/>
      <c r="I470" s="109"/>
      <c r="J470" s="109"/>
      <c r="K470" s="109"/>
      <c r="L470" s="109"/>
      <c r="M470" s="109"/>
      <c r="O470" s="80"/>
      <c r="P470" s="210">
        <v>60</v>
      </c>
    </row>
    <row r="471" spans="1:16" ht="13.5" thickBot="1" x14ac:dyDescent="0.25">
      <c r="A471" s="128"/>
      <c r="B471" s="310"/>
      <c r="C471" s="109"/>
      <c r="D471" s="109"/>
      <c r="E471" s="109"/>
      <c r="F471" s="109"/>
      <c r="G471" s="109"/>
      <c r="H471" s="109"/>
      <c r="I471" s="109"/>
      <c r="J471" s="109"/>
      <c r="K471" s="109"/>
      <c r="L471" s="109"/>
      <c r="M471" s="109"/>
      <c r="O471" s="122"/>
      <c r="P471" s="122"/>
    </row>
    <row r="472" spans="1:16" ht="13.5" thickBot="1" x14ac:dyDescent="0.25">
      <c r="A472" s="118" t="s">
        <v>1</v>
      </c>
      <c r="B472" s="119" t="s">
        <v>14</v>
      </c>
      <c r="C472" s="109"/>
      <c r="D472" s="109"/>
      <c r="E472" s="109"/>
      <c r="F472" s="109"/>
      <c r="G472" s="109"/>
      <c r="H472" s="109"/>
      <c r="K472" s="109"/>
      <c r="L472" s="109"/>
      <c r="M472" s="109"/>
      <c r="O472" s="118" t="s">
        <v>1</v>
      </c>
      <c r="P472" s="119" t="s">
        <v>14</v>
      </c>
    </row>
    <row r="473" spans="1:16" x14ac:dyDescent="0.2">
      <c r="A473" s="48">
        <v>0</v>
      </c>
      <c r="B473" s="51">
        <v>150</v>
      </c>
      <c r="C473" s="109"/>
      <c r="D473" s="109"/>
      <c r="E473" s="109"/>
      <c r="F473" s="109"/>
      <c r="G473" s="109"/>
      <c r="H473" s="109"/>
      <c r="I473" s="109"/>
      <c r="J473" s="109"/>
      <c r="K473" s="109"/>
      <c r="L473" s="109"/>
      <c r="M473" s="109"/>
      <c r="O473" s="54">
        <v>0</v>
      </c>
      <c r="P473" s="51">
        <v>150</v>
      </c>
    </row>
    <row r="474" spans="1:16" x14ac:dyDescent="0.2">
      <c r="A474" s="49">
        <v>25</v>
      </c>
      <c r="B474" s="52">
        <v>150</v>
      </c>
      <c r="C474" s="109"/>
      <c r="D474" s="109"/>
      <c r="E474" s="109"/>
      <c r="F474" s="109"/>
      <c r="G474" s="109"/>
      <c r="H474" s="109"/>
      <c r="I474" s="109"/>
      <c r="J474" s="109"/>
      <c r="K474" s="109"/>
      <c r="L474" s="109"/>
      <c r="M474" s="109"/>
      <c r="O474" s="49">
        <v>5</v>
      </c>
      <c r="P474" s="52">
        <v>150</v>
      </c>
    </row>
    <row r="475" spans="1:16" x14ac:dyDescent="0.2">
      <c r="A475" s="49">
        <v>50</v>
      </c>
      <c r="B475" s="52">
        <v>150</v>
      </c>
      <c r="C475" s="109"/>
      <c r="D475" s="109"/>
      <c r="E475" s="109"/>
      <c r="F475" s="109"/>
      <c r="G475" s="109"/>
      <c r="H475" s="109"/>
      <c r="I475" s="109"/>
      <c r="J475" s="109"/>
      <c r="K475" s="109"/>
      <c r="L475" s="109"/>
      <c r="M475" s="109"/>
      <c r="O475" s="49">
        <v>9.3800000000000008</v>
      </c>
      <c r="P475" s="52">
        <v>150</v>
      </c>
    </row>
    <row r="476" spans="1:16" x14ac:dyDescent="0.2">
      <c r="A476" s="49">
        <v>75</v>
      </c>
      <c r="B476" s="52">
        <v>150</v>
      </c>
      <c r="C476" s="109"/>
      <c r="D476" s="109"/>
      <c r="E476" s="109"/>
      <c r="F476" s="109"/>
      <c r="G476" s="109"/>
      <c r="H476" s="109"/>
      <c r="I476" s="109"/>
      <c r="J476" s="109"/>
      <c r="K476" s="109"/>
      <c r="L476" s="109"/>
      <c r="M476" s="109"/>
      <c r="O476" s="49">
        <v>11.81</v>
      </c>
      <c r="P476" s="52">
        <v>0</v>
      </c>
    </row>
    <row r="477" spans="1:16" x14ac:dyDescent="0.2">
      <c r="A477" s="49">
        <v>88</v>
      </c>
      <c r="B477" s="52">
        <v>150</v>
      </c>
      <c r="C477" s="109"/>
      <c r="D477" s="109"/>
      <c r="E477" s="109"/>
      <c r="F477" s="109"/>
      <c r="G477" s="109"/>
      <c r="H477" s="109"/>
      <c r="I477" s="109"/>
      <c r="J477" s="109"/>
      <c r="K477" s="109"/>
      <c r="L477" s="109"/>
      <c r="M477" s="109"/>
      <c r="O477" s="49">
        <v>61.81</v>
      </c>
      <c r="P477" s="52">
        <v>0</v>
      </c>
    </row>
    <row r="478" spans="1:16" x14ac:dyDescent="0.2">
      <c r="A478" s="49">
        <v>94</v>
      </c>
      <c r="B478" s="52">
        <v>150</v>
      </c>
      <c r="C478" s="109"/>
      <c r="D478" s="109"/>
      <c r="E478" s="109"/>
      <c r="F478" s="109"/>
      <c r="G478" s="109"/>
      <c r="H478" s="109"/>
      <c r="I478" s="109"/>
      <c r="J478" s="109"/>
      <c r="K478" s="109"/>
      <c r="L478" s="109"/>
      <c r="M478" s="109"/>
      <c r="O478" s="49">
        <v>93.06</v>
      </c>
      <c r="P478" s="52">
        <v>150</v>
      </c>
    </row>
    <row r="479" spans="1:16" x14ac:dyDescent="0.2">
      <c r="A479" s="49">
        <v>95</v>
      </c>
      <c r="B479" s="52">
        <v>150</v>
      </c>
      <c r="C479" s="109"/>
      <c r="D479" s="109"/>
      <c r="E479" s="109"/>
      <c r="F479" s="109"/>
      <c r="G479" s="109"/>
      <c r="H479" s="109"/>
      <c r="I479" s="109"/>
      <c r="J479" s="109"/>
      <c r="K479" s="109"/>
      <c r="L479" s="109"/>
      <c r="M479" s="109"/>
      <c r="O479" s="49">
        <v>95</v>
      </c>
      <c r="P479" s="52">
        <v>150</v>
      </c>
    </row>
    <row r="480" spans="1:16" ht="13.5" thickBot="1" x14ac:dyDescent="0.25">
      <c r="A480" s="50">
        <v>100</v>
      </c>
      <c r="B480" s="53">
        <v>150</v>
      </c>
      <c r="C480" s="109"/>
      <c r="D480" s="109"/>
      <c r="E480" s="109"/>
      <c r="F480" s="109"/>
      <c r="G480" s="109"/>
      <c r="H480" s="109"/>
      <c r="I480" s="109"/>
      <c r="J480" s="109"/>
      <c r="K480" s="109"/>
      <c r="L480" s="109"/>
      <c r="M480" s="109"/>
      <c r="O480" s="50">
        <v>100</v>
      </c>
      <c r="P480" s="53">
        <v>150</v>
      </c>
    </row>
    <row r="481" spans="1:16" ht="13.5" thickBot="1" x14ac:dyDescent="0.25">
      <c r="A481" s="109"/>
      <c r="B481" s="109"/>
      <c r="C481" s="109"/>
      <c r="D481" s="109"/>
      <c r="E481" s="109"/>
      <c r="F481" s="109"/>
      <c r="G481" s="109"/>
      <c r="H481" s="109"/>
      <c r="I481" s="109"/>
      <c r="J481" s="109"/>
      <c r="K481" s="109"/>
      <c r="L481" s="109"/>
      <c r="M481" s="109"/>
    </row>
    <row r="482" spans="1:16" ht="13.5" thickBot="1" x14ac:dyDescent="0.25">
      <c r="A482" s="110" t="s">
        <v>15</v>
      </c>
      <c r="B482" s="25" t="s">
        <v>14</v>
      </c>
      <c r="C482" s="109"/>
      <c r="D482" s="109"/>
      <c r="E482" s="109"/>
      <c r="F482" s="109"/>
      <c r="G482" s="109"/>
      <c r="H482" s="109"/>
      <c r="I482" s="109"/>
      <c r="J482" s="109"/>
      <c r="K482" s="109"/>
      <c r="L482" s="109"/>
      <c r="M482" s="109"/>
      <c r="O482" s="110" t="s">
        <v>15</v>
      </c>
      <c r="P482" s="25" t="s">
        <v>14</v>
      </c>
    </row>
    <row r="483" spans="1:16" x14ac:dyDescent="0.2">
      <c r="A483" s="37">
        <f t="shared" ref="A483:A490" si="126">A473*F$4/100</f>
        <v>0</v>
      </c>
      <c r="B483" s="38">
        <f t="shared" ref="B483:B490" si="127">B473</f>
        <v>150</v>
      </c>
      <c r="C483" s="109"/>
      <c r="D483" s="109"/>
      <c r="E483" s="109"/>
      <c r="F483" s="109"/>
      <c r="G483" s="109"/>
      <c r="H483" s="109"/>
      <c r="I483" s="109"/>
      <c r="J483" s="109"/>
      <c r="K483" s="109"/>
      <c r="L483" s="109"/>
      <c r="M483" s="109"/>
      <c r="O483" s="37">
        <f t="shared" ref="O483:O490" si="128">O473*F$5/100</f>
        <v>0</v>
      </c>
      <c r="P483" s="38">
        <f t="shared" ref="P483:P490" si="129">P473</f>
        <v>150</v>
      </c>
    </row>
    <row r="484" spans="1:16" x14ac:dyDescent="0.2">
      <c r="A484" s="39">
        <f t="shared" si="126"/>
        <v>0.34250000000000003</v>
      </c>
      <c r="B484" s="40">
        <f t="shared" si="127"/>
        <v>150</v>
      </c>
      <c r="C484" s="109"/>
      <c r="D484" s="109"/>
      <c r="E484" s="109"/>
      <c r="F484" s="109"/>
      <c r="G484" s="109"/>
      <c r="H484" s="109"/>
      <c r="I484" s="109"/>
      <c r="J484" s="109"/>
      <c r="K484" s="109"/>
      <c r="L484" s="109"/>
      <c r="M484" s="109"/>
      <c r="O484" s="39">
        <f t="shared" si="128"/>
        <v>7.4999999999999997E-2</v>
      </c>
      <c r="P484" s="40">
        <f t="shared" si="129"/>
        <v>150</v>
      </c>
    </row>
    <row r="485" spans="1:16" x14ac:dyDescent="0.2">
      <c r="A485" s="39">
        <f t="shared" si="126"/>
        <v>0.68500000000000005</v>
      </c>
      <c r="B485" s="40">
        <f t="shared" si="127"/>
        <v>150</v>
      </c>
      <c r="C485" s="109"/>
      <c r="D485" s="109"/>
      <c r="E485" s="109"/>
      <c r="F485" s="109"/>
      <c r="G485" s="109"/>
      <c r="H485" s="109"/>
      <c r="I485" s="109"/>
      <c r="J485" s="109"/>
      <c r="K485" s="109"/>
      <c r="L485" s="109"/>
      <c r="M485" s="109"/>
      <c r="O485" s="39">
        <f t="shared" si="128"/>
        <v>0.14069999999999999</v>
      </c>
      <c r="P485" s="40">
        <f t="shared" si="129"/>
        <v>150</v>
      </c>
    </row>
    <row r="486" spans="1:16" x14ac:dyDescent="0.2">
      <c r="A486" s="39">
        <f t="shared" si="126"/>
        <v>1.0275000000000001</v>
      </c>
      <c r="B486" s="40">
        <f t="shared" si="127"/>
        <v>150</v>
      </c>
      <c r="C486" s="109"/>
      <c r="D486" s="109"/>
      <c r="E486" s="109"/>
      <c r="F486" s="109"/>
      <c r="G486" s="109"/>
      <c r="H486" s="109"/>
      <c r="I486" s="109"/>
      <c r="J486" s="109"/>
      <c r="K486" s="109"/>
      <c r="L486" s="109"/>
      <c r="M486" s="109"/>
      <c r="O486" s="39">
        <f t="shared" si="128"/>
        <v>0.17715</v>
      </c>
      <c r="P486" s="40">
        <f t="shared" si="129"/>
        <v>0</v>
      </c>
    </row>
    <row r="487" spans="1:16" x14ac:dyDescent="0.2">
      <c r="A487" s="39">
        <f t="shared" si="126"/>
        <v>1.2056</v>
      </c>
      <c r="B487" s="40">
        <f t="shared" si="127"/>
        <v>150</v>
      </c>
      <c r="C487" s="109"/>
      <c r="D487" s="109"/>
      <c r="E487" s="109"/>
      <c r="F487" s="109"/>
      <c r="G487" s="109"/>
      <c r="H487" s="109"/>
      <c r="I487" s="109"/>
      <c r="J487" s="109"/>
      <c r="K487" s="109"/>
      <c r="L487" s="109"/>
      <c r="M487" s="109"/>
      <c r="O487" s="39">
        <f t="shared" si="128"/>
        <v>0.92715000000000003</v>
      </c>
      <c r="P487" s="40">
        <f t="shared" si="129"/>
        <v>0</v>
      </c>
    </row>
    <row r="488" spans="1:16" x14ac:dyDescent="0.2">
      <c r="A488" s="39">
        <f t="shared" si="126"/>
        <v>1.2878000000000001</v>
      </c>
      <c r="B488" s="40">
        <f t="shared" si="127"/>
        <v>150</v>
      </c>
      <c r="C488" s="109"/>
      <c r="D488" s="109"/>
      <c r="E488" s="109"/>
      <c r="F488" s="109"/>
      <c r="G488" s="109"/>
      <c r="H488" s="109"/>
      <c r="I488" s="109"/>
      <c r="J488" s="109"/>
      <c r="K488" s="109"/>
      <c r="L488" s="109"/>
      <c r="M488" s="109"/>
      <c r="O488" s="39">
        <f t="shared" si="128"/>
        <v>1.3959000000000001</v>
      </c>
      <c r="P488" s="40">
        <f t="shared" si="129"/>
        <v>150</v>
      </c>
    </row>
    <row r="489" spans="1:16" x14ac:dyDescent="0.2">
      <c r="A489" s="39">
        <f t="shared" si="126"/>
        <v>1.3015000000000001</v>
      </c>
      <c r="B489" s="123">
        <f t="shared" si="127"/>
        <v>150</v>
      </c>
      <c r="C489" s="109"/>
      <c r="D489" s="109"/>
      <c r="E489" s="109"/>
      <c r="F489" s="109"/>
      <c r="G489" s="109"/>
      <c r="H489" s="109"/>
      <c r="I489" s="109"/>
      <c r="J489" s="109"/>
      <c r="K489" s="109"/>
      <c r="L489" s="109"/>
      <c r="M489" s="109"/>
      <c r="O489" s="39">
        <f t="shared" si="128"/>
        <v>1.425</v>
      </c>
      <c r="P489" s="123">
        <f t="shared" si="129"/>
        <v>150</v>
      </c>
    </row>
    <row r="490" spans="1:16" ht="13.5" thickBot="1" x14ac:dyDescent="0.25">
      <c r="A490" s="41">
        <f t="shared" si="126"/>
        <v>1.37</v>
      </c>
      <c r="B490" s="42">
        <f t="shared" si="127"/>
        <v>150</v>
      </c>
      <c r="C490" s="109"/>
      <c r="D490" s="109"/>
      <c r="E490" s="109"/>
      <c r="F490" s="109"/>
      <c r="G490" s="109"/>
      <c r="H490" s="109"/>
      <c r="I490" s="109"/>
      <c r="J490" s="109"/>
      <c r="K490" s="109"/>
      <c r="L490" s="109"/>
      <c r="M490" s="109"/>
      <c r="O490" s="41">
        <f t="shared" si="128"/>
        <v>1.5</v>
      </c>
      <c r="P490" s="42">
        <f t="shared" si="129"/>
        <v>150</v>
      </c>
    </row>
    <row r="491" spans="1:16" x14ac:dyDescent="0.2">
      <c r="A491" s="109"/>
      <c r="B491" s="109"/>
      <c r="C491" s="109"/>
      <c r="D491" s="109"/>
      <c r="E491" s="109"/>
      <c r="F491" s="109"/>
      <c r="G491" s="109"/>
      <c r="H491" s="109"/>
      <c r="I491" s="109"/>
      <c r="J491" s="109"/>
      <c r="K491" s="109"/>
      <c r="L491" s="109"/>
      <c r="M491" s="109"/>
    </row>
    <row r="492" spans="1:16" ht="13.5" thickBot="1" x14ac:dyDescent="0.25">
      <c r="A492" s="121"/>
      <c r="B492" s="121"/>
      <c r="C492" s="109"/>
      <c r="D492" s="109"/>
      <c r="E492" s="109"/>
      <c r="F492" s="109"/>
      <c r="G492" s="109"/>
      <c r="H492" s="109"/>
      <c r="I492" s="109"/>
      <c r="J492" s="109"/>
      <c r="K492" s="109"/>
      <c r="L492" s="109"/>
      <c r="M492" s="109"/>
      <c r="O492" s="122"/>
      <c r="P492" s="122"/>
    </row>
    <row r="493" spans="1:16" ht="13.5" thickBot="1" x14ac:dyDescent="0.25">
      <c r="A493" s="129" t="s">
        <v>73</v>
      </c>
      <c r="B493" s="119" t="s">
        <v>16</v>
      </c>
      <c r="C493" s="109"/>
      <c r="D493" s="109"/>
      <c r="E493" s="109"/>
      <c r="F493" s="109"/>
      <c r="G493" s="109"/>
      <c r="H493" s="109"/>
      <c r="I493" s="109"/>
      <c r="J493" s="109"/>
      <c r="K493" s="109"/>
      <c r="L493" s="109"/>
      <c r="M493" s="109"/>
      <c r="O493" s="144"/>
      <c r="P493" s="119" t="s">
        <v>16</v>
      </c>
    </row>
    <row r="494" spans="1:16" ht="13.5" thickBot="1" x14ac:dyDescent="0.25">
      <c r="A494" s="311" t="s">
        <v>87</v>
      </c>
      <c r="B494" s="210">
        <v>60</v>
      </c>
      <c r="C494" s="109"/>
      <c r="D494" s="109"/>
      <c r="E494" s="109"/>
      <c r="F494" s="109"/>
      <c r="G494" s="109"/>
      <c r="H494" s="109"/>
      <c r="I494" s="109"/>
      <c r="J494" s="109"/>
      <c r="K494" s="109"/>
      <c r="L494" s="109"/>
      <c r="M494" s="109"/>
      <c r="O494" s="65"/>
      <c r="P494" s="210">
        <v>30</v>
      </c>
    </row>
    <row r="495" spans="1:16" ht="13.5" thickBot="1" x14ac:dyDescent="0.25">
      <c r="A495" s="121"/>
      <c r="B495" s="121"/>
      <c r="C495" s="109"/>
      <c r="D495" s="109"/>
      <c r="E495" s="109"/>
      <c r="F495" s="109"/>
      <c r="G495" s="109"/>
      <c r="H495" s="109"/>
      <c r="I495" s="109"/>
      <c r="J495" s="109"/>
      <c r="K495" s="109"/>
      <c r="L495" s="109"/>
      <c r="M495" s="109"/>
      <c r="O495" s="122"/>
      <c r="P495" s="122"/>
    </row>
    <row r="496" spans="1:16" ht="13.5" thickBot="1" x14ac:dyDescent="0.25">
      <c r="A496" s="303" t="s">
        <v>1</v>
      </c>
      <c r="B496" s="304" t="s">
        <v>14</v>
      </c>
      <c r="C496" s="109"/>
      <c r="D496" s="109"/>
      <c r="E496" s="109"/>
      <c r="F496" s="109"/>
      <c r="G496" s="109"/>
      <c r="H496" s="109"/>
      <c r="I496" s="109"/>
      <c r="J496" s="109"/>
      <c r="K496" s="109"/>
      <c r="L496" s="109"/>
      <c r="M496" s="109"/>
      <c r="O496" s="118" t="s">
        <v>1</v>
      </c>
      <c r="P496" s="119" t="s">
        <v>14</v>
      </c>
    </row>
    <row r="497" spans="1:16" x14ac:dyDescent="0.2">
      <c r="A497" s="54">
        <v>0</v>
      </c>
      <c r="B497" s="51">
        <v>0</v>
      </c>
      <c r="C497" s="109"/>
      <c r="D497" s="109"/>
      <c r="E497" s="109"/>
      <c r="F497" s="109"/>
      <c r="G497" s="109"/>
      <c r="H497" s="109"/>
      <c r="I497" s="109"/>
      <c r="J497" s="109"/>
      <c r="K497" s="109"/>
      <c r="L497" s="109"/>
      <c r="M497" s="109"/>
      <c r="O497" s="54">
        <v>0</v>
      </c>
      <c r="P497" s="51">
        <v>0</v>
      </c>
    </row>
    <row r="498" spans="1:16" x14ac:dyDescent="0.2">
      <c r="A498" s="49">
        <v>10</v>
      </c>
      <c r="B498" s="52">
        <v>0</v>
      </c>
      <c r="C498" s="109"/>
      <c r="D498" s="109"/>
      <c r="E498" s="109"/>
      <c r="F498" s="109"/>
      <c r="G498" s="109"/>
      <c r="H498" s="109"/>
      <c r="I498" s="109"/>
      <c r="J498" s="109"/>
      <c r="K498" s="109"/>
      <c r="L498" s="109"/>
      <c r="M498" s="109"/>
      <c r="O498" s="49">
        <v>5</v>
      </c>
      <c r="P498" s="52">
        <v>0</v>
      </c>
    </row>
    <row r="499" spans="1:16" x14ac:dyDescent="0.2">
      <c r="A499" s="49">
        <v>50</v>
      </c>
      <c r="B499" s="52">
        <v>0</v>
      </c>
      <c r="C499" s="109"/>
      <c r="D499" s="109"/>
      <c r="E499" s="109"/>
      <c r="F499" s="109"/>
      <c r="G499" s="109"/>
      <c r="H499" s="109"/>
      <c r="I499" s="109"/>
      <c r="J499" s="109"/>
      <c r="K499" s="109"/>
      <c r="L499" s="109"/>
      <c r="M499" s="109"/>
      <c r="O499" s="49">
        <v>9.3800000000000008</v>
      </c>
      <c r="P499" s="52">
        <v>0</v>
      </c>
    </row>
    <row r="500" spans="1:16" x14ac:dyDescent="0.2">
      <c r="A500" s="49">
        <v>75</v>
      </c>
      <c r="B500" s="52">
        <v>0</v>
      </c>
      <c r="C500" s="109"/>
      <c r="D500" s="109"/>
      <c r="E500" s="109"/>
      <c r="F500" s="109"/>
      <c r="G500" s="109"/>
      <c r="H500" s="109"/>
      <c r="I500" s="109"/>
      <c r="J500" s="109"/>
      <c r="K500" s="109"/>
      <c r="L500" s="109"/>
      <c r="M500" s="109"/>
      <c r="O500" s="49">
        <v>11.81</v>
      </c>
      <c r="P500" s="52">
        <v>150</v>
      </c>
    </row>
    <row r="501" spans="1:16" x14ac:dyDescent="0.2">
      <c r="A501" s="49">
        <v>88</v>
      </c>
      <c r="B501" s="52">
        <v>0</v>
      </c>
      <c r="C501" s="109"/>
      <c r="D501" s="109"/>
      <c r="E501" s="109"/>
      <c r="F501" s="109"/>
      <c r="G501" s="109"/>
      <c r="H501" s="109"/>
      <c r="I501" s="109"/>
      <c r="J501" s="109"/>
      <c r="K501" s="109"/>
      <c r="L501" s="109"/>
      <c r="M501" s="109"/>
      <c r="O501" s="49">
        <v>77.430000000000007</v>
      </c>
      <c r="P501" s="52">
        <v>150</v>
      </c>
    </row>
    <row r="502" spans="1:16" x14ac:dyDescent="0.2">
      <c r="A502" s="49">
        <v>94</v>
      </c>
      <c r="B502" s="52">
        <v>0</v>
      </c>
      <c r="C502" s="109"/>
      <c r="D502" s="109"/>
      <c r="E502" s="109"/>
      <c r="F502" s="109"/>
      <c r="G502" s="109"/>
      <c r="H502" s="109"/>
      <c r="I502" s="109"/>
      <c r="J502" s="109"/>
      <c r="K502" s="109"/>
      <c r="L502" s="109"/>
      <c r="M502" s="109"/>
      <c r="O502" s="49">
        <v>93.06</v>
      </c>
      <c r="P502" s="52">
        <v>0</v>
      </c>
    </row>
    <row r="503" spans="1:16" x14ac:dyDescent="0.2">
      <c r="A503" s="49">
        <v>95</v>
      </c>
      <c r="B503" s="52">
        <v>0</v>
      </c>
      <c r="C503" s="109"/>
      <c r="D503" s="109"/>
      <c r="E503" s="109"/>
      <c r="F503" s="109"/>
      <c r="G503" s="109"/>
      <c r="H503" s="109"/>
      <c r="I503" s="109"/>
      <c r="J503" s="109"/>
      <c r="K503" s="109"/>
      <c r="L503" s="109"/>
      <c r="M503" s="109"/>
      <c r="O503" s="49">
        <v>95</v>
      </c>
      <c r="P503" s="52">
        <v>0</v>
      </c>
    </row>
    <row r="504" spans="1:16" ht="13.5" thickBot="1" x14ac:dyDescent="0.25">
      <c r="A504" s="50">
        <v>100</v>
      </c>
      <c r="B504" s="53">
        <v>0</v>
      </c>
      <c r="C504" s="109"/>
      <c r="D504" s="109"/>
      <c r="E504" s="109"/>
      <c r="F504" s="109"/>
      <c r="G504" s="109"/>
      <c r="H504" s="109"/>
      <c r="I504" s="109"/>
      <c r="J504" s="109"/>
      <c r="K504" s="109"/>
      <c r="L504" s="109"/>
      <c r="M504" s="109"/>
      <c r="O504" s="50">
        <v>100</v>
      </c>
      <c r="P504" s="53">
        <v>0</v>
      </c>
    </row>
    <row r="505" spans="1:16" ht="13.5" thickBot="1" x14ac:dyDescent="0.25">
      <c r="A505" s="109"/>
      <c r="B505" s="109"/>
      <c r="C505" s="109"/>
      <c r="D505" s="109"/>
      <c r="E505" s="109"/>
      <c r="F505" s="109"/>
      <c r="G505" s="109"/>
      <c r="H505" s="109"/>
      <c r="I505" s="109"/>
      <c r="J505" s="109"/>
      <c r="K505" s="109"/>
      <c r="L505" s="109"/>
      <c r="M505" s="109"/>
    </row>
    <row r="506" spans="1:16" ht="13.5" thickBot="1" x14ac:dyDescent="0.25">
      <c r="A506" s="110" t="s">
        <v>15</v>
      </c>
      <c r="B506" s="25" t="s">
        <v>14</v>
      </c>
      <c r="C506" s="109"/>
      <c r="D506" s="109"/>
      <c r="E506" s="109"/>
      <c r="F506" s="109"/>
      <c r="G506" s="109"/>
      <c r="H506" s="109"/>
      <c r="I506" s="109"/>
      <c r="J506" s="109"/>
      <c r="K506" s="109"/>
      <c r="L506" s="109"/>
      <c r="M506" s="109"/>
      <c r="O506" s="110" t="s">
        <v>15</v>
      </c>
      <c r="P506" s="25" t="s">
        <v>14</v>
      </c>
    </row>
    <row r="507" spans="1:16" x14ac:dyDescent="0.2">
      <c r="A507" s="37">
        <f t="shared" ref="A507:A514" si="130">A497*F$4/100</f>
        <v>0</v>
      </c>
      <c r="B507" s="38">
        <f t="shared" ref="B507:B514" si="131">B497</f>
        <v>0</v>
      </c>
      <c r="C507" s="109"/>
      <c r="D507" s="109"/>
      <c r="E507" s="109"/>
      <c r="F507" s="109"/>
      <c r="G507" s="109"/>
      <c r="H507" s="109"/>
      <c r="I507" s="109"/>
      <c r="J507" s="109"/>
      <c r="K507" s="109"/>
      <c r="L507" s="109"/>
      <c r="M507" s="109"/>
      <c r="O507" s="37">
        <f t="shared" ref="O507:O514" si="132">O497*F$5/100</f>
        <v>0</v>
      </c>
      <c r="P507" s="38">
        <f t="shared" ref="P507:P514" si="133">P497</f>
        <v>0</v>
      </c>
    </row>
    <row r="508" spans="1:16" x14ac:dyDescent="0.2">
      <c r="A508" s="39">
        <f t="shared" si="130"/>
        <v>0.13700000000000001</v>
      </c>
      <c r="B508" s="40">
        <f t="shared" si="131"/>
        <v>0</v>
      </c>
      <c r="C508" s="109"/>
      <c r="D508" s="109"/>
      <c r="E508" s="109"/>
      <c r="F508" s="109"/>
      <c r="G508" s="109"/>
      <c r="H508" s="109"/>
      <c r="I508" s="109"/>
      <c r="J508" s="109"/>
      <c r="K508" s="109"/>
      <c r="L508" s="109"/>
      <c r="M508" s="109"/>
      <c r="O508" s="39">
        <f t="shared" si="132"/>
        <v>7.4999999999999997E-2</v>
      </c>
      <c r="P508" s="40">
        <f t="shared" si="133"/>
        <v>0</v>
      </c>
    </row>
    <row r="509" spans="1:16" x14ac:dyDescent="0.2">
      <c r="A509" s="39">
        <f t="shared" si="130"/>
        <v>0.68500000000000005</v>
      </c>
      <c r="B509" s="40">
        <f t="shared" si="131"/>
        <v>0</v>
      </c>
      <c r="C509" s="109"/>
      <c r="D509" s="109"/>
      <c r="E509" s="109"/>
      <c r="F509" s="109"/>
      <c r="G509" s="109"/>
      <c r="H509" s="109"/>
      <c r="I509" s="109"/>
      <c r="J509" s="109"/>
      <c r="K509" s="109"/>
      <c r="L509" s="109"/>
      <c r="M509" s="109"/>
      <c r="O509" s="39">
        <f t="shared" si="132"/>
        <v>0.14069999999999999</v>
      </c>
      <c r="P509" s="40">
        <f t="shared" si="133"/>
        <v>0</v>
      </c>
    </row>
    <row r="510" spans="1:16" x14ac:dyDescent="0.2">
      <c r="A510" s="39">
        <f t="shared" si="130"/>
        <v>1.0275000000000001</v>
      </c>
      <c r="B510" s="40">
        <f t="shared" si="131"/>
        <v>0</v>
      </c>
      <c r="C510" s="109"/>
      <c r="D510" s="109"/>
      <c r="E510" s="109"/>
      <c r="F510" s="109"/>
      <c r="G510" s="109"/>
      <c r="H510" s="109"/>
      <c r="I510" s="109"/>
      <c r="J510" s="109"/>
      <c r="K510" s="109"/>
      <c r="L510" s="109"/>
      <c r="M510" s="109"/>
      <c r="O510" s="39">
        <f t="shared" si="132"/>
        <v>0.17715</v>
      </c>
      <c r="P510" s="40">
        <f t="shared" si="133"/>
        <v>150</v>
      </c>
    </row>
    <row r="511" spans="1:16" x14ac:dyDescent="0.2">
      <c r="A511" s="39">
        <f t="shared" si="130"/>
        <v>1.2056</v>
      </c>
      <c r="B511" s="40">
        <f t="shared" si="131"/>
        <v>0</v>
      </c>
      <c r="C511" s="109"/>
      <c r="D511" s="109"/>
      <c r="E511" s="109"/>
      <c r="F511" s="109"/>
      <c r="G511" s="109"/>
      <c r="H511" s="109"/>
      <c r="I511" s="109"/>
      <c r="J511" s="109"/>
      <c r="K511" s="109"/>
      <c r="L511" s="109"/>
      <c r="M511" s="109"/>
      <c r="O511" s="39">
        <f t="shared" si="132"/>
        <v>1.1614500000000001</v>
      </c>
      <c r="P511" s="40">
        <f t="shared" si="133"/>
        <v>150</v>
      </c>
    </row>
    <row r="512" spans="1:16" x14ac:dyDescent="0.2">
      <c r="A512" s="39">
        <f t="shared" si="130"/>
        <v>1.2878000000000001</v>
      </c>
      <c r="B512" s="40">
        <f t="shared" si="131"/>
        <v>0</v>
      </c>
      <c r="C512" s="109"/>
      <c r="D512" s="109"/>
      <c r="E512" s="109"/>
      <c r="F512" s="109"/>
      <c r="G512" s="109"/>
      <c r="H512" s="109"/>
      <c r="I512" s="109"/>
      <c r="J512" s="109"/>
      <c r="K512" s="109"/>
      <c r="L512" s="109"/>
      <c r="M512" s="109"/>
      <c r="O512" s="39">
        <f t="shared" si="132"/>
        <v>1.3959000000000001</v>
      </c>
      <c r="P512" s="40">
        <f t="shared" si="133"/>
        <v>0</v>
      </c>
    </row>
    <row r="513" spans="1:16" x14ac:dyDescent="0.2">
      <c r="A513" s="39">
        <f t="shared" si="130"/>
        <v>1.3015000000000001</v>
      </c>
      <c r="B513" s="123">
        <f t="shared" si="131"/>
        <v>0</v>
      </c>
      <c r="C513" s="109"/>
      <c r="D513" s="109"/>
      <c r="E513" s="109"/>
      <c r="F513" s="109"/>
      <c r="G513" s="109"/>
      <c r="H513" s="109"/>
      <c r="I513" s="109"/>
      <c r="J513" s="109"/>
      <c r="K513" s="109"/>
      <c r="L513" s="109"/>
      <c r="M513" s="109"/>
      <c r="O513" s="39">
        <f t="shared" si="132"/>
        <v>1.425</v>
      </c>
      <c r="P513" s="123">
        <f t="shared" si="133"/>
        <v>0</v>
      </c>
    </row>
    <row r="514" spans="1:16" ht="13.5" thickBot="1" x14ac:dyDescent="0.25">
      <c r="A514" s="41">
        <f t="shared" si="130"/>
        <v>1.37</v>
      </c>
      <c r="B514" s="42">
        <f t="shared" si="131"/>
        <v>0</v>
      </c>
      <c r="C514" s="1"/>
      <c r="D514" s="1"/>
      <c r="E514" s="1"/>
      <c r="F514" s="1"/>
      <c r="G514" s="1"/>
      <c r="H514" s="1"/>
      <c r="I514" s="1"/>
      <c r="J514" s="1"/>
      <c r="K514" s="1"/>
      <c r="L514" s="1"/>
      <c r="M514" s="1"/>
      <c r="O514" s="41">
        <f t="shared" si="132"/>
        <v>1.5</v>
      </c>
      <c r="P514" s="42">
        <f t="shared" si="133"/>
        <v>0</v>
      </c>
    </row>
    <row r="515" spans="1:16" x14ac:dyDescent="0.2">
      <c r="A515" s="1"/>
      <c r="B515" s="1"/>
      <c r="C515" s="1"/>
      <c r="D515" s="1"/>
      <c r="E515" s="1"/>
      <c r="F515" s="1"/>
      <c r="G515" s="1"/>
      <c r="H515" s="1"/>
      <c r="I515" s="1"/>
      <c r="J515" s="1"/>
      <c r="K515" s="1"/>
      <c r="L515" s="1"/>
      <c r="M515" s="1"/>
    </row>
    <row r="516" spans="1:16" ht="13.5" thickBot="1" x14ac:dyDescent="0.25">
      <c r="A516" s="128"/>
      <c r="B516" s="128"/>
      <c r="C516" s="1"/>
      <c r="D516" s="1"/>
      <c r="E516" s="1"/>
      <c r="F516" s="1"/>
      <c r="G516" s="1"/>
      <c r="H516" s="1"/>
      <c r="I516" s="1"/>
      <c r="J516" s="1"/>
      <c r="K516" s="1"/>
      <c r="L516" s="1"/>
      <c r="M516" s="1"/>
      <c r="O516" s="122"/>
      <c r="P516" s="122"/>
    </row>
    <row r="517" spans="1:16" ht="13.5" thickBot="1" x14ac:dyDescent="0.25">
      <c r="A517" s="129" t="s">
        <v>73</v>
      </c>
      <c r="B517" s="119" t="s">
        <v>16</v>
      </c>
      <c r="C517" s="1"/>
      <c r="D517" s="1"/>
      <c r="E517" s="1"/>
      <c r="F517" s="1"/>
      <c r="G517" s="1"/>
      <c r="H517" s="1"/>
      <c r="I517" s="1"/>
      <c r="J517" s="1"/>
      <c r="K517" s="1"/>
      <c r="L517" s="1"/>
      <c r="M517" s="1"/>
      <c r="O517" s="144"/>
      <c r="P517" s="119" t="s">
        <v>16</v>
      </c>
    </row>
    <row r="518" spans="1:16" ht="13.5" thickBot="1" x14ac:dyDescent="0.25">
      <c r="A518" s="311" t="s">
        <v>88</v>
      </c>
      <c r="B518" s="210">
        <v>30</v>
      </c>
      <c r="C518" s="1"/>
      <c r="D518" s="1"/>
      <c r="E518" s="1"/>
      <c r="F518" s="1"/>
      <c r="G518" s="1"/>
      <c r="H518" s="1"/>
      <c r="I518" s="1"/>
      <c r="J518" s="1"/>
      <c r="K518" s="1"/>
      <c r="L518" s="1"/>
      <c r="M518" s="1"/>
      <c r="O518" s="65"/>
      <c r="P518" s="210">
        <v>60</v>
      </c>
    </row>
    <row r="519" spans="1:16" ht="13.5" thickBot="1" x14ac:dyDescent="0.25">
      <c r="A519" s="122"/>
      <c r="B519" s="122"/>
      <c r="O519" s="122"/>
      <c r="P519" s="122"/>
    </row>
    <row r="520" spans="1:16" ht="13.5" thickBot="1" x14ac:dyDescent="0.25">
      <c r="A520" s="303" t="s">
        <v>1</v>
      </c>
      <c r="B520" s="304" t="s">
        <v>14</v>
      </c>
      <c r="O520" s="118" t="s">
        <v>1</v>
      </c>
      <c r="P520" s="119" t="s">
        <v>14</v>
      </c>
    </row>
    <row r="521" spans="1:16" x14ac:dyDescent="0.2">
      <c r="A521" s="54">
        <v>0</v>
      </c>
      <c r="B521" s="51">
        <v>110</v>
      </c>
      <c r="O521" s="54">
        <v>0</v>
      </c>
      <c r="P521" s="51">
        <v>110</v>
      </c>
    </row>
    <row r="522" spans="1:16" x14ac:dyDescent="0.2">
      <c r="A522" s="49">
        <v>10</v>
      </c>
      <c r="B522" s="52">
        <v>110</v>
      </c>
      <c r="O522" s="49">
        <v>4</v>
      </c>
      <c r="P522" s="52">
        <v>110</v>
      </c>
    </row>
    <row r="523" spans="1:16" x14ac:dyDescent="0.2">
      <c r="A523" s="49">
        <v>50</v>
      </c>
      <c r="B523" s="52">
        <v>110</v>
      </c>
      <c r="O523" s="49">
        <v>8</v>
      </c>
      <c r="P523" s="52">
        <v>110</v>
      </c>
    </row>
    <row r="524" spans="1:16" x14ac:dyDescent="0.2">
      <c r="A524" s="49">
        <v>75</v>
      </c>
      <c r="B524" s="52">
        <v>110</v>
      </c>
      <c r="O524" s="49">
        <v>9.3800000000000008</v>
      </c>
      <c r="P524" s="52">
        <v>110</v>
      </c>
    </row>
    <row r="525" spans="1:16" x14ac:dyDescent="0.2">
      <c r="A525" s="49">
        <v>88</v>
      </c>
      <c r="B525" s="52">
        <v>110</v>
      </c>
      <c r="O525" s="49">
        <v>11.81</v>
      </c>
      <c r="P525" s="52">
        <v>0</v>
      </c>
    </row>
    <row r="526" spans="1:16" x14ac:dyDescent="0.2">
      <c r="A526" s="49">
        <v>94</v>
      </c>
      <c r="B526" s="52">
        <v>110</v>
      </c>
      <c r="O526" s="49">
        <v>86.81</v>
      </c>
      <c r="P526" s="52">
        <v>0</v>
      </c>
    </row>
    <row r="527" spans="1:16" x14ac:dyDescent="0.2">
      <c r="A527" s="49">
        <v>95</v>
      </c>
      <c r="B527" s="52">
        <v>110</v>
      </c>
      <c r="O527" s="49">
        <v>93.06</v>
      </c>
      <c r="P527" s="52">
        <v>108</v>
      </c>
    </row>
    <row r="528" spans="1:16" ht="13.5" thickBot="1" x14ac:dyDescent="0.25">
      <c r="A528" s="50">
        <v>100</v>
      </c>
      <c r="B528" s="53">
        <v>110</v>
      </c>
      <c r="O528" s="50">
        <v>100</v>
      </c>
      <c r="P528" s="53">
        <v>110</v>
      </c>
    </row>
    <row r="529" spans="1:16" ht="13.5" thickBot="1" x14ac:dyDescent="0.25"/>
    <row r="530" spans="1:16" ht="13.5" thickBot="1" x14ac:dyDescent="0.25">
      <c r="A530" s="110" t="s">
        <v>15</v>
      </c>
      <c r="B530" s="25" t="s">
        <v>14</v>
      </c>
      <c r="O530" s="110" t="s">
        <v>15</v>
      </c>
      <c r="P530" s="25" t="s">
        <v>14</v>
      </c>
    </row>
    <row r="531" spans="1:16" x14ac:dyDescent="0.2">
      <c r="A531" s="37">
        <f t="shared" ref="A531:A538" si="134">A521*F$4/100</f>
        <v>0</v>
      </c>
      <c r="B531" s="38">
        <f t="shared" ref="B531:B538" si="135">B521</f>
        <v>110</v>
      </c>
      <c r="O531" s="37">
        <f t="shared" ref="O531:O538" si="136">O521*F$5/100</f>
        <v>0</v>
      </c>
      <c r="P531" s="38">
        <f t="shared" ref="P531:P538" si="137">P521</f>
        <v>110</v>
      </c>
    </row>
    <row r="532" spans="1:16" x14ac:dyDescent="0.2">
      <c r="A532" s="39">
        <f t="shared" si="134"/>
        <v>0.13700000000000001</v>
      </c>
      <c r="B532" s="40">
        <f t="shared" si="135"/>
        <v>110</v>
      </c>
      <c r="O532" s="39">
        <f t="shared" si="136"/>
        <v>0.06</v>
      </c>
      <c r="P532" s="40">
        <f t="shared" si="137"/>
        <v>110</v>
      </c>
    </row>
    <row r="533" spans="1:16" x14ac:dyDescent="0.2">
      <c r="A533" s="39">
        <f t="shared" si="134"/>
        <v>0.68500000000000005</v>
      </c>
      <c r="B533" s="40">
        <f t="shared" si="135"/>
        <v>110</v>
      </c>
      <c r="O533" s="39">
        <f t="shared" si="136"/>
        <v>0.12</v>
      </c>
      <c r="P533" s="40">
        <f t="shared" si="137"/>
        <v>110</v>
      </c>
    </row>
    <row r="534" spans="1:16" x14ac:dyDescent="0.2">
      <c r="A534" s="39">
        <f t="shared" si="134"/>
        <v>1.0275000000000001</v>
      </c>
      <c r="B534" s="40">
        <f t="shared" si="135"/>
        <v>110</v>
      </c>
      <c r="O534" s="39">
        <f t="shared" si="136"/>
        <v>0.14069999999999999</v>
      </c>
      <c r="P534" s="40">
        <f t="shared" si="137"/>
        <v>110</v>
      </c>
    </row>
    <row r="535" spans="1:16" x14ac:dyDescent="0.2">
      <c r="A535" s="39">
        <f t="shared" si="134"/>
        <v>1.2056</v>
      </c>
      <c r="B535" s="40">
        <f t="shared" si="135"/>
        <v>110</v>
      </c>
      <c r="O535" s="39">
        <f t="shared" si="136"/>
        <v>0.17715</v>
      </c>
      <c r="P535" s="40">
        <f t="shared" si="137"/>
        <v>0</v>
      </c>
    </row>
    <row r="536" spans="1:16" x14ac:dyDescent="0.2">
      <c r="A536" s="39">
        <f t="shared" si="134"/>
        <v>1.2878000000000001</v>
      </c>
      <c r="B536" s="40">
        <f t="shared" si="135"/>
        <v>110</v>
      </c>
      <c r="O536" s="39">
        <f t="shared" si="136"/>
        <v>1.3021500000000001</v>
      </c>
      <c r="P536" s="40">
        <f t="shared" si="137"/>
        <v>0</v>
      </c>
    </row>
    <row r="537" spans="1:16" x14ac:dyDescent="0.2">
      <c r="A537" s="39">
        <f t="shared" si="134"/>
        <v>1.3015000000000001</v>
      </c>
      <c r="B537" s="123">
        <f t="shared" si="135"/>
        <v>110</v>
      </c>
      <c r="O537" s="39">
        <f t="shared" si="136"/>
        <v>1.3959000000000001</v>
      </c>
      <c r="P537" s="123">
        <f t="shared" si="137"/>
        <v>108</v>
      </c>
    </row>
    <row r="538" spans="1:16" ht="13.5" thickBot="1" x14ac:dyDescent="0.25">
      <c r="A538" s="41">
        <f t="shared" si="134"/>
        <v>1.37</v>
      </c>
      <c r="B538" s="42">
        <f t="shared" si="135"/>
        <v>110</v>
      </c>
      <c r="O538" s="41">
        <f t="shared" si="136"/>
        <v>1.5</v>
      </c>
      <c r="P538" s="42">
        <f t="shared" si="137"/>
        <v>110</v>
      </c>
    </row>
    <row r="540" spans="1:16" ht="13.5" thickBot="1" x14ac:dyDescent="0.25">
      <c r="A540" s="122"/>
      <c r="B540" s="122"/>
      <c r="O540" s="122"/>
      <c r="P540" s="122"/>
    </row>
    <row r="541" spans="1:16" ht="13.5" thickBot="1" x14ac:dyDescent="0.25">
      <c r="A541" s="129" t="s">
        <v>73</v>
      </c>
      <c r="B541" s="119" t="s">
        <v>16</v>
      </c>
      <c r="O541" s="144"/>
      <c r="P541" s="119" t="s">
        <v>16</v>
      </c>
    </row>
    <row r="542" spans="1:16" ht="13.5" thickBot="1" x14ac:dyDescent="0.25">
      <c r="A542" s="311" t="s">
        <v>89</v>
      </c>
      <c r="B542" s="210">
        <v>30</v>
      </c>
      <c r="O542" s="65"/>
      <c r="P542" s="210">
        <v>60</v>
      </c>
    </row>
    <row r="543" spans="1:16" ht="13.5" thickBot="1" x14ac:dyDescent="0.25">
      <c r="A543" s="122"/>
      <c r="B543" s="122"/>
      <c r="O543" s="122"/>
      <c r="P543" s="122"/>
    </row>
    <row r="544" spans="1:16" ht="13.5" thickBot="1" x14ac:dyDescent="0.25">
      <c r="A544" s="118" t="s">
        <v>1</v>
      </c>
      <c r="B544" s="119" t="s">
        <v>14</v>
      </c>
      <c r="O544" s="118" t="s">
        <v>1</v>
      </c>
      <c r="P544" s="119" t="s">
        <v>14</v>
      </c>
    </row>
    <row r="545" spans="1:16" x14ac:dyDescent="0.2">
      <c r="A545" s="54">
        <v>0</v>
      </c>
      <c r="B545" s="51">
        <v>150</v>
      </c>
      <c r="O545" s="54">
        <v>0</v>
      </c>
      <c r="P545" s="51">
        <v>0</v>
      </c>
    </row>
    <row r="546" spans="1:16" x14ac:dyDescent="0.2">
      <c r="A546" s="49">
        <v>25</v>
      </c>
      <c r="B546" s="52">
        <v>150</v>
      </c>
      <c r="O546" s="49">
        <v>5</v>
      </c>
      <c r="P546" s="52">
        <v>0</v>
      </c>
    </row>
    <row r="547" spans="1:16" x14ac:dyDescent="0.2">
      <c r="A547" s="49">
        <v>50</v>
      </c>
      <c r="B547" s="52">
        <v>150</v>
      </c>
      <c r="O547" s="49">
        <v>9.3800000000000008</v>
      </c>
      <c r="P547" s="52">
        <v>0</v>
      </c>
    </row>
    <row r="548" spans="1:16" x14ac:dyDescent="0.2">
      <c r="A548" s="49">
        <v>75</v>
      </c>
      <c r="B548" s="52">
        <v>150</v>
      </c>
      <c r="O548" s="49">
        <v>11.81</v>
      </c>
      <c r="P548" s="52">
        <v>0</v>
      </c>
    </row>
    <row r="549" spans="1:16" x14ac:dyDescent="0.2">
      <c r="A549" s="49">
        <v>88</v>
      </c>
      <c r="B549" s="52">
        <v>150</v>
      </c>
      <c r="O549" s="49">
        <v>86.81</v>
      </c>
      <c r="P549" s="52">
        <v>0</v>
      </c>
    </row>
    <row r="550" spans="1:16" x14ac:dyDescent="0.2">
      <c r="A550" s="49">
        <v>94</v>
      </c>
      <c r="B550" s="52">
        <v>150</v>
      </c>
      <c r="O550" s="49">
        <v>89.93</v>
      </c>
      <c r="P550" s="52">
        <v>0</v>
      </c>
    </row>
    <row r="551" spans="1:16" x14ac:dyDescent="0.2">
      <c r="A551" s="49">
        <v>95</v>
      </c>
      <c r="B551" s="52">
        <v>150</v>
      </c>
      <c r="O551" s="49">
        <v>93.06</v>
      </c>
      <c r="P551" s="52">
        <v>0</v>
      </c>
    </row>
    <row r="552" spans="1:16" ht="13.5" thickBot="1" x14ac:dyDescent="0.25">
      <c r="A552" s="50">
        <v>100</v>
      </c>
      <c r="B552" s="53">
        <v>150</v>
      </c>
      <c r="O552" s="50">
        <v>100</v>
      </c>
      <c r="P552" s="53">
        <v>0</v>
      </c>
    </row>
    <row r="553" spans="1:16" ht="13.5" thickBot="1" x14ac:dyDescent="0.25"/>
    <row r="554" spans="1:16" ht="13.5" thickBot="1" x14ac:dyDescent="0.25">
      <c r="A554" s="110" t="s">
        <v>15</v>
      </c>
      <c r="B554" s="25" t="s">
        <v>14</v>
      </c>
      <c r="O554" s="110" t="s">
        <v>15</v>
      </c>
      <c r="P554" s="25" t="s">
        <v>14</v>
      </c>
    </row>
    <row r="555" spans="1:16" x14ac:dyDescent="0.2">
      <c r="A555" s="37">
        <f t="shared" ref="A555:A562" si="138">A545*F$4/100</f>
        <v>0</v>
      </c>
      <c r="B555" s="38">
        <f t="shared" ref="B555:B562" si="139">B545</f>
        <v>150</v>
      </c>
      <c r="O555" s="37">
        <f t="shared" ref="O555:O562" si="140">O545*F$5/100</f>
        <v>0</v>
      </c>
      <c r="P555" s="38">
        <f t="shared" ref="P555:P562" si="141">P545</f>
        <v>0</v>
      </c>
    </row>
    <row r="556" spans="1:16" x14ac:dyDescent="0.2">
      <c r="A556" s="39">
        <f t="shared" si="138"/>
        <v>0.34250000000000003</v>
      </c>
      <c r="B556" s="40">
        <f t="shared" si="139"/>
        <v>150</v>
      </c>
      <c r="O556" s="39">
        <f t="shared" si="140"/>
        <v>7.4999999999999997E-2</v>
      </c>
      <c r="P556" s="40">
        <f t="shared" si="141"/>
        <v>0</v>
      </c>
    </row>
    <row r="557" spans="1:16" x14ac:dyDescent="0.2">
      <c r="A557" s="39">
        <f t="shared" si="138"/>
        <v>0.68500000000000005</v>
      </c>
      <c r="B557" s="40">
        <f t="shared" si="139"/>
        <v>150</v>
      </c>
      <c r="O557" s="39">
        <f t="shared" si="140"/>
        <v>0.14069999999999999</v>
      </c>
      <c r="P557" s="40">
        <f t="shared" si="141"/>
        <v>0</v>
      </c>
    </row>
    <row r="558" spans="1:16" x14ac:dyDescent="0.2">
      <c r="A558" s="39">
        <f t="shared" si="138"/>
        <v>1.0275000000000001</v>
      </c>
      <c r="B558" s="40">
        <f t="shared" si="139"/>
        <v>150</v>
      </c>
      <c r="O558" s="39">
        <f t="shared" si="140"/>
        <v>0.17715</v>
      </c>
      <c r="P558" s="40">
        <f t="shared" si="141"/>
        <v>0</v>
      </c>
    </row>
    <row r="559" spans="1:16" x14ac:dyDescent="0.2">
      <c r="A559" s="39">
        <f t="shared" si="138"/>
        <v>1.2056</v>
      </c>
      <c r="B559" s="40">
        <f t="shared" si="139"/>
        <v>150</v>
      </c>
      <c r="O559" s="39">
        <f t="shared" si="140"/>
        <v>1.3021500000000001</v>
      </c>
      <c r="P559" s="40">
        <f t="shared" si="141"/>
        <v>0</v>
      </c>
    </row>
    <row r="560" spans="1:16" x14ac:dyDescent="0.2">
      <c r="A560" s="39">
        <f t="shared" si="138"/>
        <v>1.2878000000000001</v>
      </c>
      <c r="B560" s="40">
        <f t="shared" si="139"/>
        <v>150</v>
      </c>
      <c r="O560" s="39">
        <f t="shared" si="140"/>
        <v>1.3489500000000001</v>
      </c>
      <c r="P560" s="40">
        <f t="shared" si="141"/>
        <v>0</v>
      </c>
    </row>
    <row r="561" spans="1:17" x14ac:dyDescent="0.2">
      <c r="A561" s="39">
        <f t="shared" si="138"/>
        <v>1.3015000000000001</v>
      </c>
      <c r="B561" s="123">
        <f t="shared" si="139"/>
        <v>150</v>
      </c>
      <c r="O561" s="39">
        <f t="shared" si="140"/>
        <v>1.3959000000000001</v>
      </c>
      <c r="P561" s="123">
        <f t="shared" si="141"/>
        <v>0</v>
      </c>
    </row>
    <row r="562" spans="1:17" ht="13.5" thickBot="1" x14ac:dyDescent="0.25">
      <c r="A562" s="41">
        <f t="shared" si="138"/>
        <v>1.37</v>
      </c>
      <c r="B562" s="42">
        <f t="shared" si="139"/>
        <v>150</v>
      </c>
      <c r="O562" s="41">
        <f t="shared" si="140"/>
        <v>1.5</v>
      </c>
      <c r="P562" s="42">
        <f t="shared" si="141"/>
        <v>0</v>
      </c>
    </row>
    <row r="563" spans="1:17" x14ac:dyDescent="0.2">
      <c r="O563" s="130"/>
      <c r="P563" s="130"/>
      <c r="Q563" s="130"/>
    </row>
    <row r="564" spans="1:17" ht="13.5" thickBot="1" x14ac:dyDescent="0.25">
      <c r="A564" s="122"/>
      <c r="B564" s="122"/>
      <c r="C564" s="130"/>
      <c r="D564" s="130"/>
      <c r="E564" s="130"/>
      <c r="F564" s="130"/>
      <c r="G564" s="130"/>
      <c r="H564" s="130"/>
      <c r="I564" s="130"/>
      <c r="J564" s="130"/>
      <c r="K564" s="130"/>
      <c r="L564" s="130"/>
      <c r="M564" s="130"/>
      <c r="N564" s="130"/>
      <c r="O564" s="122"/>
      <c r="P564" s="122"/>
      <c r="Q564" s="130"/>
    </row>
    <row r="565" spans="1:17" ht="13.5" thickBot="1" x14ac:dyDescent="0.25">
      <c r="A565" s="129" t="s">
        <v>73</v>
      </c>
      <c r="B565" s="119" t="s">
        <v>16</v>
      </c>
      <c r="O565" s="144"/>
      <c r="P565" s="119" t="s">
        <v>16</v>
      </c>
      <c r="Q565" s="130"/>
    </row>
    <row r="566" spans="1:17" ht="13.5" thickBot="1" x14ac:dyDescent="0.25">
      <c r="A566" s="311" t="s">
        <v>91</v>
      </c>
      <c r="B566" s="210">
        <v>30</v>
      </c>
      <c r="O566" s="65"/>
      <c r="P566" s="210">
        <v>60</v>
      </c>
      <c r="Q566" s="130"/>
    </row>
    <row r="567" spans="1:17" ht="13.5" thickBot="1" x14ac:dyDescent="0.25">
      <c r="A567" s="122"/>
      <c r="B567" s="122"/>
      <c r="O567" s="122"/>
      <c r="P567" s="122"/>
      <c r="Q567" s="130"/>
    </row>
    <row r="568" spans="1:17" ht="13.5" thickBot="1" x14ac:dyDescent="0.25">
      <c r="A568" s="118" t="s">
        <v>1</v>
      </c>
      <c r="B568" s="119" t="s">
        <v>14</v>
      </c>
      <c r="O568" s="118" t="s">
        <v>1</v>
      </c>
      <c r="P568" s="119" t="s">
        <v>14</v>
      </c>
      <c r="Q568" s="130"/>
    </row>
    <row r="569" spans="1:17" x14ac:dyDescent="0.2">
      <c r="A569" s="54">
        <v>0</v>
      </c>
      <c r="B569" s="51">
        <v>175</v>
      </c>
      <c r="O569" s="54">
        <v>0</v>
      </c>
      <c r="P569" s="51">
        <v>150</v>
      </c>
      <c r="Q569" s="130"/>
    </row>
    <row r="570" spans="1:17" x14ac:dyDescent="0.2">
      <c r="A570" s="49">
        <v>25</v>
      </c>
      <c r="B570" s="52">
        <v>175</v>
      </c>
      <c r="O570" s="49">
        <v>5</v>
      </c>
      <c r="P570" s="52">
        <v>150</v>
      </c>
      <c r="Q570" s="130"/>
    </row>
    <row r="571" spans="1:17" x14ac:dyDescent="0.2">
      <c r="A571" s="49">
        <v>50</v>
      </c>
      <c r="B571" s="52">
        <v>175</v>
      </c>
      <c r="O571" s="49">
        <v>9.3800000000000008</v>
      </c>
      <c r="P571" s="52">
        <v>150</v>
      </c>
      <c r="Q571" s="130"/>
    </row>
    <row r="572" spans="1:17" x14ac:dyDescent="0.2">
      <c r="A572" s="49">
        <v>75</v>
      </c>
      <c r="B572" s="52">
        <v>175</v>
      </c>
      <c r="O572" s="49">
        <v>11.81</v>
      </c>
      <c r="P572" s="52">
        <v>0</v>
      </c>
      <c r="Q572" s="130"/>
    </row>
    <row r="573" spans="1:17" x14ac:dyDescent="0.2">
      <c r="A573" s="49">
        <v>88</v>
      </c>
      <c r="B573" s="52">
        <v>175</v>
      </c>
      <c r="O573" s="49">
        <v>86.81</v>
      </c>
      <c r="P573" s="52">
        <v>0</v>
      </c>
    </row>
    <row r="574" spans="1:17" x14ac:dyDescent="0.2">
      <c r="A574" s="49">
        <v>94</v>
      </c>
      <c r="B574" s="52">
        <v>175</v>
      </c>
      <c r="O574" s="49">
        <v>89.93</v>
      </c>
      <c r="P574" s="52">
        <v>150</v>
      </c>
    </row>
    <row r="575" spans="1:17" x14ac:dyDescent="0.2">
      <c r="A575" s="49">
        <v>95</v>
      </c>
      <c r="B575" s="52">
        <v>175</v>
      </c>
      <c r="O575" s="49">
        <v>93.06</v>
      </c>
      <c r="P575" s="52">
        <v>150</v>
      </c>
    </row>
    <row r="576" spans="1:17" ht="13.5" thickBot="1" x14ac:dyDescent="0.25">
      <c r="A576" s="50">
        <v>100</v>
      </c>
      <c r="B576" s="53">
        <v>175</v>
      </c>
      <c r="O576" s="50">
        <v>100</v>
      </c>
      <c r="P576" s="53">
        <v>150</v>
      </c>
    </row>
    <row r="577" spans="1:19" ht="13.5" thickBot="1" x14ac:dyDescent="0.25"/>
    <row r="578" spans="1:19" ht="13.5" thickBot="1" x14ac:dyDescent="0.25">
      <c r="A578" s="283" t="s">
        <v>15</v>
      </c>
      <c r="B578" s="25" t="s">
        <v>14</v>
      </c>
      <c r="O578" s="283" t="s">
        <v>15</v>
      </c>
      <c r="P578" s="25" t="s">
        <v>14</v>
      </c>
    </row>
    <row r="579" spans="1:19" x14ac:dyDescent="0.2">
      <c r="A579" s="37">
        <f t="shared" ref="A579:A586" si="142">A569*F$4/100</f>
        <v>0</v>
      </c>
      <c r="B579" s="38">
        <f t="shared" ref="B579:B586" si="143">B569</f>
        <v>175</v>
      </c>
      <c r="O579" s="37">
        <f t="shared" ref="O579:O586" si="144">O569*F$5/100</f>
        <v>0</v>
      </c>
      <c r="P579" s="38">
        <f t="shared" ref="P579:P586" si="145">P569</f>
        <v>150</v>
      </c>
    </row>
    <row r="580" spans="1:19" x14ac:dyDescent="0.2">
      <c r="A580" s="39">
        <f t="shared" si="142"/>
        <v>0.34250000000000003</v>
      </c>
      <c r="B580" s="40">
        <f t="shared" si="143"/>
        <v>175</v>
      </c>
      <c r="O580" s="39">
        <f t="shared" si="144"/>
        <v>7.4999999999999997E-2</v>
      </c>
      <c r="P580" s="40">
        <f t="shared" si="145"/>
        <v>150</v>
      </c>
      <c r="Q580" s="130"/>
      <c r="R580" s="130"/>
      <c r="S580" s="130"/>
    </row>
    <row r="581" spans="1:19" x14ac:dyDescent="0.2">
      <c r="A581" s="39">
        <f t="shared" si="142"/>
        <v>0.68500000000000005</v>
      </c>
      <c r="B581" s="40">
        <f t="shared" si="143"/>
        <v>175</v>
      </c>
      <c r="O581" s="39">
        <f t="shared" si="144"/>
        <v>0.14069999999999999</v>
      </c>
      <c r="P581" s="40">
        <f t="shared" si="145"/>
        <v>150</v>
      </c>
      <c r="Q581" s="130"/>
      <c r="R581" s="130"/>
      <c r="S581" s="130"/>
    </row>
    <row r="582" spans="1:19" x14ac:dyDescent="0.2">
      <c r="A582" s="39">
        <f t="shared" si="142"/>
        <v>1.0275000000000001</v>
      </c>
      <c r="B582" s="40">
        <f t="shared" si="143"/>
        <v>175</v>
      </c>
      <c r="O582" s="39">
        <f t="shared" si="144"/>
        <v>0.17715</v>
      </c>
      <c r="P582" s="40">
        <f t="shared" si="145"/>
        <v>0</v>
      </c>
      <c r="Q582" s="130"/>
      <c r="R582" s="130"/>
      <c r="S582" s="130"/>
    </row>
    <row r="583" spans="1:19" x14ac:dyDescent="0.2">
      <c r="A583" s="39">
        <f t="shared" si="142"/>
        <v>1.2056</v>
      </c>
      <c r="B583" s="40">
        <f t="shared" si="143"/>
        <v>175</v>
      </c>
      <c r="O583" s="39">
        <f t="shared" si="144"/>
        <v>1.3021500000000001</v>
      </c>
      <c r="P583" s="40">
        <f t="shared" si="145"/>
        <v>0</v>
      </c>
      <c r="Q583" s="130"/>
      <c r="R583" s="130"/>
      <c r="S583" s="130"/>
    </row>
    <row r="584" spans="1:19" x14ac:dyDescent="0.2">
      <c r="A584" s="39">
        <f t="shared" si="142"/>
        <v>1.2878000000000001</v>
      </c>
      <c r="B584" s="40">
        <f t="shared" si="143"/>
        <v>175</v>
      </c>
      <c r="O584" s="39">
        <f t="shared" si="144"/>
        <v>1.3489500000000001</v>
      </c>
      <c r="P584" s="40">
        <f t="shared" si="145"/>
        <v>150</v>
      </c>
      <c r="Q584" s="130"/>
      <c r="R584" s="130"/>
      <c r="S584" s="130"/>
    </row>
    <row r="585" spans="1:19" x14ac:dyDescent="0.2">
      <c r="A585" s="39">
        <f t="shared" si="142"/>
        <v>1.3015000000000001</v>
      </c>
      <c r="B585" s="123">
        <f t="shared" si="143"/>
        <v>175</v>
      </c>
      <c r="O585" s="39">
        <f t="shared" si="144"/>
        <v>1.3959000000000001</v>
      </c>
      <c r="P585" s="123">
        <f t="shared" si="145"/>
        <v>150</v>
      </c>
      <c r="Q585" s="130"/>
      <c r="R585" s="130"/>
      <c r="S585" s="130"/>
    </row>
    <row r="586" spans="1:19" ht="13.5" thickBot="1" x14ac:dyDescent="0.25">
      <c r="A586" s="41">
        <f t="shared" si="142"/>
        <v>1.37</v>
      </c>
      <c r="B586" s="42">
        <f t="shared" si="143"/>
        <v>175</v>
      </c>
      <c r="O586" s="41">
        <f t="shared" si="144"/>
        <v>1.5</v>
      </c>
      <c r="P586" s="42">
        <f t="shared" si="145"/>
        <v>150</v>
      </c>
      <c r="Q586" s="130"/>
      <c r="R586" s="130"/>
      <c r="S586" s="130"/>
    </row>
    <row r="587" spans="1:19" x14ac:dyDescent="0.2">
      <c r="A587" s="28"/>
      <c r="B587" s="28"/>
      <c r="C587" s="130"/>
      <c r="M587" s="130"/>
      <c r="N587" s="130"/>
      <c r="O587" s="28"/>
      <c r="P587" s="28"/>
      <c r="Q587" s="130"/>
      <c r="R587" s="130"/>
      <c r="S587" s="130"/>
    </row>
    <row r="588" spans="1:19" ht="13.5" thickBot="1" x14ac:dyDescent="0.25">
      <c r="A588" s="305"/>
      <c r="B588" s="305"/>
      <c r="C588" s="130"/>
      <c r="M588" s="130"/>
      <c r="N588" s="130"/>
      <c r="O588" s="305"/>
      <c r="P588" s="305"/>
      <c r="Q588" s="130"/>
      <c r="R588" s="130"/>
      <c r="S588" s="130"/>
    </row>
    <row r="589" spans="1:19" ht="13.5" thickBot="1" x14ac:dyDescent="0.25">
      <c r="A589" s="129" t="s">
        <v>73</v>
      </c>
      <c r="B589" s="119" t="s">
        <v>16</v>
      </c>
      <c r="O589" s="144"/>
      <c r="P589" s="119" t="s">
        <v>16</v>
      </c>
      <c r="Q589" s="130"/>
      <c r="R589" s="130"/>
      <c r="S589" s="130"/>
    </row>
    <row r="590" spans="1:19" ht="13.5" thickBot="1" x14ac:dyDescent="0.25">
      <c r="A590" s="311" t="s">
        <v>92</v>
      </c>
      <c r="B590" s="210">
        <v>30</v>
      </c>
      <c r="O590" s="65"/>
      <c r="P590" s="210">
        <v>60</v>
      </c>
      <c r="Q590" s="130"/>
      <c r="R590" s="130"/>
      <c r="S590" s="130"/>
    </row>
    <row r="591" spans="1:19" ht="13.5" thickBot="1" x14ac:dyDescent="0.25">
      <c r="A591" s="122"/>
      <c r="B591" s="122"/>
      <c r="O591" s="122"/>
      <c r="P591" s="122"/>
      <c r="Q591" s="130"/>
      <c r="R591" s="130"/>
      <c r="S591" s="130"/>
    </row>
    <row r="592" spans="1:19" ht="13.5" thickBot="1" x14ac:dyDescent="0.25">
      <c r="A592" s="118" t="s">
        <v>1</v>
      </c>
      <c r="B592" s="119" t="s">
        <v>14</v>
      </c>
      <c r="O592" s="118" t="s">
        <v>1</v>
      </c>
      <c r="P592" s="119" t="s">
        <v>14</v>
      </c>
      <c r="Q592" s="130"/>
      <c r="R592" s="130"/>
      <c r="S592" s="130"/>
    </row>
    <row r="593" spans="1:19" x14ac:dyDescent="0.2">
      <c r="A593" s="54">
        <v>0</v>
      </c>
      <c r="B593" s="51">
        <v>150</v>
      </c>
      <c r="O593" s="54">
        <v>0</v>
      </c>
      <c r="P593" s="51">
        <v>0</v>
      </c>
      <c r="Q593" s="130"/>
      <c r="R593" s="130"/>
      <c r="S593" s="130"/>
    </row>
    <row r="594" spans="1:19" x14ac:dyDescent="0.2">
      <c r="A594" s="49">
        <v>25</v>
      </c>
      <c r="B594" s="52">
        <v>150</v>
      </c>
      <c r="O594" s="49">
        <v>5</v>
      </c>
      <c r="P594" s="52">
        <v>0</v>
      </c>
      <c r="Q594" s="130"/>
      <c r="R594" s="130"/>
      <c r="S594" s="130"/>
    </row>
    <row r="595" spans="1:19" x14ac:dyDescent="0.2">
      <c r="A595" s="49">
        <v>50</v>
      </c>
      <c r="B595" s="52">
        <v>150</v>
      </c>
      <c r="O595" s="49">
        <v>9.3800000000000008</v>
      </c>
      <c r="P595" s="52">
        <v>0</v>
      </c>
      <c r="Q595" s="130"/>
      <c r="R595" s="130"/>
      <c r="S595" s="130"/>
    </row>
    <row r="596" spans="1:19" x14ac:dyDescent="0.2">
      <c r="A596" s="49">
        <v>75</v>
      </c>
      <c r="B596" s="52">
        <v>150</v>
      </c>
      <c r="O596" s="49">
        <v>11.81</v>
      </c>
      <c r="P596" s="52">
        <v>0</v>
      </c>
      <c r="Q596" s="130"/>
      <c r="R596" s="130"/>
      <c r="S596" s="130"/>
    </row>
    <row r="597" spans="1:19" x14ac:dyDescent="0.2">
      <c r="A597" s="49">
        <v>88</v>
      </c>
      <c r="B597" s="52">
        <v>150</v>
      </c>
      <c r="O597" s="49">
        <v>86.81</v>
      </c>
      <c r="P597" s="52">
        <v>0</v>
      </c>
      <c r="Q597" s="130"/>
      <c r="R597" s="130"/>
      <c r="S597" s="130"/>
    </row>
    <row r="598" spans="1:19" x14ac:dyDescent="0.2">
      <c r="A598" s="49">
        <v>94</v>
      </c>
      <c r="B598" s="52">
        <v>150</v>
      </c>
      <c r="O598" s="49">
        <v>89.93</v>
      </c>
      <c r="P598" s="52">
        <v>0</v>
      </c>
      <c r="Q598" s="130"/>
      <c r="R598" s="130"/>
      <c r="S598" s="130"/>
    </row>
    <row r="599" spans="1:19" x14ac:dyDescent="0.2">
      <c r="A599" s="49">
        <v>95</v>
      </c>
      <c r="B599" s="52">
        <v>150</v>
      </c>
      <c r="O599" s="49">
        <v>93.06</v>
      </c>
      <c r="P599" s="52">
        <v>0</v>
      </c>
      <c r="Q599" s="130"/>
      <c r="R599" s="130"/>
      <c r="S599" s="130"/>
    </row>
    <row r="600" spans="1:19" ht="13.5" thickBot="1" x14ac:dyDescent="0.25">
      <c r="A600" s="50">
        <v>100</v>
      </c>
      <c r="B600" s="53">
        <v>150</v>
      </c>
      <c r="O600" s="50">
        <v>100</v>
      </c>
      <c r="P600" s="53">
        <v>0</v>
      </c>
    </row>
    <row r="601" spans="1:19" ht="13.5" thickBot="1" x14ac:dyDescent="0.25"/>
    <row r="602" spans="1:19" ht="13.5" thickBot="1" x14ac:dyDescent="0.25">
      <c r="A602" s="283" t="s">
        <v>15</v>
      </c>
      <c r="B602" s="25" t="s">
        <v>14</v>
      </c>
      <c r="O602" s="283" t="s">
        <v>15</v>
      </c>
      <c r="P602" s="25" t="s">
        <v>14</v>
      </c>
    </row>
    <row r="603" spans="1:19" x14ac:dyDescent="0.2">
      <c r="A603" s="37">
        <f t="shared" ref="A603:A610" si="146">A593*F$4/100</f>
        <v>0</v>
      </c>
      <c r="B603" s="38">
        <f t="shared" ref="B603:B610" si="147">B593</f>
        <v>150</v>
      </c>
      <c r="O603" s="37">
        <f t="shared" ref="O603:O610" si="148">O593*F$5/100</f>
        <v>0</v>
      </c>
      <c r="P603" s="38">
        <f t="shared" ref="P603:P610" si="149">P593</f>
        <v>0</v>
      </c>
    </row>
    <row r="604" spans="1:19" x14ac:dyDescent="0.2">
      <c r="A604" s="39">
        <f t="shared" si="146"/>
        <v>0.34250000000000003</v>
      </c>
      <c r="B604" s="40">
        <f t="shared" si="147"/>
        <v>150</v>
      </c>
      <c r="O604" s="39">
        <f t="shared" si="148"/>
        <v>7.4999999999999997E-2</v>
      </c>
      <c r="P604" s="40">
        <f t="shared" si="149"/>
        <v>0</v>
      </c>
    </row>
    <row r="605" spans="1:19" x14ac:dyDescent="0.2">
      <c r="A605" s="39">
        <f t="shared" si="146"/>
        <v>0.68500000000000005</v>
      </c>
      <c r="B605" s="40">
        <f t="shared" si="147"/>
        <v>150</v>
      </c>
      <c r="O605" s="39">
        <f t="shared" si="148"/>
        <v>0.14069999999999999</v>
      </c>
      <c r="P605" s="40">
        <f t="shared" si="149"/>
        <v>0</v>
      </c>
    </row>
    <row r="606" spans="1:19" x14ac:dyDescent="0.2">
      <c r="A606" s="39">
        <f t="shared" si="146"/>
        <v>1.0275000000000001</v>
      </c>
      <c r="B606" s="40">
        <f t="shared" si="147"/>
        <v>150</v>
      </c>
      <c r="O606" s="39">
        <f t="shared" si="148"/>
        <v>0.17715</v>
      </c>
      <c r="P606" s="40">
        <f t="shared" si="149"/>
        <v>0</v>
      </c>
    </row>
    <row r="607" spans="1:19" x14ac:dyDescent="0.2">
      <c r="A607" s="39">
        <f t="shared" si="146"/>
        <v>1.2056</v>
      </c>
      <c r="B607" s="40">
        <f t="shared" si="147"/>
        <v>150</v>
      </c>
      <c r="O607" s="39">
        <f t="shared" si="148"/>
        <v>1.3021500000000001</v>
      </c>
      <c r="P607" s="40">
        <f t="shared" si="149"/>
        <v>0</v>
      </c>
      <c r="Q607" s="130"/>
      <c r="R607" s="130"/>
      <c r="S607" s="130"/>
    </row>
    <row r="608" spans="1:19" x14ac:dyDescent="0.2">
      <c r="A608" s="39">
        <f t="shared" si="146"/>
        <v>1.2878000000000001</v>
      </c>
      <c r="B608" s="40">
        <f t="shared" si="147"/>
        <v>150</v>
      </c>
      <c r="O608" s="39">
        <f t="shared" si="148"/>
        <v>1.3489500000000001</v>
      </c>
      <c r="P608" s="40">
        <f t="shared" si="149"/>
        <v>0</v>
      </c>
      <c r="Q608" s="130"/>
      <c r="R608" s="130"/>
      <c r="S608" s="130"/>
    </row>
    <row r="609" spans="1:19" x14ac:dyDescent="0.2">
      <c r="A609" s="39">
        <f t="shared" si="146"/>
        <v>1.3015000000000001</v>
      </c>
      <c r="B609" s="123">
        <f t="shared" si="147"/>
        <v>150</v>
      </c>
      <c r="O609" s="39">
        <f t="shared" si="148"/>
        <v>1.3959000000000001</v>
      </c>
      <c r="P609" s="123">
        <f t="shared" si="149"/>
        <v>0</v>
      </c>
      <c r="Q609" s="130"/>
      <c r="R609" s="130"/>
      <c r="S609" s="130"/>
    </row>
    <row r="610" spans="1:19" ht="13.5" thickBot="1" x14ac:dyDescent="0.25">
      <c r="A610" s="41">
        <f t="shared" si="146"/>
        <v>1.37</v>
      </c>
      <c r="B610" s="42">
        <f t="shared" si="147"/>
        <v>150</v>
      </c>
      <c r="O610" s="41">
        <f t="shared" si="148"/>
        <v>1.5</v>
      </c>
      <c r="P610" s="42">
        <f t="shared" si="149"/>
        <v>0</v>
      </c>
      <c r="Q610" s="130"/>
      <c r="R610" s="130"/>
      <c r="S610" s="130"/>
    </row>
    <row r="611" spans="1:19" x14ac:dyDescent="0.2">
      <c r="A611" s="28"/>
      <c r="B611" s="28"/>
      <c r="C611" s="130"/>
      <c r="M611" s="130"/>
      <c r="N611" s="130"/>
      <c r="O611" s="28"/>
      <c r="P611" s="28"/>
      <c r="Q611" s="130"/>
      <c r="R611" s="130"/>
      <c r="S611" s="130"/>
    </row>
    <row r="612" spans="1:19" ht="13.5" thickBot="1" x14ac:dyDescent="0.25">
      <c r="A612" s="305"/>
      <c r="B612" s="305"/>
      <c r="C612" s="130"/>
      <c r="M612" s="130"/>
      <c r="N612" s="130"/>
      <c r="O612" s="305"/>
      <c r="P612" s="305"/>
      <c r="Q612" s="130"/>
      <c r="R612" s="130"/>
      <c r="S612" s="130"/>
    </row>
    <row r="613" spans="1:19" ht="13.5" thickBot="1" x14ac:dyDescent="0.25">
      <c r="A613" s="129" t="s">
        <v>73</v>
      </c>
      <c r="B613" s="119" t="s">
        <v>16</v>
      </c>
      <c r="O613" s="144"/>
      <c r="P613" s="119" t="s">
        <v>16</v>
      </c>
      <c r="Q613" s="130"/>
      <c r="R613" s="130"/>
      <c r="S613" s="130"/>
    </row>
    <row r="614" spans="1:19" ht="13.5" thickBot="1" x14ac:dyDescent="0.25">
      <c r="A614" s="311" t="s">
        <v>93</v>
      </c>
      <c r="B614" s="210">
        <v>30</v>
      </c>
      <c r="O614" s="65"/>
      <c r="P614" s="210">
        <v>60</v>
      </c>
      <c r="Q614" s="130"/>
      <c r="R614" s="130"/>
      <c r="S614" s="130"/>
    </row>
    <row r="615" spans="1:19" ht="13.5" thickBot="1" x14ac:dyDescent="0.25">
      <c r="A615" s="122"/>
      <c r="B615" s="122"/>
      <c r="O615" s="122"/>
      <c r="P615" s="122"/>
      <c r="Q615" s="130"/>
      <c r="R615" s="130"/>
      <c r="S615" s="130"/>
    </row>
    <row r="616" spans="1:19" ht="13.5" thickBot="1" x14ac:dyDescent="0.25">
      <c r="A616" s="118" t="s">
        <v>1</v>
      </c>
      <c r="B616" s="119" t="s">
        <v>14</v>
      </c>
      <c r="O616" s="118" t="s">
        <v>1</v>
      </c>
      <c r="P616" s="119" t="s">
        <v>14</v>
      </c>
      <c r="Q616" s="130"/>
      <c r="R616" s="130"/>
      <c r="S616" s="130"/>
    </row>
    <row r="617" spans="1:19" x14ac:dyDescent="0.2">
      <c r="A617" s="54">
        <v>0</v>
      </c>
      <c r="B617" s="51">
        <v>200</v>
      </c>
      <c r="O617" s="54">
        <v>0</v>
      </c>
      <c r="P617" s="51">
        <v>150</v>
      </c>
      <c r="Q617" s="130"/>
      <c r="R617" s="130"/>
      <c r="S617" s="130"/>
    </row>
    <row r="618" spans="1:19" x14ac:dyDescent="0.2">
      <c r="A618" s="49">
        <v>25</v>
      </c>
      <c r="B618" s="52">
        <v>200</v>
      </c>
      <c r="O618" s="49">
        <v>5</v>
      </c>
      <c r="P618" s="52">
        <v>150</v>
      </c>
      <c r="Q618" s="130"/>
      <c r="R618" s="130"/>
      <c r="S618" s="130"/>
    </row>
    <row r="619" spans="1:19" x14ac:dyDescent="0.2">
      <c r="A619" s="49">
        <v>50</v>
      </c>
      <c r="B619" s="52">
        <v>200</v>
      </c>
      <c r="O619" s="49">
        <v>9.3800000000000008</v>
      </c>
      <c r="P619" s="52">
        <v>150</v>
      </c>
      <c r="Q619" s="130"/>
      <c r="R619" s="130"/>
      <c r="S619" s="130"/>
    </row>
    <row r="620" spans="1:19" x14ac:dyDescent="0.2">
      <c r="A620" s="49">
        <v>75</v>
      </c>
      <c r="B620" s="52">
        <v>200</v>
      </c>
      <c r="O620" s="49">
        <v>11.81</v>
      </c>
      <c r="P620" s="52">
        <v>0</v>
      </c>
      <c r="Q620" s="130"/>
      <c r="R620" s="130"/>
      <c r="S620" s="130"/>
    </row>
    <row r="621" spans="1:19" x14ac:dyDescent="0.2">
      <c r="A621" s="49">
        <v>88</v>
      </c>
      <c r="B621" s="52">
        <v>200</v>
      </c>
      <c r="O621" s="49">
        <v>86.81</v>
      </c>
      <c r="P621" s="52">
        <v>0</v>
      </c>
      <c r="Q621" s="130"/>
      <c r="R621" s="130"/>
      <c r="S621" s="130"/>
    </row>
    <row r="622" spans="1:19" x14ac:dyDescent="0.2">
      <c r="A622" s="49">
        <v>94</v>
      </c>
      <c r="B622" s="52">
        <v>200</v>
      </c>
      <c r="O622" s="49">
        <v>89.93</v>
      </c>
      <c r="P622" s="52">
        <v>150</v>
      </c>
      <c r="Q622" s="130"/>
      <c r="R622" s="130"/>
      <c r="S622" s="130"/>
    </row>
    <row r="623" spans="1:19" x14ac:dyDescent="0.2">
      <c r="A623" s="49">
        <v>95</v>
      </c>
      <c r="B623" s="52">
        <v>200</v>
      </c>
      <c r="O623" s="49">
        <v>93.06</v>
      </c>
      <c r="P623" s="52">
        <v>150</v>
      </c>
      <c r="Q623" s="130"/>
      <c r="R623" s="130"/>
      <c r="S623" s="130"/>
    </row>
    <row r="624" spans="1:19" ht="13.5" thickBot="1" x14ac:dyDescent="0.25">
      <c r="A624" s="50">
        <v>100</v>
      </c>
      <c r="B624" s="53">
        <v>200</v>
      </c>
      <c r="O624" s="50">
        <v>100</v>
      </c>
      <c r="P624" s="53">
        <v>150</v>
      </c>
      <c r="Q624" s="130"/>
      <c r="R624" s="130"/>
      <c r="S624" s="130"/>
    </row>
    <row r="625" spans="1:18" ht="13.5" thickBot="1" x14ac:dyDescent="0.25"/>
    <row r="626" spans="1:18" ht="13.5" thickBot="1" x14ac:dyDescent="0.25">
      <c r="A626" s="283" t="s">
        <v>15</v>
      </c>
      <c r="B626" s="25" t="s">
        <v>14</v>
      </c>
      <c r="O626" s="283" t="s">
        <v>15</v>
      </c>
      <c r="P626" s="25" t="s">
        <v>14</v>
      </c>
    </row>
    <row r="627" spans="1:18" x14ac:dyDescent="0.2">
      <c r="A627" s="37">
        <f t="shared" ref="A627:A634" si="150">A617*F$4/100</f>
        <v>0</v>
      </c>
      <c r="B627" s="38">
        <f t="shared" ref="B627:B634" si="151">B617</f>
        <v>200</v>
      </c>
      <c r="O627" s="37">
        <f t="shared" ref="O627:O634" si="152">O617*F$5/100</f>
        <v>0</v>
      </c>
      <c r="P627" s="38">
        <f t="shared" ref="P627:P634" si="153">P617</f>
        <v>150</v>
      </c>
    </row>
    <row r="628" spans="1:18" x14ac:dyDescent="0.2">
      <c r="A628" s="39">
        <f t="shared" si="150"/>
        <v>0.34250000000000003</v>
      </c>
      <c r="B628" s="40">
        <f t="shared" si="151"/>
        <v>200</v>
      </c>
      <c r="O628" s="39">
        <f t="shared" si="152"/>
        <v>7.4999999999999997E-2</v>
      </c>
      <c r="P628" s="40">
        <f t="shared" si="153"/>
        <v>150</v>
      </c>
    </row>
    <row r="629" spans="1:18" x14ac:dyDescent="0.2">
      <c r="A629" s="39">
        <f t="shared" si="150"/>
        <v>0.68500000000000005</v>
      </c>
      <c r="B629" s="40">
        <f t="shared" si="151"/>
        <v>200</v>
      </c>
      <c r="O629" s="39">
        <f t="shared" si="152"/>
        <v>0.14069999999999999</v>
      </c>
      <c r="P629" s="40">
        <f t="shared" si="153"/>
        <v>150</v>
      </c>
    </row>
    <row r="630" spans="1:18" x14ac:dyDescent="0.2">
      <c r="A630" s="39">
        <f t="shared" si="150"/>
        <v>1.0275000000000001</v>
      </c>
      <c r="B630" s="40">
        <f t="shared" si="151"/>
        <v>200</v>
      </c>
      <c r="O630" s="39">
        <f t="shared" si="152"/>
        <v>0.17715</v>
      </c>
      <c r="P630" s="40">
        <f t="shared" si="153"/>
        <v>0</v>
      </c>
      <c r="Q630" s="130"/>
      <c r="R630" s="130"/>
    </row>
    <row r="631" spans="1:18" x14ac:dyDescent="0.2">
      <c r="A631" s="39">
        <f t="shared" si="150"/>
        <v>1.2056</v>
      </c>
      <c r="B631" s="40">
        <f t="shared" si="151"/>
        <v>200</v>
      </c>
      <c r="O631" s="39">
        <f t="shared" si="152"/>
        <v>1.3021500000000001</v>
      </c>
      <c r="P631" s="40">
        <f t="shared" si="153"/>
        <v>0</v>
      </c>
      <c r="Q631" s="130"/>
      <c r="R631" s="130"/>
    </row>
    <row r="632" spans="1:18" x14ac:dyDescent="0.2">
      <c r="A632" s="39">
        <f t="shared" si="150"/>
        <v>1.2878000000000001</v>
      </c>
      <c r="B632" s="40">
        <f t="shared" si="151"/>
        <v>200</v>
      </c>
      <c r="O632" s="39">
        <f t="shared" si="152"/>
        <v>1.3489500000000001</v>
      </c>
      <c r="P632" s="40">
        <f t="shared" si="153"/>
        <v>150</v>
      </c>
      <c r="Q632" s="130"/>
      <c r="R632" s="130"/>
    </row>
    <row r="633" spans="1:18" x14ac:dyDescent="0.2">
      <c r="A633" s="39">
        <f t="shared" si="150"/>
        <v>1.3015000000000001</v>
      </c>
      <c r="B633" s="123">
        <f t="shared" si="151"/>
        <v>200</v>
      </c>
      <c r="O633" s="39">
        <f t="shared" si="152"/>
        <v>1.3959000000000001</v>
      </c>
      <c r="P633" s="123">
        <f t="shared" si="153"/>
        <v>150</v>
      </c>
      <c r="Q633" s="130"/>
      <c r="R633" s="130"/>
    </row>
    <row r="634" spans="1:18" ht="13.5" thickBot="1" x14ac:dyDescent="0.25">
      <c r="A634" s="41">
        <f t="shared" si="150"/>
        <v>1.37</v>
      </c>
      <c r="B634" s="42">
        <f t="shared" si="151"/>
        <v>200</v>
      </c>
      <c r="O634" s="41">
        <f t="shared" si="152"/>
        <v>1.5</v>
      </c>
      <c r="P634" s="42">
        <f t="shared" si="153"/>
        <v>150</v>
      </c>
      <c r="Q634" s="130"/>
      <c r="R634" s="130"/>
    </row>
    <row r="635" spans="1:18" x14ac:dyDescent="0.2">
      <c r="A635" s="28"/>
      <c r="B635" s="28"/>
      <c r="C635" s="130"/>
      <c r="N635" s="130"/>
      <c r="O635" s="28"/>
      <c r="P635" s="28"/>
      <c r="Q635" s="130"/>
      <c r="R635" s="130"/>
    </row>
    <row r="636" spans="1:18" ht="13.5" thickBot="1" x14ac:dyDescent="0.25">
      <c r="A636" s="305"/>
      <c r="B636" s="305"/>
      <c r="C636" s="130"/>
      <c r="N636" s="130"/>
      <c r="O636" s="305"/>
      <c r="P636" s="305"/>
      <c r="Q636" s="130"/>
      <c r="R636" s="130"/>
    </row>
    <row r="637" spans="1:18" ht="13.5" thickBot="1" x14ac:dyDescent="0.25">
      <c r="A637" s="129" t="s">
        <v>73</v>
      </c>
      <c r="B637" s="119" t="s">
        <v>16</v>
      </c>
      <c r="O637" s="144"/>
      <c r="P637" s="119" t="s">
        <v>16</v>
      </c>
      <c r="Q637" s="130"/>
      <c r="R637" s="130"/>
    </row>
    <row r="638" spans="1:18" ht="13.5" thickBot="1" x14ac:dyDescent="0.25">
      <c r="A638" s="311" t="s">
        <v>94</v>
      </c>
      <c r="B638" s="210">
        <v>30</v>
      </c>
      <c r="O638" s="65"/>
      <c r="P638" s="210">
        <v>60</v>
      </c>
      <c r="Q638" s="130"/>
      <c r="R638" s="130"/>
    </row>
    <row r="639" spans="1:18" ht="13.5" thickBot="1" x14ac:dyDescent="0.25">
      <c r="A639" s="122"/>
      <c r="B639" s="122"/>
      <c r="O639" s="122"/>
      <c r="P639" s="122"/>
      <c r="Q639" s="130"/>
      <c r="R639" s="130"/>
    </row>
    <row r="640" spans="1:18" ht="13.5" thickBot="1" x14ac:dyDescent="0.25">
      <c r="A640" s="118" t="s">
        <v>1</v>
      </c>
      <c r="B640" s="119" t="s">
        <v>14</v>
      </c>
      <c r="O640" s="118" t="s">
        <v>1</v>
      </c>
      <c r="P640" s="119" t="s">
        <v>14</v>
      </c>
      <c r="Q640" s="130"/>
      <c r="R640" s="130"/>
    </row>
    <row r="641" spans="1:18" x14ac:dyDescent="0.2">
      <c r="A641" s="54">
        <v>0</v>
      </c>
      <c r="B641" s="51">
        <v>0</v>
      </c>
      <c r="O641" s="54">
        <v>0</v>
      </c>
      <c r="P641" s="51">
        <v>200</v>
      </c>
      <c r="Q641" s="130"/>
      <c r="R641" s="130"/>
    </row>
    <row r="642" spans="1:18" x14ac:dyDescent="0.2">
      <c r="A642" s="49">
        <v>25</v>
      </c>
      <c r="B642" s="52">
        <v>0</v>
      </c>
      <c r="O642" s="49">
        <v>5</v>
      </c>
      <c r="P642" s="52">
        <v>200</v>
      </c>
      <c r="Q642" s="130"/>
      <c r="R642" s="130"/>
    </row>
    <row r="643" spans="1:18" x14ac:dyDescent="0.2">
      <c r="A643" s="49">
        <v>50</v>
      </c>
      <c r="B643" s="52">
        <v>0</v>
      </c>
      <c r="O643" s="49">
        <v>9.3800000000000008</v>
      </c>
      <c r="P643" s="52">
        <v>200</v>
      </c>
      <c r="Q643" s="130"/>
      <c r="R643" s="130"/>
    </row>
    <row r="644" spans="1:18" x14ac:dyDescent="0.2">
      <c r="A644" s="49">
        <v>75</v>
      </c>
      <c r="B644" s="52">
        <v>0</v>
      </c>
      <c r="O644" s="49">
        <v>11.81</v>
      </c>
      <c r="P644" s="52">
        <v>200</v>
      </c>
    </row>
    <row r="645" spans="1:18" x14ac:dyDescent="0.2">
      <c r="A645" s="49">
        <v>88</v>
      </c>
      <c r="B645" s="52">
        <v>0</v>
      </c>
      <c r="O645" s="49">
        <v>86.81</v>
      </c>
      <c r="P645" s="52">
        <v>200</v>
      </c>
    </row>
    <row r="646" spans="1:18" x14ac:dyDescent="0.2">
      <c r="A646" s="49">
        <v>94</v>
      </c>
      <c r="B646" s="52">
        <v>0</v>
      </c>
      <c r="O646" s="49">
        <v>89.93</v>
      </c>
      <c r="P646" s="52">
        <v>200</v>
      </c>
    </row>
    <row r="647" spans="1:18" x14ac:dyDescent="0.2">
      <c r="A647" s="49">
        <v>95</v>
      </c>
      <c r="B647" s="52">
        <v>0</v>
      </c>
      <c r="O647" s="49">
        <v>93.06</v>
      </c>
      <c r="P647" s="52">
        <v>200</v>
      </c>
    </row>
    <row r="648" spans="1:18" ht="13.5" thickBot="1" x14ac:dyDescent="0.25">
      <c r="A648" s="50">
        <v>100</v>
      </c>
      <c r="B648" s="53">
        <v>0</v>
      </c>
      <c r="O648" s="50">
        <v>100</v>
      </c>
      <c r="P648" s="53">
        <v>200</v>
      </c>
    </row>
    <row r="649" spans="1:18" ht="13.5" thickBot="1" x14ac:dyDescent="0.25"/>
    <row r="650" spans="1:18" ht="13.5" thickBot="1" x14ac:dyDescent="0.25">
      <c r="A650" s="283" t="s">
        <v>15</v>
      </c>
      <c r="B650" s="25" t="s">
        <v>14</v>
      </c>
      <c r="O650" s="283" t="s">
        <v>15</v>
      </c>
      <c r="P650" s="25" t="s">
        <v>14</v>
      </c>
    </row>
    <row r="651" spans="1:18" x14ac:dyDescent="0.2">
      <c r="A651" s="37">
        <f t="shared" ref="A651:A658" si="154">A641*F$4/100</f>
        <v>0</v>
      </c>
      <c r="B651" s="38">
        <f t="shared" ref="B651:B658" si="155">B641</f>
        <v>0</v>
      </c>
      <c r="O651" s="37">
        <f t="shared" ref="O651:O658" si="156">O641*F$5/100</f>
        <v>0</v>
      </c>
      <c r="P651" s="38">
        <f t="shared" ref="P651:P658" si="157">P641</f>
        <v>200</v>
      </c>
    </row>
    <row r="652" spans="1:18" x14ac:dyDescent="0.2">
      <c r="A652" s="39">
        <f t="shared" si="154"/>
        <v>0.34250000000000003</v>
      </c>
      <c r="B652" s="40">
        <f t="shared" si="155"/>
        <v>0</v>
      </c>
      <c r="O652" s="39">
        <f t="shared" si="156"/>
        <v>7.4999999999999997E-2</v>
      </c>
      <c r="P652" s="40">
        <f t="shared" si="157"/>
        <v>200</v>
      </c>
    </row>
    <row r="653" spans="1:18" x14ac:dyDescent="0.2">
      <c r="A653" s="39">
        <f t="shared" si="154"/>
        <v>0.68500000000000005</v>
      </c>
      <c r="B653" s="40">
        <f t="shared" si="155"/>
        <v>0</v>
      </c>
      <c r="O653" s="39">
        <f t="shared" si="156"/>
        <v>0.14069999999999999</v>
      </c>
      <c r="P653" s="40">
        <f t="shared" si="157"/>
        <v>200</v>
      </c>
    </row>
    <row r="654" spans="1:18" x14ac:dyDescent="0.2">
      <c r="A654" s="39">
        <f t="shared" si="154"/>
        <v>1.0275000000000001</v>
      </c>
      <c r="B654" s="40">
        <f t="shared" si="155"/>
        <v>0</v>
      </c>
      <c r="O654" s="39">
        <f t="shared" si="156"/>
        <v>0.17715</v>
      </c>
      <c r="P654" s="40">
        <f t="shared" si="157"/>
        <v>200</v>
      </c>
    </row>
    <row r="655" spans="1:18" x14ac:dyDescent="0.2">
      <c r="A655" s="39">
        <f t="shared" si="154"/>
        <v>1.2056</v>
      </c>
      <c r="B655" s="40">
        <f t="shared" si="155"/>
        <v>0</v>
      </c>
      <c r="O655" s="39">
        <f t="shared" si="156"/>
        <v>1.3021500000000001</v>
      </c>
      <c r="P655" s="40">
        <f t="shared" si="157"/>
        <v>200</v>
      </c>
      <c r="Q655" s="130"/>
      <c r="R655" s="130"/>
    </row>
    <row r="656" spans="1:18" x14ac:dyDescent="0.2">
      <c r="A656" s="39">
        <f t="shared" si="154"/>
        <v>1.2878000000000001</v>
      </c>
      <c r="B656" s="40">
        <f t="shared" si="155"/>
        <v>0</v>
      </c>
      <c r="O656" s="39">
        <f t="shared" si="156"/>
        <v>1.3489500000000001</v>
      </c>
      <c r="P656" s="40">
        <f t="shared" si="157"/>
        <v>200</v>
      </c>
      <c r="Q656" s="130"/>
      <c r="R656" s="130"/>
    </row>
    <row r="657" spans="1:18" x14ac:dyDescent="0.2">
      <c r="A657" s="39">
        <f t="shared" si="154"/>
        <v>1.3015000000000001</v>
      </c>
      <c r="B657" s="123">
        <f t="shared" si="155"/>
        <v>0</v>
      </c>
      <c r="O657" s="39">
        <f t="shared" si="156"/>
        <v>1.3959000000000001</v>
      </c>
      <c r="P657" s="123">
        <f t="shared" si="157"/>
        <v>200</v>
      </c>
      <c r="Q657" s="130"/>
      <c r="R657" s="130"/>
    </row>
    <row r="658" spans="1:18" ht="13.5" thickBot="1" x14ac:dyDescent="0.25">
      <c r="A658" s="41">
        <f t="shared" si="154"/>
        <v>1.37</v>
      </c>
      <c r="B658" s="42">
        <f t="shared" si="155"/>
        <v>0</v>
      </c>
      <c r="O658" s="41">
        <f t="shared" si="156"/>
        <v>1.5</v>
      </c>
      <c r="P658" s="42">
        <f t="shared" si="157"/>
        <v>200</v>
      </c>
      <c r="Q658" s="130"/>
      <c r="R658" s="130"/>
    </row>
    <row r="659" spans="1:18" x14ac:dyDescent="0.2">
      <c r="A659" s="28"/>
      <c r="B659" s="28"/>
      <c r="C659" s="130"/>
      <c r="K659" s="130"/>
      <c r="L659" s="130"/>
      <c r="M659" s="130"/>
      <c r="N659" s="130"/>
      <c r="O659" s="28"/>
      <c r="P659" s="28"/>
      <c r="Q659" s="130"/>
      <c r="R659" s="130"/>
    </row>
    <row r="660" spans="1:18" ht="13.5" thickBot="1" x14ac:dyDescent="0.25">
      <c r="A660" s="305"/>
      <c r="B660" s="305"/>
      <c r="C660" s="130"/>
      <c r="K660" s="130"/>
      <c r="L660" s="130"/>
      <c r="M660" s="130"/>
      <c r="N660" s="130"/>
      <c r="O660" s="305"/>
      <c r="P660" s="305"/>
      <c r="Q660" s="130"/>
      <c r="R660" s="130"/>
    </row>
    <row r="661" spans="1:18" ht="13.5" thickBot="1" x14ac:dyDescent="0.25">
      <c r="A661" s="129" t="s">
        <v>73</v>
      </c>
      <c r="B661" s="119" t="s">
        <v>16</v>
      </c>
      <c r="O661" s="144"/>
      <c r="P661" s="119" t="s">
        <v>16</v>
      </c>
      <c r="Q661" s="130"/>
      <c r="R661" s="130"/>
    </row>
    <row r="662" spans="1:18" ht="13.5" thickBot="1" x14ac:dyDescent="0.25">
      <c r="A662" s="311" t="s">
        <v>95</v>
      </c>
      <c r="B662" s="210">
        <v>30</v>
      </c>
      <c r="O662" s="65"/>
      <c r="P662" s="210">
        <v>60</v>
      </c>
      <c r="Q662" s="130"/>
      <c r="R662" s="130"/>
    </row>
    <row r="663" spans="1:18" ht="13.5" thickBot="1" x14ac:dyDescent="0.25">
      <c r="A663" s="122"/>
      <c r="B663" s="122"/>
      <c r="O663" s="122"/>
      <c r="P663" s="122"/>
      <c r="Q663" s="130"/>
      <c r="R663" s="130"/>
    </row>
    <row r="664" spans="1:18" ht="13.5" thickBot="1" x14ac:dyDescent="0.25">
      <c r="A664" s="118" t="s">
        <v>1</v>
      </c>
      <c r="B664" s="119" t="s">
        <v>14</v>
      </c>
      <c r="O664" s="118" t="s">
        <v>1</v>
      </c>
      <c r="P664" s="119" t="s">
        <v>14</v>
      </c>
      <c r="Q664" s="130"/>
      <c r="R664" s="130"/>
    </row>
    <row r="665" spans="1:18" x14ac:dyDescent="0.2">
      <c r="A665" s="54">
        <v>0</v>
      </c>
      <c r="B665" s="51">
        <v>150</v>
      </c>
      <c r="O665" s="54">
        <v>0</v>
      </c>
      <c r="P665" s="51">
        <v>0</v>
      </c>
      <c r="Q665" s="130"/>
      <c r="R665" s="130"/>
    </row>
    <row r="666" spans="1:18" x14ac:dyDescent="0.2">
      <c r="A666" s="49">
        <v>25</v>
      </c>
      <c r="B666" s="52">
        <v>150</v>
      </c>
      <c r="O666" s="49">
        <v>5</v>
      </c>
      <c r="P666" s="52">
        <v>0</v>
      </c>
      <c r="Q666" s="130"/>
      <c r="R666" s="130"/>
    </row>
    <row r="667" spans="1:18" x14ac:dyDescent="0.2">
      <c r="A667" s="49">
        <v>50</v>
      </c>
      <c r="B667" s="52">
        <v>150</v>
      </c>
      <c r="O667" s="49">
        <v>9.3800000000000008</v>
      </c>
      <c r="P667" s="52">
        <v>0</v>
      </c>
      <c r="Q667" s="130"/>
      <c r="R667" s="130"/>
    </row>
    <row r="668" spans="1:18" x14ac:dyDescent="0.2">
      <c r="A668" s="49">
        <v>75</v>
      </c>
      <c r="B668" s="52">
        <v>150</v>
      </c>
      <c r="O668" s="49">
        <v>11.81</v>
      </c>
      <c r="P668" s="52">
        <v>0</v>
      </c>
      <c r="Q668" s="130"/>
      <c r="R668" s="130"/>
    </row>
    <row r="669" spans="1:18" x14ac:dyDescent="0.2">
      <c r="A669" s="49">
        <v>88</v>
      </c>
      <c r="B669" s="52">
        <v>150</v>
      </c>
      <c r="O669" s="49">
        <v>86.81</v>
      </c>
      <c r="P669" s="52">
        <v>0</v>
      </c>
      <c r="Q669" s="130"/>
      <c r="R669" s="130"/>
    </row>
    <row r="670" spans="1:18" x14ac:dyDescent="0.2">
      <c r="A670" s="49">
        <v>94</v>
      </c>
      <c r="B670" s="52">
        <v>150</v>
      </c>
      <c r="O670" s="49">
        <v>89.93</v>
      </c>
      <c r="P670" s="52">
        <v>0</v>
      </c>
      <c r="Q670" s="130"/>
      <c r="R670" s="130"/>
    </row>
    <row r="671" spans="1:18" x14ac:dyDescent="0.2">
      <c r="A671" s="49">
        <v>95</v>
      </c>
      <c r="B671" s="52">
        <v>150</v>
      </c>
      <c r="O671" s="49">
        <v>93.06</v>
      </c>
      <c r="P671" s="52">
        <v>0</v>
      </c>
    </row>
    <row r="672" spans="1:18" ht="13.5" thickBot="1" x14ac:dyDescent="0.25">
      <c r="A672" s="50">
        <v>100</v>
      </c>
      <c r="B672" s="53">
        <v>150</v>
      </c>
      <c r="O672" s="50">
        <v>100</v>
      </c>
      <c r="P672" s="53">
        <v>0</v>
      </c>
    </row>
    <row r="673" spans="1:18" ht="13.5" thickBot="1" x14ac:dyDescent="0.25"/>
    <row r="674" spans="1:18" ht="13.5" thickBot="1" x14ac:dyDescent="0.25">
      <c r="A674" s="283" t="s">
        <v>15</v>
      </c>
      <c r="B674" s="25" t="s">
        <v>14</v>
      </c>
      <c r="O674" s="283" t="s">
        <v>15</v>
      </c>
      <c r="P674" s="25" t="s">
        <v>14</v>
      </c>
      <c r="Q674" s="130"/>
      <c r="R674" s="130"/>
    </row>
    <row r="675" spans="1:18" x14ac:dyDescent="0.2">
      <c r="A675" s="37">
        <f t="shared" ref="A675:A682" si="158">A665*F$4/100</f>
        <v>0</v>
      </c>
      <c r="B675" s="38">
        <f t="shared" ref="B675:B682" si="159">B665</f>
        <v>150</v>
      </c>
      <c r="O675" s="37">
        <f t="shared" ref="O675:O682" si="160">O665*F$5/100</f>
        <v>0</v>
      </c>
      <c r="P675" s="38">
        <f t="shared" ref="P675:P682" si="161">P665</f>
        <v>0</v>
      </c>
      <c r="Q675" s="130"/>
      <c r="R675" s="130"/>
    </row>
    <row r="676" spans="1:18" x14ac:dyDescent="0.2">
      <c r="A676" s="39">
        <f t="shared" si="158"/>
        <v>0.34250000000000003</v>
      </c>
      <c r="B676" s="40">
        <f t="shared" si="159"/>
        <v>150</v>
      </c>
      <c r="O676" s="39">
        <f t="shared" si="160"/>
        <v>7.4999999999999997E-2</v>
      </c>
      <c r="P676" s="40">
        <f t="shared" si="161"/>
        <v>0</v>
      </c>
      <c r="Q676" s="130"/>
      <c r="R676" s="130"/>
    </row>
    <row r="677" spans="1:18" x14ac:dyDescent="0.2">
      <c r="A677" s="39">
        <f t="shared" si="158"/>
        <v>0.68500000000000005</v>
      </c>
      <c r="B677" s="40">
        <f t="shared" si="159"/>
        <v>150</v>
      </c>
      <c r="O677" s="39">
        <f t="shared" si="160"/>
        <v>0.14069999999999999</v>
      </c>
      <c r="P677" s="40">
        <f t="shared" si="161"/>
        <v>0</v>
      </c>
      <c r="Q677" s="130"/>
      <c r="R677" s="130"/>
    </row>
    <row r="678" spans="1:18" x14ac:dyDescent="0.2">
      <c r="A678" s="39">
        <f t="shared" si="158"/>
        <v>1.0275000000000001</v>
      </c>
      <c r="B678" s="40">
        <f t="shared" si="159"/>
        <v>150</v>
      </c>
      <c r="O678" s="39">
        <f t="shared" si="160"/>
        <v>0.17715</v>
      </c>
      <c r="P678" s="40">
        <f t="shared" si="161"/>
        <v>0</v>
      </c>
      <c r="Q678" s="130"/>
      <c r="R678" s="130"/>
    </row>
    <row r="679" spans="1:18" x14ac:dyDescent="0.2">
      <c r="A679" s="39">
        <f t="shared" si="158"/>
        <v>1.2056</v>
      </c>
      <c r="B679" s="40">
        <f t="shared" si="159"/>
        <v>150</v>
      </c>
      <c r="O679" s="39">
        <f t="shared" si="160"/>
        <v>1.3021500000000001</v>
      </c>
      <c r="P679" s="40">
        <f t="shared" si="161"/>
        <v>0</v>
      </c>
      <c r="Q679" s="130"/>
      <c r="R679" s="130"/>
    </row>
    <row r="680" spans="1:18" x14ac:dyDescent="0.2">
      <c r="A680" s="39">
        <f t="shared" si="158"/>
        <v>1.2878000000000001</v>
      </c>
      <c r="B680" s="40">
        <f t="shared" si="159"/>
        <v>150</v>
      </c>
      <c r="O680" s="39">
        <f t="shared" si="160"/>
        <v>1.3489500000000001</v>
      </c>
      <c r="P680" s="40">
        <f t="shared" si="161"/>
        <v>0</v>
      </c>
      <c r="Q680" s="130"/>
      <c r="R680" s="130"/>
    </row>
    <row r="681" spans="1:18" x14ac:dyDescent="0.2">
      <c r="A681" s="39">
        <f t="shared" si="158"/>
        <v>1.3015000000000001</v>
      </c>
      <c r="B681" s="123">
        <f t="shared" si="159"/>
        <v>150</v>
      </c>
      <c r="O681" s="39">
        <f t="shared" si="160"/>
        <v>1.3959000000000001</v>
      </c>
      <c r="P681" s="123">
        <f t="shared" si="161"/>
        <v>0</v>
      </c>
      <c r="Q681" s="130"/>
      <c r="R681" s="130"/>
    </row>
    <row r="682" spans="1:18" ht="13.5" thickBot="1" x14ac:dyDescent="0.25">
      <c r="A682" s="41">
        <f t="shared" si="158"/>
        <v>1.37</v>
      </c>
      <c r="B682" s="42">
        <f t="shared" si="159"/>
        <v>150</v>
      </c>
      <c r="O682" s="41">
        <f t="shared" si="160"/>
        <v>1.5</v>
      </c>
      <c r="P682" s="42">
        <f t="shared" si="161"/>
        <v>0</v>
      </c>
      <c r="Q682" s="130"/>
      <c r="R682" s="130"/>
    </row>
    <row r="683" spans="1:18" x14ac:dyDescent="0.2">
      <c r="A683" s="68"/>
      <c r="B683" s="66"/>
      <c r="C683" s="28"/>
      <c r="D683" s="28"/>
      <c r="E683" s="28"/>
      <c r="F683" s="28"/>
      <c r="G683" s="28"/>
      <c r="H683" s="28"/>
      <c r="I683" s="28"/>
      <c r="J683" s="28"/>
      <c r="K683" s="28"/>
      <c r="L683" s="28"/>
      <c r="M683" s="28"/>
      <c r="N683" s="28"/>
      <c r="O683" s="68"/>
      <c r="P683" s="66"/>
      <c r="Q683" s="130"/>
      <c r="R683" s="130"/>
    </row>
    <row r="684" spans="1:18" ht="13.5" thickBot="1" x14ac:dyDescent="0.25">
      <c r="A684" s="68"/>
      <c r="B684" s="66"/>
      <c r="C684" s="28"/>
      <c r="D684" s="28"/>
      <c r="E684" s="28"/>
      <c r="F684" s="28"/>
      <c r="G684" s="28"/>
      <c r="H684" s="28"/>
      <c r="I684" s="28"/>
      <c r="J684" s="28"/>
      <c r="K684" s="28"/>
      <c r="L684" s="28"/>
      <c r="M684" s="28"/>
      <c r="N684" s="28"/>
      <c r="O684" s="68"/>
      <c r="P684" s="66"/>
      <c r="Q684" s="130"/>
      <c r="R684" s="130"/>
    </row>
    <row r="685" spans="1:18" ht="13.5" thickBot="1" x14ac:dyDescent="0.25">
      <c r="A685" s="129" t="s">
        <v>73</v>
      </c>
      <c r="B685" s="119" t="s">
        <v>16</v>
      </c>
      <c r="O685" s="144"/>
      <c r="P685" s="119" t="s">
        <v>16</v>
      </c>
      <c r="Q685" s="130"/>
      <c r="R685" s="130"/>
    </row>
    <row r="686" spans="1:18" ht="13.5" thickBot="1" x14ac:dyDescent="0.25">
      <c r="A686" s="311" t="s">
        <v>96</v>
      </c>
      <c r="B686" s="210">
        <v>30</v>
      </c>
      <c r="O686" s="65"/>
      <c r="P686" s="210">
        <v>60</v>
      </c>
      <c r="Q686" s="130"/>
      <c r="R686" s="130"/>
    </row>
    <row r="687" spans="1:18" ht="13.5" thickBot="1" x14ac:dyDescent="0.25">
      <c r="A687" s="122"/>
      <c r="B687" s="122"/>
      <c r="O687" s="122"/>
      <c r="P687" s="122"/>
      <c r="Q687" s="130"/>
      <c r="R687" s="130"/>
    </row>
    <row r="688" spans="1:18" ht="13.5" thickBot="1" x14ac:dyDescent="0.25">
      <c r="A688" s="118" t="s">
        <v>1</v>
      </c>
      <c r="B688" s="119" t="s">
        <v>14</v>
      </c>
      <c r="O688" s="118" t="s">
        <v>1</v>
      </c>
      <c r="P688" s="119" t="s">
        <v>14</v>
      </c>
      <c r="Q688" s="130"/>
      <c r="R688" s="130"/>
    </row>
    <row r="689" spans="1:18" x14ac:dyDescent="0.2">
      <c r="A689" s="54">
        <v>0</v>
      </c>
      <c r="B689" s="51">
        <v>0</v>
      </c>
      <c r="O689" s="54">
        <v>0</v>
      </c>
      <c r="P689" s="51">
        <v>250</v>
      </c>
      <c r="Q689" s="130"/>
      <c r="R689" s="130"/>
    </row>
    <row r="690" spans="1:18" x14ac:dyDescent="0.2">
      <c r="A690" s="49">
        <v>25</v>
      </c>
      <c r="B690" s="52">
        <v>0</v>
      </c>
      <c r="O690" s="49">
        <v>5</v>
      </c>
      <c r="P690" s="52">
        <v>250</v>
      </c>
      <c r="Q690" s="130"/>
      <c r="R690" s="130"/>
    </row>
    <row r="691" spans="1:18" x14ac:dyDescent="0.2">
      <c r="A691" s="49">
        <v>50</v>
      </c>
      <c r="B691" s="52">
        <v>0</v>
      </c>
      <c r="O691" s="49">
        <v>9.3800000000000008</v>
      </c>
      <c r="P691" s="52">
        <v>250</v>
      </c>
      <c r="Q691" s="130"/>
      <c r="R691" s="130"/>
    </row>
    <row r="692" spans="1:18" x14ac:dyDescent="0.2">
      <c r="A692" s="49">
        <v>75</v>
      </c>
      <c r="B692" s="52">
        <v>0</v>
      </c>
      <c r="O692" s="49">
        <v>11.81</v>
      </c>
      <c r="P692" s="52">
        <v>250</v>
      </c>
      <c r="Q692" s="130"/>
      <c r="R692" s="130"/>
    </row>
    <row r="693" spans="1:18" x14ac:dyDescent="0.2">
      <c r="A693" s="49">
        <v>88</v>
      </c>
      <c r="B693" s="52">
        <v>0</v>
      </c>
      <c r="O693" s="49">
        <v>86.81</v>
      </c>
      <c r="P693" s="52">
        <v>250</v>
      </c>
      <c r="Q693" s="130"/>
      <c r="R693" s="130"/>
    </row>
    <row r="694" spans="1:18" x14ac:dyDescent="0.2">
      <c r="A694" s="49">
        <v>94</v>
      </c>
      <c r="B694" s="52">
        <v>0</v>
      </c>
      <c r="O694" s="49">
        <v>89.93</v>
      </c>
      <c r="P694" s="52">
        <v>250</v>
      </c>
      <c r="Q694" s="130"/>
      <c r="R694" s="130"/>
    </row>
    <row r="695" spans="1:18" x14ac:dyDescent="0.2">
      <c r="A695" s="49">
        <v>95</v>
      </c>
      <c r="B695" s="52">
        <v>0</v>
      </c>
      <c r="O695" s="49">
        <v>93.06</v>
      </c>
      <c r="P695" s="52">
        <v>250</v>
      </c>
      <c r="Q695" s="130"/>
      <c r="R695" s="130"/>
    </row>
    <row r="696" spans="1:18" ht="13.5" thickBot="1" x14ac:dyDescent="0.25">
      <c r="A696" s="50">
        <v>100</v>
      </c>
      <c r="B696" s="53">
        <v>0</v>
      </c>
      <c r="O696" s="50">
        <v>100</v>
      </c>
      <c r="P696" s="53">
        <v>250</v>
      </c>
      <c r="Q696" s="130"/>
      <c r="R696" s="130"/>
    </row>
    <row r="697" spans="1:18" ht="13.5" thickBot="1" x14ac:dyDescent="0.25">
      <c r="Q697" s="130"/>
      <c r="R697" s="130"/>
    </row>
    <row r="698" spans="1:18" ht="13.5" thickBot="1" x14ac:dyDescent="0.25">
      <c r="A698" s="283" t="s">
        <v>15</v>
      </c>
      <c r="B698" s="25" t="s">
        <v>14</v>
      </c>
      <c r="O698" s="283" t="s">
        <v>15</v>
      </c>
      <c r="P698" s="25" t="s">
        <v>14</v>
      </c>
      <c r="Q698" s="130"/>
      <c r="R698" s="130"/>
    </row>
    <row r="699" spans="1:18" x14ac:dyDescent="0.2">
      <c r="A699" s="37">
        <f t="shared" ref="A699:A706" si="162">A689*F$4/100</f>
        <v>0</v>
      </c>
      <c r="B699" s="38">
        <f t="shared" ref="B699:B706" si="163">B689</f>
        <v>0</v>
      </c>
      <c r="O699" s="37">
        <f t="shared" ref="O699:O706" si="164">O689*F$5/100</f>
        <v>0</v>
      </c>
      <c r="P699" s="38">
        <f t="shared" ref="P699:P706" si="165">P689</f>
        <v>250</v>
      </c>
      <c r="Q699" s="130"/>
      <c r="R699" s="130"/>
    </row>
    <row r="700" spans="1:18" x14ac:dyDescent="0.2">
      <c r="A700" s="39">
        <f t="shared" si="162"/>
        <v>0.34250000000000003</v>
      </c>
      <c r="B700" s="40">
        <f t="shared" si="163"/>
        <v>0</v>
      </c>
      <c r="O700" s="39">
        <f t="shared" si="164"/>
        <v>7.4999999999999997E-2</v>
      </c>
      <c r="P700" s="40">
        <f t="shared" si="165"/>
        <v>250</v>
      </c>
      <c r="Q700" s="130"/>
      <c r="R700" s="130"/>
    </row>
    <row r="701" spans="1:18" x14ac:dyDescent="0.2">
      <c r="A701" s="39">
        <f t="shared" si="162"/>
        <v>0.68500000000000005</v>
      </c>
      <c r="B701" s="40">
        <f t="shared" si="163"/>
        <v>0</v>
      </c>
      <c r="O701" s="39">
        <f t="shared" si="164"/>
        <v>0.14069999999999999</v>
      </c>
      <c r="P701" s="40">
        <f t="shared" si="165"/>
        <v>250</v>
      </c>
      <c r="Q701" s="130"/>
      <c r="R701" s="130"/>
    </row>
    <row r="702" spans="1:18" x14ac:dyDescent="0.2">
      <c r="A702" s="39">
        <f t="shared" si="162"/>
        <v>1.0275000000000001</v>
      </c>
      <c r="B702" s="40">
        <f t="shared" si="163"/>
        <v>0</v>
      </c>
      <c r="O702" s="39">
        <f t="shared" si="164"/>
        <v>0.17715</v>
      </c>
      <c r="P702" s="40">
        <f t="shared" si="165"/>
        <v>250</v>
      </c>
      <c r="Q702" s="130"/>
      <c r="R702" s="130"/>
    </row>
    <row r="703" spans="1:18" x14ac:dyDescent="0.2">
      <c r="A703" s="39">
        <f t="shared" si="162"/>
        <v>1.2056</v>
      </c>
      <c r="B703" s="40">
        <f t="shared" si="163"/>
        <v>0</v>
      </c>
      <c r="O703" s="39">
        <f t="shared" si="164"/>
        <v>1.3021500000000001</v>
      </c>
      <c r="P703" s="40">
        <f t="shared" si="165"/>
        <v>250</v>
      </c>
      <c r="Q703" s="130"/>
      <c r="R703" s="130"/>
    </row>
    <row r="704" spans="1:18" x14ac:dyDescent="0.2">
      <c r="A704" s="39">
        <f t="shared" si="162"/>
        <v>1.2878000000000001</v>
      </c>
      <c r="B704" s="40">
        <f t="shared" si="163"/>
        <v>0</v>
      </c>
      <c r="O704" s="39">
        <f t="shared" si="164"/>
        <v>1.3489500000000001</v>
      </c>
      <c r="P704" s="40">
        <f t="shared" si="165"/>
        <v>250</v>
      </c>
      <c r="Q704" s="130"/>
      <c r="R704" s="130"/>
    </row>
    <row r="705" spans="1:18" x14ac:dyDescent="0.2">
      <c r="A705" s="39">
        <f t="shared" si="162"/>
        <v>1.3015000000000001</v>
      </c>
      <c r="B705" s="123">
        <f t="shared" si="163"/>
        <v>0</v>
      </c>
      <c r="O705" s="39">
        <f t="shared" si="164"/>
        <v>1.3959000000000001</v>
      </c>
      <c r="P705" s="123">
        <f t="shared" si="165"/>
        <v>250</v>
      </c>
      <c r="Q705" s="130"/>
      <c r="R705" s="130"/>
    </row>
    <row r="706" spans="1:18" ht="13.5" thickBot="1" x14ac:dyDescent="0.25">
      <c r="A706" s="41">
        <f t="shared" si="162"/>
        <v>1.37</v>
      </c>
      <c r="B706" s="42">
        <f t="shared" si="163"/>
        <v>0</v>
      </c>
      <c r="O706" s="41">
        <f t="shared" si="164"/>
        <v>1.5</v>
      </c>
      <c r="P706" s="42">
        <f t="shared" si="165"/>
        <v>250</v>
      </c>
      <c r="Q706" s="130"/>
      <c r="R706" s="130"/>
    </row>
    <row r="707" spans="1:18" x14ac:dyDescent="0.2">
      <c r="A707" s="67"/>
      <c r="B707" s="66"/>
      <c r="C707" s="28"/>
      <c r="D707" s="28"/>
      <c r="E707" s="28"/>
      <c r="F707" s="28"/>
      <c r="G707" s="28"/>
      <c r="H707" s="28"/>
      <c r="I707" s="28"/>
      <c r="J707" s="28"/>
      <c r="K707" s="28"/>
      <c r="L707" s="28"/>
      <c r="M707" s="28"/>
      <c r="N707" s="28"/>
      <c r="O707" s="67"/>
      <c r="P707" s="66"/>
      <c r="Q707" s="130"/>
      <c r="R707" s="130"/>
    </row>
    <row r="708" spans="1:18" ht="13.5" thickBot="1" x14ac:dyDescent="0.25">
      <c r="A708" s="121"/>
      <c r="B708" s="121"/>
      <c r="C708" s="28"/>
      <c r="D708" s="28"/>
      <c r="E708" s="28"/>
      <c r="F708" s="28"/>
      <c r="G708" s="28"/>
      <c r="H708" s="28"/>
      <c r="I708" s="28"/>
      <c r="J708" s="28"/>
      <c r="K708" s="28"/>
      <c r="L708" s="28"/>
      <c r="M708" s="28"/>
      <c r="N708" s="28"/>
      <c r="O708" s="305"/>
      <c r="P708" s="305"/>
      <c r="Q708" s="130"/>
      <c r="R708" s="130"/>
    </row>
    <row r="709" spans="1:18" ht="13.5" thickBot="1" x14ac:dyDescent="0.25">
      <c r="A709" s="129" t="s">
        <v>73</v>
      </c>
      <c r="B709" s="119" t="s">
        <v>16</v>
      </c>
      <c r="O709" s="144"/>
      <c r="P709" s="119" t="s">
        <v>16</v>
      </c>
      <c r="Q709" s="130"/>
      <c r="R709" s="130"/>
    </row>
    <row r="710" spans="1:18" ht="13.5" thickBot="1" x14ac:dyDescent="0.25">
      <c r="A710" s="311" t="s">
        <v>97</v>
      </c>
      <c r="B710" s="210">
        <v>30</v>
      </c>
      <c r="O710" s="65"/>
      <c r="P710" s="210">
        <v>60</v>
      </c>
      <c r="Q710" s="130"/>
      <c r="R710" s="130"/>
    </row>
    <row r="711" spans="1:18" ht="13.5" thickBot="1" x14ac:dyDescent="0.25">
      <c r="A711" s="122"/>
      <c r="B711" s="122"/>
      <c r="O711" s="122"/>
      <c r="P711" s="122"/>
      <c r="Q711" s="130"/>
      <c r="R711" s="130"/>
    </row>
    <row r="712" spans="1:18" ht="13.5" thickBot="1" x14ac:dyDescent="0.25">
      <c r="A712" s="118" t="s">
        <v>1</v>
      </c>
      <c r="B712" s="119" t="s">
        <v>14</v>
      </c>
      <c r="O712" s="118" t="s">
        <v>1</v>
      </c>
      <c r="P712" s="119" t="s">
        <v>14</v>
      </c>
      <c r="Q712" s="130"/>
      <c r="R712" s="130"/>
    </row>
    <row r="713" spans="1:18" x14ac:dyDescent="0.2">
      <c r="A713" s="54">
        <v>0</v>
      </c>
      <c r="B713" s="51">
        <v>150</v>
      </c>
      <c r="O713" s="54">
        <v>0</v>
      </c>
      <c r="P713" s="51">
        <v>25</v>
      </c>
      <c r="Q713" s="130"/>
      <c r="R713" s="130"/>
    </row>
    <row r="714" spans="1:18" x14ac:dyDescent="0.2">
      <c r="A714" s="49">
        <v>25</v>
      </c>
      <c r="B714" s="52">
        <v>150</v>
      </c>
      <c r="O714" s="49">
        <v>5</v>
      </c>
      <c r="P714" s="52">
        <v>25</v>
      </c>
    </row>
    <row r="715" spans="1:18" x14ac:dyDescent="0.2">
      <c r="A715" s="49">
        <v>50</v>
      </c>
      <c r="B715" s="52">
        <v>150</v>
      </c>
      <c r="O715" s="49">
        <v>9.3800000000000008</v>
      </c>
      <c r="P715" s="52">
        <v>25</v>
      </c>
    </row>
    <row r="716" spans="1:18" x14ac:dyDescent="0.2">
      <c r="A716" s="49">
        <v>75</v>
      </c>
      <c r="B716" s="52">
        <v>150</v>
      </c>
      <c r="O716" s="49">
        <v>11.81</v>
      </c>
      <c r="P716" s="52">
        <v>25</v>
      </c>
    </row>
    <row r="717" spans="1:18" x14ac:dyDescent="0.2">
      <c r="A717" s="49">
        <v>88</v>
      </c>
      <c r="B717" s="52">
        <v>150</v>
      </c>
      <c r="O717" s="49">
        <v>86.81</v>
      </c>
      <c r="P717" s="52">
        <v>25</v>
      </c>
    </row>
    <row r="718" spans="1:18" x14ac:dyDescent="0.2">
      <c r="A718" s="49">
        <v>94</v>
      </c>
      <c r="B718" s="52">
        <v>150</v>
      </c>
      <c r="O718" s="49">
        <v>89.93</v>
      </c>
      <c r="P718" s="52">
        <v>25</v>
      </c>
    </row>
    <row r="719" spans="1:18" x14ac:dyDescent="0.2">
      <c r="A719" s="49">
        <v>95</v>
      </c>
      <c r="B719" s="52">
        <v>150</v>
      </c>
      <c r="O719" s="49">
        <v>93.06</v>
      </c>
      <c r="P719" s="52">
        <v>25</v>
      </c>
    </row>
    <row r="720" spans="1:18" ht="13.5" thickBot="1" x14ac:dyDescent="0.25">
      <c r="A720" s="50">
        <v>100</v>
      </c>
      <c r="B720" s="53">
        <v>150</v>
      </c>
      <c r="O720" s="50">
        <v>100</v>
      </c>
      <c r="P720" s="53">
        <v>25</v>
      </c>
    </row>
    <row r="721" spans="1:16" ht="13.5" thickBot="1" x14ac:dyDescent="0.25"/>
    <row r="722" spans="1:16" ht="13.5" thickBot="1" x14ac:dyDescent="0.25">
      <c r="A722" s="283" t="s">
        <v>15</v>
      </c>
      <c r="B722" s="25" t="s">
        <v>14</v>
      </c>
      <c r="O722" s="283" t="s">
        <v>15</v>
      </c>
      <c r="P722" s="25" t="s">
        <v>14</v>
      </c>
    </row>
    <row r="723" spans="1:16" x14ac:dyDescent="0.2">
      <c r="A723" s="37">
        <f t="shared" ref="A723:A730" si="166">A713*F$4/100</f>
        <v>0</v>
      </c>
      <c r="B723" s="38">
        <f t="shared" ref="B723:B730" si="167">B713</f>
        <v>150</v>
      </c>
      <c r="O723" s="37">
        <f t="shared" ref="O723:O730" si="168">O713*F$5/100</f>
        <v>0</v>
      </c>
      <c r="P723" s="38">
        <f t="shared" ref="P723:P730" si="169">P713</f>
        <v>25</v>
      </c>
    </row>
    <row r="724" spans="1:16" x14ac:dyDescent="0.2">
      <c r="A724" s="39">
        <f t="shared" si="166"/>
        <v>0.34250000000000003</v>
      </c>
      <c r="B724" s="40">
        <f t="shared" si="167"/>
        <v>150</v>
      </c>
      <c r="O724" s="39">
        <f t="shared" si="168"/>
        <v>7.4999999999999997E-2</v>
      </c>
      <c r="P724" s="40">
        <f t="shared" si="169"/>
        <v>25</v>
      </c>
    </row>
    <row r="725" spans="1:16" x14ac:dyDescent="0.2">
      <c r="A725" s="39">
        <f t="shared" si="166"/>
        <v>0.68500000000000005</v>
      </c>
      <c r="B725" s="40">
        <f t="shared" si="167"/>
        <v>150</v>
      </c>
      <c r="O725" s="39">
        <f t="shared" si="168"/>
        <v>0.14069999999999999</v>
      </c>
      <c r="P725" s="40">
        <f t="shared" si="169"/>
        <v>25</v>
      </c>
    </row>
    <row r="726" spans="1:16" x14ac:dyDescent="0.2">
      <c r="A726" s="39">
        <f t="shared" si="166"/>
        <v>1.0275000000000001</v>
      </c>
      <c r="B726" s="40">
        <f t="shared" si="167"/>
        <v>150</v>
      </c>
      <c r="O726" s="39">
        <f t="shared" si="168"/>
        <v>0.17715</v>
      </c>
      <c r="P726" s="40">
        <f t="shared" si="169"/>
        <v>25</v>
      </c>
    </row>
    <row r="727" spans="1:16" x14ac:dyDescent="0.2">
      <c r="A727" s="39">
        <f t="shared" si="166"/>
        <v>1.2056</v>
      </c>
      <c r="B727" s="40">
        <f t="shared" si="167"/>
        <v>150</v>
      </c>
      <c r="O727" s="39">
        <f t="shared" si="168"/>
        <v>1.3021500000000001</v>
      </c>
      <c r="P727" s="40">
        <f t="shared" si="169"/>
        <v>25</v>
      </c>
    </row>
    <row r="728" spans="1:16" x14ac:dyDescent="0.2">
      <c r="A728" s="39">
        <f t="shared" si="166"/>
        <v>1.2878000000000001</v>
      </c>
      <c r="B728" s="40">
        <f t="shared" si="167"/>
        <v>150</v>
      </c>
      <c r="O728" s="39">
        <f t="shared" si="168"/>
        <v>1.3489500000000001</v>
      </c>
      <c r="P728" s="40">
        <f t="shared" si="169"/>
        <v>25</v>
      </c>
    </row>
    <row r="729" spans="1:16" x14ac:dyDescent="0.2">
      <c r="A729" s="39">
        <f t="shared" si="166"/>
        <v>1.3015000000000001</v>
      </c>
      <c r="B729" s="123">
        <f t="shared" si="167"/>
        <v>150</v>
      </c>
      <c r="O729" s="39">
        <f t="shared" si="168"/>
        <v>1.3959000000000001</v>
      </c>
      <c r="P729" s="123">
        <f t="shared" si="169"/>
        <v>25</v>
      </c>
    </row>
    <row r="730" spans="1:16" ht="13.5" thickBot="1" x14ac:dyDescent="0.25">
      <c r="A730" s="41">
        <f t="shared" si="166"/>
        <v>1.37</v>
      </c>
      <c r="B730" s="42">
        <f t="shared" si="167"/>
        <v>150</v>
      </c>
      <c r="O730" s="41">
        <f t="shared" si="168"/>
        <v>1.5</v>
      </c>
      <c r="P730" s="42">
        <f t="shared" si="169"/>
        <v>25</v>
      </c>
    </row>
    <row r="731" spans="1:16" x14ac:dyDescent="0.2">
      <c r="A731" s="20"/>
      <c r="B731" s="21"/>
      <c r="C731" s="28"/>
      <c r="D731" s="28"/>
      <c r="E731" s="28"/>
      <c r="F731" s="28"/>
      <c r="G731" s="28"/>
      <c r="H731" s="28"/>
      <c r="I731" s="28"/>
      <c r="J731" s="28"/>
      <c r="K731" s="28"/>
      <c r="L731" s="28"/>
      <c r="M731" s="28"/>
      <c r="N731" s="28"/>
      <c r="O731" s="20"/>
      <c r="P731" s="21"/>
    </row>
    <row r="732" spans="1:16" ht="13.5" thickBot="1" x14ac:dyDescent="0.25">
      <c r="A732" s="20"/>
      <c r="B732" s="21"/>
      <c r="C732" s="28"/>
      <c r="D732" s="28"/>
      <c r="E732" s="28"/>
      <c r="F732" s="28"/>
      <c r="G732" s="28"/>
      <c r="H732" s="28"/>
      <c r="I732" s="28"/>
      <c r="J732" s="28"/>
      <c r="K732" s="28"/>
      <c r="L732" s="28"/>
      <c r="M732" s="28"/>
      <c r="N732" s="28"/>
      <c r="O732" s="20"/>
      <c r="P732" s="21"/>
    </row>
    <row r="733" spans="1:16" ht="13.5" thickBot="1" x14ac:dyDescent="0.25">
      <c r="A733" s="129" t="s">
        <v>73</v>
      </c>
      <c r="B733" s="119" t="s">
        <v>16</v>
      </c>
      <c r="O733" s="144"/>
      <c r="P733" s="119" t="s">
        <v>16</v>
      </c>
    </row>
    <row r="734" spans="1:16" ht="13.5" thickBot="1" x14ac:dyDescent="0.25">
      <c r="A734" s="311" t="s">
        <v>98</v>
      </c>
      <c r="B734" s="210">
        <v>30</v>
      </c>
      <c r="O734" s="65"/>
      <c r="P734" s="210">
        <v>60</v>
      </c>
    </row>
    <row r="735" spans="1:16" ht="13.5" thickBot="1" x14ac:dyDescent="0.25">
      <c r="A735" s="122"/>
      <c r="B735" s="122"/>
      <c r="O735" s="122"/>
      <c r="P735" s="122"/>
    </row>
    <row r="736" spans="1:16" ht="13.5" thickBot="1" x14ac:dyDescent="0.25">
      <c r="A736" s="118" t="s">
        <v>1</v>
      </c>
      <c r="B736" s="119" t="s">
        <v>14</v>
      </c>
      <c r="O736" s="118" t="s">
        <v>1</v>
      </c>
      <c r="P736" s="119" t="s">
        <v>14</v>
      </c>
    </row>
    <row r="737" spans="1:16" x14ac:dyDescent="0.2">
      <c r="A737" s="54">
        <v>0</v>
      </c>
      <c r="B737" s="51">
        <v>150</v>
      </c>
      <c r="O737" s="54">
        <v>0</v>
      </c>
      <c r="P737" s="51">
        <v>150</v>
      </c>
    </row>
    <row r="738" spans="1:16" x14ac:dyDescent="0.2">
      <c r="A738" s="49">
        <v>25</v>
      </c>
      <c r="B738" s="52">
        <v>150</v>
      </c>
      <c r="O738" s="49">
        <v>5</v>
      </c>
      <c r="P738" s="52">
        <v>150</v>
      </c>
    </row>
    <row r="739" spans="1:16" x14ac:dyDescent="0.2">
      <c r="A739" s="49">
        <v>50</v>
      </c>
      <c r="B739" s="52">
        <v>150</v>
      </c>
      <c r="O739" s="49">
        <v>9.3800000000000008</v>
      </c>
      <c r="P739" s="52">
        <v>150</v>
      </c>
    </row>
    <row r="740" spans="1:16" x14ac:dyDescent="0.2">
      <c r="A740" s="49">
        <v>75</v>
      </c>
      <c r="B740" s="52">
        <v>150</v>
      </c>
      <c r="O740" s="49">
        <v>11.81</v>
      </c>
      <c r="P740" s="52">
        <v>150</v>
      </c>
    </row>
    <row r="741" spans="1:16" x14ac:dyDescent="0.2">
      <c r="A741" s="49">
        <v>88</v>
      </c>
      <c r="B741" s="52">
        <v>150</v>
      </c>
      <c r="O741" s="49">
        <v>86.81</v>
      </c>
      <c r="P741" s="52">
        <v>150</v>
      </c>
    </row>
    <row r="742" spans="1:16" x14ac:dyDescent="0.2">
      <c r="A742" s="49">
        <v>94</v>
      </c>
      <c r="B742" s="52">
        <v>150</v>
      </c>
      <c r="O742" s="49">
        <v>89.93</v>
      </c>
      <c r="P742" s="52">
        <v>150</v>
      </c>
    </row>
    <row r="743" spans="1:16" x14ac:dyDescent="0.2">
      <c r="A743" s="49">
        <v>95</v>
      </c>
      <c r="B743" s="52">
        <v>150</v>
      </c>
      <c r="O743" s="49">
        <v>93.06</v>
      </c>
      <c r="P743" s="52">
        <v>150</v>
      </c>
    </row>
    <row r="744" spans="1:16" ht="13.5" thickBot="1" x14ac:dyDescent="0.25">
      <c r="A744" s="50">
        <v>100</v>
      </c>
      <c r="B744" s="53">
        <v>150</v>
      </c>
      <c r="O744" s="50">
        <v>100</v>
      </c>
      <c r="P744" s="53">
        <v>150</v>
      </c>
    </row>
    <row r="745" spans="1:16" ht="13.5" thickBot="1" x14ac:dyDescent="0.25"/>
    <row r="746" spans="1:16" ht="13.5" thickBot="1" x14ac:dyDescent="0.25">
      <c r="A746" s="283" t="s">
        <v>15</v>
      </c>
      <c r="B746" s="25" t="s">
        <v>14</v>
      </c>
      <c r="O746" s="283" t="s">
        <v>15</v>
      </c>
      <c r="P746" s="25" t="s">
        <v>14</v>
      </c>
    </row>
    <row r="747" spans="1:16" x14ac:dyDescent="0.2">
      <c r="A747" s="37">
        <f t="shared" ref="A747:A754" si="170">A737*F$4/100</f>
        <v>0</v>
      </c>
      <c r="B747" s="38">
        <f t="shared" ref="B747:B754" si="171">B737</f>
        <v>150</v>
      </c>
      <c r="O747" s="37">
        <f t="shared" ref="O747:O754" si="172">O737*F$5/100</f>
        <v>0</v>
      </c>
      <c r="P747" s="38">
        <f t="shared" ref="P747:P754" si="173">P737</f>
        <v>150</v>
      </c>
    </row>
    <row r="748" spans="1:16" x14ac:dyDescent="0.2">
      <c r="A748" s="39">
        <f t="shared" si="170"/>
        <v>0.34250000000000003</v>
      </c>
      <c r="B748" s="40">
        <f t="shared" si="171"/>
        <v>150</v>
      </c>
      <c r="O748" s="39">
        <f t="shared" si="172"/>
        <v>7.4999999999999997E-2</v>
      </c>
      <c r="P748" s="40">
        <f t="shared" si="173"/>
        <v>150</v>
      </c>
    </row>
    <row r="749" spans="1:16" x14ac:dyDescent="0.2">
      <c r="A749" s="39">
        <f t="shared" si="170"/>
        <v>0.68500000000000005</v>
      </c>
      <c r="B749" s="40">
        <f t="shared" si="171"/>
        <v>150</v>
      </c>
      <c r="O749" s="39">
        <f t="shared" si="172"/>
        <v>0.14069999999999999</v>
      </c>
      <c r="P749" s="40">
        <f t="shared" si="173"/>
        <v>150</v>
      </c>
    </row>
    <row r="750" spans="1:16" x14ac:dyDescent="0.2">
      <c r="A750" s="39">
        <f t="shared" si="170"/>
        <v>1.0275000000000001</v>
      </c>
      <c r="B750" s="40">
        <f t="shared" si="171"/>
        <v>150</v>
      </c>
      <c r="O750" s="39">
        <f t="shared" si="172"/>
        <v>0.17715</v>
      </c>
      <c r="P750" s="40">
        <f t="shared" si="173"/>
        <v>150</v>
      </c>
    </row>
    <row r="751" spans="1:16" x14ac:dyDescent="0.2">
      <c r="A751" s="39">
        <f t="shared" si="170"/>
        <v>1.2056</v>
      </c>
      <c r="B751" s="40">
        <f t="shared" si="171"/>
        <v>150</v>
      </c>
      <c r="O751" s="39">
        <f t="shared" si="172"/>
        <v>1.3021500000000001</v>
      </c>
      <c r="P751" s="40">
        <f t="shared" si="173"/>
        <v>150</v>
      </c>
    </row>
    <row r="752" spans="1:16" x14ac:dyDescent="0.2">
      <c r="A752" s="39">
        <f t="shared" si="170"/>
        <v>1.2878000000000001</v>
      </c>
      <c r="B752" s="40">
        <f t="shared" si="171"/>
        <v>150</v>
      </c>
      <c r="O752" s="39">
        <f t="shared" si="172"/>
        <v>1.3489500000000001</v>
      </c>
      <c r="P752" s="40">
        <f t="shared" si="173"/>
        <v>150</v>
      </c>
    </row>
    <row r="753" spans="1:16" x14ac:dyDescent="0.2">
      <c r="A753" s="39">
        <f t="shared" si="170"/>
        <v>1.3015000000000001</v>
      </c>
      <c r="B753" s="123">
        <f t="shared" si="171"/>
        <v>150</v>
      </c>
      <c r="O753" s="39">
        <f t="shared" si="172"/>
        <v>1.3959000000000001</v>
      </c>
      <c r="P753" s="123">
        <f t="shared" si="173"/>
        <v>150</v>
      </c>
    </row>
    <row r="754" spans="1:16" ht="13.5" thickBot="1" x14ac:dyDescent="0.25">
      <c r="A754" s="41">
        <f t="shared" si="170"/>
        <v>1.37</v>
      </c>
      <c r="B754" s="42">
        <f t="shared" si="171"/>
        <v>150</v>
      </c>
      <c r="O754" s="41">
        <f t="shared" si="172"/>
        <v>1.5</v>
      </c>
      <c r="P754" s="42">
        <f t="shared" si="173"/>
        <v>150</v>
      </c>
    </row>
    <row r="755" spans="1:16" x14ac:dyDescent="0.2">
      <c r="A755" s="20"/>
      <c r="B755" s="21"/>
      <c r="C755" s="28"/>
      <c r="D755" s="28"/>
      <c r="E755" s="28"/>
      <c r="F755" s="28"/>
      <c r="G755" s="28"/>
      <c r="H755" s="28"/>
      <c r="I755" s="28"/>
      <c r="J755" s="28"/>
      <c r="K755" s="28"/>
      <c r="L755" s="28"/>
      <c r="M755" s="28"/>
      <c r="N755" s="28"/>
      <c r="O755" s="20"/>
      <c r="P755" s="21"/>
    </row>
    <row r="762" spans="1:16" x14ac:dyDescent="0.2">
      <c r="P762" s="81"/>
    </row>
  </sheetData>
  <sheetProtection sheet="1" objects="1" scenarios="1" formatCells="0" selectLockedCells="1"/>
  <mergeCells count="51">
    <mergeCell ref="B35:D35"/>
    <mergeCell ref="F35:G35"/>
    <mergeCell ref="B32:D32"/>
    <mergeCell ref="B33:D33"/>
    <mergeCell ref="B30:D30"/>
    <mergeCell ref="B31:D31"/>
    <mergeCell ref="C1:E1"/>
    <mergeCell ref="C2:E2"/>
    <mergeCell ref="B3:D3"/>
    <mergeCell ref="B6:D6"/>
    <mergeCell ref="B4:D4"/>
    <mergeCell ref="B29:D29"/>
    <mergeCell ref="B13:D13"/>
    <mergeCell ref="B14:D14"/>
    <mergeCell ref="B23:D23"/>
    <mergeCell ref="B24:D24"/>
    <mergeCell ref="B15:D15"/>
    <mergeCell ref="B16:D16"/>
    <mergeCell ref="B17:D17"/>
    <mergeCell ref="B18:D18"/>
    <mergeCell ref="B19:D19"/>
    <mergeCell ref="B28:D28"/>
    <mergeCell ref="B20:D20"/>
    <mergeCell ref="B21:D21"/>
    <mergeCell ref="B22:D22"/>
    <mergeCell ref="F3:G3"/>
    <mergeCell ref="B5:D5"/>
    <mergeCell ref="B11:D11"/>
    <mergeCell ref="B38:D38"/>
    <mergeCell ref="B7:D7"/>
    <mergeCell ref="B8:D8"/>
    <mergeCell ref="B9:D9"/>
    <mergeCell ref="B10:D10"/>
    <mergeCell ref="F34:G34"/>
    <mergeCell ref="B25:D25"/>
    <mergeCell ref="B26:D26"/>
    <mergeCell ref="B27:D27"/>
    <mergeCell ref="B36:G36"/>
    <mergeCell ref="B37:G37"/>
    <mergeCell ref="B34:D34"/>
    <mergeCell ref="B12:D12"/>
    <mergeCell ref="F40:G40"/>
    <mergeCell ref="A40:B40"/>
    <mergeCell ref="C43:E43"/>
    <mergeCell ref="F43:H43"/>
    <mergeCell ref="K43:M43"/>
    <mergeCell ref="N43:P43"/>
    <mergeCell ref="K377:N377"/>
    <mergeCell ref="D176:F177"/>
    <mergeCell ref="I176:L177"/>
    <mergeCell ref="A175:D175"/>
  </mergeCells>
  <phoneticPr fontId="0" type="noConversion"/>
  <dataValidations count="17">
    <dataValidation type="whole" showErrorMessage="1" error="Invalid Entry" sqref="P448:P455 B184:B191 P376:P383 P208:P215 P232:P239 P256:P263 P280:P287 P304:P311 P328:P335 P184:P191 B208:B215 B232:B239 B256:B263 B280:B287 B304:B311 B328:B335 B352:B359 P352:P359 B394:B395 P400:P407 P424:P431 P713:P720 B418 P418 B376:B383 B400:B407 B424:B431 B448:B455 B713:B720 B473:B480 P641:P648 P497:P504 P521:P528 P545:P552 P683:P684 P569:P576 P593:P600 P473:P480 B497:B504 B521:B528 B545:B552 P394:P395 B569:B576 B593:B600 P617:P624 B617:B624 B683:B684 P665:P672 P689:P696 P398 B707 P707 B641:B648 B665:B672 B689:B696 P737:P744 B737:B744">
      <formula1>0</formula1>
      <formula2>250</formula2>
    </dataValidation>
    <dataValidation type="decimal" operator="equal" showErrorMessage="1" error="Invalid Entry" sqref="A184 A304 A280 A256 A448 A424 A400 A232 O184 O448 O424 O400 O376 A376 A208 O352 O328 O304 O280 O256 F61 O232 O208 A352 A328 A473 A569 A617 A545 A713 A689 A665 A521 O473 O713 O689 O665 A641 O641 A497 O617 A593 O569 O593 O545 O521 O497 A737 O737">
      <formula1>0</formula1>
    </dataValidation>
    <dataValidation type="decimal" operator="equal" showErrorMessage="1" error="Invalid Entry" sqref="A191 O287 O311 O335 A455 A431 O418 A383 A407 O455 O431 O407 A418 O398 O383 O359 A215 A239 A263 A287 A311 A335 A359 O191 O215 O239 O263 A480 O528 A576 A600 A720 A696 O707 A648 O504 O720 O696 A672 A707 O672 O648 A624 A504 A528 A552 O552 O576 O600 O624 O480 A744 O744">
      <formula1>100</formula1>
    </dataValidation>
    <dataValidation type="decimal" showErrorMessage="1" error="Invalid Entry" sqref="A185:A190 A257:A262 A281:A286 A305:A310 A449:A454 A425:A430 A401:A406 O353:O358 A377:A382 O449:O454 O425:O430 O401:O406 A394:A395 O394:O397 O377:O382 A353:A358 A329:A334 O209:O214 O233:O238 O257:O262 O281:O286 O305:O310 O329:O334 O185:O190 A209:A214 A233:A238 A474:A479 A546:A551 A498:A503 A570:A575 A714:A719 A690:A695 A666:A671 A618:A623 A642:A647 O714:O719 O690:O695 O683:O684 A683:A684 O666:O671 O642:O647 O618:O623 A594:A599 O498:O503 O522:O527 O546:O551 A522:A527 O570:O575 O594:O599 O474:O479 A738:A743 O738:O743">
      <formula1>0</formula1>
      <formula2>100</formula2>
    </dataValidation>
    <dataValidation type="decimal" showErrorMessage="1" error="Invalid Entry" sqref="F4:F5">
      <formula1>0.01</formula1>
      <formula2>10</formula2>
    </dataValidation>
    <dataValidation operator="equal" error="Invalid Entry" sqref="F46:F60 K46:K141 C46:C173 F62:F173 D142:D149 N46:N141"/>
    <dataValidation error="Invalid Entry" sqref="H166 D150:D173 P94 P110 P118 P126 P134 H142 H150 H158 D46:D141 G46:G173 P102 L46:L141 P54 P62 P70 P78 P86 O46:O141"/>
    <dataValidation type="list" showErrorMessage="1" error="Invalid Entry" sqref="L378:L385">
      <formula1>"0, 1, 2, 3, 4, 5, 6, 7, S0, S1, S2, S3, S4, S5, S6"</formula1>
    </dataValidation>
    <dataValidation type="decimal" showErrorMessage="1" error="Invalid Entry" sqref="O325 O349 O229 O253 O277 O301 O590 O614 O518 O542 O566 O638 O662 O686 O710 O734">
      <formula1>0.1</formula1>
      <formula2>20</formula2>
    </dataValidation>
    <dataValidation type="decimal" showErrorMessage="1" error="Invalid Entry" sqref="O205 O494">
      <formula1>0.1</formula1>
      <formula2>200</formula2>
    </dataValidation>
    <dataValidation type="whole" showErrorMessage="1" error="Invalid Entry" sqref="F22:F29">
      <formula1>0</formula1>
      <formula2>4</formula2>
    </dataValidation>
    <dataValidation type="whole" showErrorMessage="1" error="Invalid Entry" sqref="O181 O470">
      <formula1>30</formula1>
      <formula2>60</formula2>
    </dataValidation>
    <dataValidation type="list" showErrorMessage="1" error="Invalid Entry" sqref="B710 B181 B205 B229 B253 B277 B301 B325 B349 B373 B397 B421 B445 B470 B518 B542 B662 B566 B590 B614 B638 P662 B686 P710 P181 P205 P229 P253 P277 P301 P325 P349 P373 P397 P421 P445 P470 P494 P518 P542 P686 P566 P590 P614 P638 B734 P734">
      <formula1>"30, 50, 60"</formula1>
    </dataValidation>
    <dataValidation type="list" showInputMessage="1" showErrorMessage="1" error="Invalid Entry" sqref="B494">
      <formula1>"30, 50, 60"</formula1>
    </dataValidation>
    <dataValidation type="whole" showErrorMessage="1" error="Invalid Entry" sqref="F6:F21">
      <formula1>0</formula1>
      <formula2>8</formula2>
    </dataValidation>
    <dataValidation type="whole" showErrorMessage="1" error="Invalid Entry" sqref="F30:F31">
      <formula1>0</formula1>
      <formula2>255</formula2>
    </dataValidation>
    <dataValidation type="list" showErrorMessage="1" error="Invalid Entry" sqref="F32:F33">
      <formula1>"0, 1"</formula1>
    </dataValidation>
  </dataValidations>
  <pageMargins left="0.75" right="0.75" top="1" bottom="1" header="0.5" footer="0.5"/>
  <pageSetup scale="6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68" r:id="rId4" name="Button 20">
              <controlPr defaultSize="0" print="0" autoFill="0" autoPict="0" macro="[0]!ValidateWalk_Click">
                <anchor moveWithCells="1" sizeWithCells="1">
                  <from>
                    <xdr:col>2</xdr:col>
                    <xdr:colOff>1028700</xdr:colOff>
                    <xdr:row>37</xdr:row>
                    <xdr:rowOff>152400</xdr:rowOff>
                  </from>
                  <to>
                    <xdr:col>3</xdr:col>
                    <xdr:colOff>1304925</xdr:colOff>
                    <xdr:row>41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P756"/>
  <sheetViews>
    <sheetView zoomScale="80" zoomScaleNormal="80" workbookViewId="0">
      <selection activeCell="N46" sqref="N46"/>
    </sheetView>
  </sheetViews>
  <sheetFormatPr defaultRowHeight="12.75" x14ac:dyDescent="0.2"/>
  <cols>
    <col min="1" max="1" width="11" style="81" customWidth="1"/>
    <col min="2" max="2" width="13.28515625" style="81" customWidth="1"/>
    <col min="3" max="3" width="18.85546875" style="81" customWidth="1"/>
    <col min="4" max="4" width="19.7109375" style="81" customWidth="1"/>
    <col min="5" max="5" width="15.7109375" style="81" customWidth="1"/>
    <col min="6" max="6" width="17.85546875" style="81" customWidth="1"/>
    <col min="7" max="7" width="45.140625" style="81" customWidth="1"/>
    <col min="8" max="8" width="9.140625" style="81"/>
    <col min="9" max="9" width="11" style="81" customWidth="1"/>
    <col min="10" max="10" width="17.42578125" style="81" customWidth="1"/>
    <col min="11" max="11" width="13.28515625" style="81" customWidth="1"/>
    <col min="12" max="12" width="17.42578125" style="81" customWidth="1"/>
    <col min="13" max="13" width="17.7109375" style="81" customWidth="1"/>
    <col min="14" max="14" width="9.5703125" style="81" customWidth="1"/>
    <col min="15" max="16384" width="9.140625" style="81"/>
  </cols>
  <sheetData>
    <row r="1" spans="2:14" x14ac:dyDescent="0.2">
      <c r="B1" s="88"/>
      <c r="C1" s="417" t="s">
        <v>42</v>
      </c>
      <c r="D1" s="417"/>
      <c r="E1" s="417"/>
      <c r="F1" s="32"/>
      <c r="G1" s="88"/>
      <c r="I1" s="82"/>
      <c r="J1" s="82"/>
      <c r="K1" s="82"/>
      <c r="L1" s="82"/>
      <c r="M1" s="82"/>
      <c r="N1" s="84"/>
    </row>
    <row r="2" spans="2:14" ht="13.5" thickBot="1" x14ac:dyDescent="0.25">
      <c r="B2" s="89"/>
      <c r="C2" s="411" t="s">
        <v>17</v>
      </c>
      <c r="D2" s="411"/>
      <c r="E2" s="411"/>
      <c r="F2" s="89"/>
      <c r="G2" s="89"/>
      <c r="I2" s="82"/>
      <c r="J2" s="82"/>
      <c r="K2" s="82"/>
      <c r="L2" s="82"/>
      <c r="M2" s="82"/>
      <c r="N2" s="84"/>
    </row>
    <row r="3" spans="2:14" ht="13.5" thickBot="1" x14ac:dyDescent="0.25">
      <c r="B3" s="413" t="s">
        <v>5</v>
      </c>
      <c r="C3" s="414"/>
      <c r="D3" s="414"/>
      <c r="E3" s="90" t="s">
        <v>6</v>
      </c>
      <c r="F3" s="409" t="s">
        <v>7</v>
      </c>
      <c r="G3" s="410"/>
      <c r="I3" s="82"/>
      <c r="J3" s="82"/>
      <c r="K3" s="82"/>
      <c r="L3" s="82"/>
      <c r="M3" s="82"/>
      <c r="N3" s="84"/>
    </row>
    <row r="4" spans="2:14" ht="13.5" thickBot="1" x14ac:dyDescent="0.25">
      <c r="B4" s="415" t="s">
        <v>18</v>
      </c>
      <c r="C4" s="416"/>
      <c r="D4" s="416"/>
      <c r="E4" s="115" t="s">
        <v>12</v>
      </c>
      <c r="F4" s="57">
        <v>2</v>
      </c>
      <c r="G4" s="143"/>
      <c r="I4" s="82"/>
      <c r="J4" s="82"/>
      <c r="K4" s="82"/>
      <c r="L4" s="82"/>
      <c r="M4" s="82"/>
      <c r="N4" s="84"/>
    </row>
    <row r="5" spans="2:14" x14ac:dyDescent="0.2">
      <c r="B5" s="380" t="s">
        <v>39</v>
      </c>
      <c r="C5" s="384"/>
      <c r="D5" s="384"/>
      <c r="E5" s="352" t="s">
        <v>60</v>
      </c>
      <c r="F5" s="405" t="s">
        <v>115</v>
      </c>
      <c r="G5" s="406"/>
      <c r="I5" s="82"/>
      <c r="J5" s="82"/>
      <c r="K5" s="82"/>
      <c r="L5" s="82"/>
      <c r="M5" s="82"/>
      <c r="N5" s="84"/>
    </row>
    <row r="6" spans="2:14" x14ac:dyDescent="0.2">
      <c r="B6" s="374" t="s">
        <v>40</v>
      </c>
      <c r="C6" s="375"/>
      <c r="D6" s="375"/>
      <c r="E6" s="256" t="s">
        <v>62</v>
      </c>
      <c r="F6" s="393" t="s">
        <v>116</v>
      </c>
      <c r="G6" s="394"/>
      <c r="I6" s="82"/>
      <c r="J6" s="82"/>
      <c r="K6" s="82"/>
      <c r="L6" s="82"/>
      <c r="M6" s="82"/>
      <c r="N6" s="84"/>
    </row>
    <row r="7" spans="2:14" x14ac:dyDescent="0.2">
      <c r="B7" s="374" t="s">
        <v>41</v>
      </c>
      <c r="C7" s="375"/>
      <c r="D7" s="375"/>
      <c r="E7" s="256" t="s">
        <v>62</v>
      </c>
      <c r="F7" s="393" t="s">
        <v>117</v>
      </c>
      <c r="G7" s="394"/>
      <c r="I7" s="82"/>
      <c r="J7" s="82"/>
      <c r="K7" s="82"/>
      <c r="L7" s="82"/>
      <c r="M7" s="82"/>
      <c r="N7" s="84"/>
    </row>
    <row r="8" spans="2:14" x14ac:dyDescent="0.2">
      <c r="B8" s="374" t="s">
        <v>43</v>
      </c>
      <c r="C8" s="375"/>
      <c r="D8" s="375"/>
      <c r="E8" s="256" t="s">
        <v>62</v>
      </c>
      <c r="F8" s="393" t="s">
        <v>118</v>
      </c>
      <c r="G8" s="394"/>
      <c r="I8" s="82"/>
      <c r="J8" s="82"/>
      <c r="K8" s="82"/>
      <c r="L8" s="82"/>
      <c r="M8" s="82"/>
      <c r="N8" s="84"/>
    </row>
    <row r="9" spans="2:14" x14ac:dyDescent="0.2">
      <c r="B9" s="374" t="s">
        <v>44</v>
      </c>
      <c r="C9" s="375"/>
      <c r="D9" s="375"/>
      <c r="E9" s="256" t="s">
        <v>62</v>
      </c>
      <c r="F9" s="393" t="s">
        <v>119</v>
      </c>
      <c r="G9" s="394"/>
      <c r="I9" s="82"/>
      <c r="J9" s="82"/>
      <c r="K9" s="82"/>
      <c r="L9" s="82"/>
      <c r="M9" s="82"/>
      <c r="N9" s="84"/>
    </row>
    <row r="10" spans="2:14" x14ac:dyDescent="0.2">
      <c r="B10" s="374" t="s">
        <v>45</v>
      </c>
      <c r="C10" s="375"/>
      <c r="D10" s="375"/>
      <c r="E10" s="256" t="s">
        <v>62</v>
      </c>
      <c r="F10" s="393" t="s">
        <v>120</v>
      </c>
      <c r="G10" s="394"/>
      <c r="I10" s="82"/>
      <c r="J10" s="82"/>
      <c r="K10" s="82"/>
      <c r="L10" s="82"/>
      <c r="M10" s="82"/>
      <c r="N10" s="84"/>
    </row>
    <row r="11" spans="2:14" x14ac:dyDescent="0.2">
      <c r="B11" s="374" t="s">
        <v>46</v>
      </c>
      <c r="C11" s="375"/>
      <c r="D11" s="375"/>
      <c r="E11" s="256" t="s">
        <v>62</v>
      </c>
      <c r="F11" s="393" t="s">
        <v>121</v>
      </c>
      <c r="G11" s="394"/>
      <c r="I11" s="82"/>
      <c r="J11" s="82"/>
      <c r="K11" s="82"/>
      <c r="L11" s="82"/>
      <c r="M11" s="82"/>
      <c r="N11" s="84"/>
    </row>
    <row r="12" spans="2:14" x14ac:dyDescent="0.2">
      <c r="B12" s="374" t="s">
        <v>47</v>
      </c>
      <c r="C12" s="375"/>
      <c r="D12" s="375"/>
      <c r="E12" s="256" t="s">
        <v>62</v>
      </c>
      <c r="F12" s="393" t="s">
        <v>122</v>
      </c>
      <c r="G12" s="394"/>
      <c r="I12" s="82"/>
      <c r="J12" s="82"/>
      <c r="K12" s="82"/>
      <c r="L12" s="82"/>
      <c r="M12" s="82"/>
      <c r="N12" s="84"/>
    </row>
    <row r="13" spans="2:14" x14ac:dyDescent="0.2">
      <c r="B13" s="374" t="s">
        <v>48</v>
      </c>
      <c r="C13" s="375"/>
      <c r="D13" s="375"/>
      <c r="E13" s="256" t="s">
        <v>62</v>
      </c>
      <c r="F13" s="393" t="s">
        <v>123</v>
      </c>
      <c r="G13" s="394"/>
      <c r="I13" s="82"/>
      <c r="J13" s="82"/>
      <c r="K13" s="82"/>
      <c r="L13" s="82"/>
      <c r="M13" s="82"/>
      <c r="N13" s="84"/>
    </row>
    <row r="14" spans="2:14" x14ac:dyDescent="0.2">
      <c r="B14" s="374" t="s">
        <v>49</v>
      </c>
      <c r="C14" s="375"/>
      <c r="D14" s="375"/>
      <c r="E14" s="256" t="s">
        <v>62</v>
      </c>
      <c r="F14" s="393" t="s">
        <v>124</v>
      </c>
      <c r="G14" s="394"/>
      <c r="I14" s="82"/>
      <c r="J14" s="82"/>
      <c r="K14" s="82"/>
      <c r="L14" s="82"/>
      <c r="M14" s="82"/>
      <c r="N14" s="84"/>
    </row>
    <row r="15" spans="2:14" x14ac:dyDescent="0.2">
      <c r="B15" s="374" t="s">
        <v>50</v>
      </c>
      <c r="C15" s="375"/>
      <c r="D15" s="375"/>
      <c r="E15" s="256" t="s">
        <v>62</v>
      </c>
      <c r="F15" s="393" t="s">
        <v>130</v>
      </c>
      <c r="G15" s="394"/>
      <c r="I15" s="82"/>
      <c r="J15" s="82"/>
      <c r="K15" s="82"/>
      <c r="L15" s="82"/>
      <c r="M15" s="82"/>
      <c r="N15" s="84"/>
    </row>
    <row r="16" spans="2:14" x14ac:dyDescent="0.2">
      <c r="B16" s="374" t="s">
        <v>51</v>
      </c>
      <c r="C16" s="375"/>
      <c r="D16" s="375"/>
      <c r="E16" s="256" t="s">
        <v>62</v>
      </c>
      <c r="F16" s="393" t="s">
        <v>125</v>
      </c>
      <c r="G16" s="394"/>
      <c r="I16" s="82"/>
      <c r="J16" s="82"/>
      <c r="K16" s="82"/>
      <c r="L16" s="82"/>
      <c r="M16" s="82"/>
      <c r="N16" s="84"/>
    </row>
    <row r="17" spans="1:16" x14ac:dyDescent="0.2">
      <c r="B17" s="374" t="s">
        <v>52</v>
      </c>
      <c r="C17" s="375"/>
      <c r="D17" s="375"/>
      <c r="E17" s="256" t="s">
        <v>62</v>
      </c>
      <c r="F17" s="418" t="s">
        <v>126</v>
      </c>
      <c r="G17" s="419"/>
      <c r="I17" s="82"/>
      <c r="J17" s="82"/>
      <c r="K17" s="82"/>
      <c r="L17" s="82"/>
      <c r="M17" s="82"/>
      <c r="N17" s="84"/>
    </row>
    <row r="18" spans="1:16" x14ac:dyDescent="0.2">
      <c r="B18" s="374" t="s">
        <v>53</v>
      </c>
      <c r="C18" s="375"/>
      <c r="D18" s="375"/>
      <c r="E18" s="256" t="s">
        <v>62</v>
      </c>
      <c r="F18" s="393" t="s">
        <v>127</v>
      </c>
      <c r="G18" s="394"/>
      <c r="H18" s="88"/>
      <c r="I18" s="91"/>
      <c r="J18" s="91"/>
      <c r="K18" s="91"/>
      <c r="L18" s="91"/>
      <c r="M18" s="91"/>
      <c r="N18" s="92"/>
      <c r="O18" s="88"/>
      <c r="P18" s="88"/>
    </row>
    <row r="19" spans="1:16" x14ac:dyDescent="0.2">
      <c r="B19" s="374" t="s">
        <v>54</v>
      </c>
      <c r="C19" s="375"/>
      <c r="D19" s="375"/>
      <c r="E19" s="256" t="s">
        <v>62</v>
      </c>
      <c r="F19" s="393" t="s">
        <v>128</v>
      </c>
      <c r="G19" s="394"/>
      <c r="H19" s="88"/>
      <c r="I19" s="91"/>
      <c r="J19" s="91"/>
      <c r="K19" s="91"/>
      <c r="L19" s="91"/>
      <c r="M19" s="91"/>
      <c r="N19" s="92"/>
      <c r="O19" s="88"/>
      <c r="P19" s="88"/>
    </row>
    <row r="20" spans="1:16" ht="13.5" thickBot="1" x14ac:dyDescent="0.25">
      <c r="A20" s="89"/>
      <c r="B20" s="382" t="s">
        <v>55</v>
      </c>
      <c r="C20" s="383"/>
      <c r="D20" s="383"/>
      <c r="E20" s="353" t="s">
        <v>62</v>
      </c>
      <c r="F20" s="420" t="s">
        <v>129</v>
      </c>
      <c r="G20" s="421"/>
      <c r="H20" s="114"/>
      <c r="I20" s="82"/>
      <c r="J20" s="82"/>
      <c r="K20" s="93"/>
      <c r="L20" s="93"/>
      <c r="M20" s="93"/>
      <c r="N20" s="92"/>
      <c r="O20" s="88"/>
      <c r="P20" s="88"/>
    </row>
    <row r="21" spans="1:16" x14ac:dyDescent="0.2">
      <c r="A21" s="114"/>
      <c r="B21" s="380" t="s">
        <v>56</v>
      </c>
      <c r="C21" s="384"/>
      <c r="D21" s="384"/>
      <c r="E21" s="290" t="s">
        <v>61</v>
      </c>
      <c r="F21" s="418" t="s">
        <v>131</v>
      </c>
      <c r="G21" s="419"/>
      <c r="H21" s="114"/>
      <c r="I21" s="82"/>
      <c r="J21" s="82"/>
      <c r="K21" s="93"/>
      <c r="L21" s="93"/>
      <c r="M21" s="93"/>
      <c r="N21" s="92"/>
      <c r="O21" s="88"/>
      <c r="P21" s="88"/>
    </row>
    <row r="22" spans="1:16" x14ac:dyDescent="0.2">
      <c r="A22" s="94"/>
      <c r="B22" s="374" t="s">
        <v>57</v>
      </c>
      <c r="C22" s="375"/>
      <c r="D22" s="375"/>
      <c r="E22" s="31" t="s">
        <v>63</v>
      </c>
      <c r="F22" s="393" t="s">
        <v>132</v>
      </c>
      <c r="G22" s="394"/>
      <c r="H22" s="114"/>
      <c r="I22" s="82"/>
      <c r="J22" s="82"/>
      <c r="K22" s="93"/>
      <c r="L22" s="93"/>
      <c r="M22" s="93"/>
      <c r="N22" s="92"/>
      <c r="O22" s="88"/>
      <c r="P22" s="88"/>
    </row>
    <row r="23" spans="1:16" x14ac:dyDescent="0.2">
      <c r="A23" s="94"/>
      <c r="B23" s="374" t="s">
        <v>64</v>
      </c>
      <c r="C23" s="375"/>
      <c r="D23" s="375"/>
      <c r="E23" s="31" t="s">
        <v>63</v>
      </c>
      <c r="F23" s="393" t="s">
        <v>133</v>
      </c>
      <c r="G23" s="394"/>
      <c r="H23" s="114"/>
      <c r="I23" s="82"/>
      <c r="J23" s="82"/>
      <c r="K23" s="93"/>
      <c r="L23" s="93"/>
      <c r="M23" s="93"/>
      <c r="N23" s="92"/>
      <c r="O23" s="88"/>
      <c r="P23" s="88"/>
    </row>
    <row r="24" spans="1:16" x14ac:dyDescent="0.2">
      <c r="A24" s="95"/>
      <c r="B24" s="374" t="s">
        <v>65</v>
      </c>
      <c r="C24" s="375"/>
      <c r="D24" s="375"/>
      <c r="E24" s="31" t="s">
        <v>63</v>
      </c>
      <c r="F24" s="393" t="s">
        <v>134</v>
      </c>
      <c r="G24" s="394"/>
      <c r="H24" s="89"/>
      <c r="I24" s="82"/>
      <c r="J24" s="82"/>
      <c r="K24" s="93"/>
      <c r="L24" s="93"/>
      <c r="M24" s="93"/>
      <c r="N24" s="92"/>
      <c r="O24" s="88"/>
      <c r="P24" s="88"/>
    </row>
    <row r="25" spans="1:16" x14ac:dyDescent="0.2">
      <c r="A25" s="95"/>
      <c r="B25" s="374" t="s">
        <v>66</v>
      </c>
      <c r="C25" s="375"/>
      <c r="D25" s="375"/>
      <c r="E25" s="31" t="s">
        <v>63</v>
      </c>
      <c r="F25" s="393" t="s">
        <v>135</v>
      </c>
      <c r="G25" s="394"/>
      <c r="H25" s="89"/>
      <c r="I25" s="82"/>
      <c r="J25" s="82"/>
      <c r="K25" s="93"/>
      <c r="L25" s="93"/>
      <c r="M25" s="93"/>
      <c r="N25" s="92"/>
      <c r="O25" s="88"/>
      <c r="P25" s="88"/>
    </row>
    <row r="26" spans="1:16" x14ac:dyDescent="0.2">
      <c r="A26" s="95"/>
      <c r="B26" s="374" t="s">
        <v>67</v>
      </c>
      <c r="C26" s="375"/>
      <c r="D26" s="375"/>
      <c r="E26" s="31" t="s">
        <v>63</v>
      </c>
      <c r="F26" s="393" t="s">
        <v>136</v>
      </c>
      <c r="G26" s="394"/>
      <c r="H26" s="89"/>
      <c r="I26" s="82"/>
      <c r="J26" s="82"/>
      <c r="K26" s="93"/>
      <c r="L26" s="93"/>
      <c r="M26" s="93"/>
      <c r="N26" s="92"/>
      <c r="O26" s="88"/>
      <c r="P26" s="88"/>
    </row>
    <row r="27" spans="1:16" x14ac:dyDescent="0.2">
      <c r="A27" s="94"/>
      <c r="B27" s="374" t="s">
        <v>68</v>
      </c>
      <c r="C27" s="375"/>
      <c r="D27" s="375"/>
      <c r="E27" s="31" t="s">
        <v>63</v>
      </c>
      <c r="F27" s="393" t="s">
        <v>137</v>
      </c>
      <c r="G27" s="394"/>
      <c r="H27" s="89"/>
      <c r="I27" s="82"/>
      <c r="J27" s="82"/>
      <c r="K27" s="93"/>
      <c r="L27" s="93"/>
      <c r="M27" s="93"/>
      <c r="N27" s="92"/>
      <c r="O27" s="88"/>
      <c r="P27" s="88"/>
    </row>
    <row r="28" spans="1:16" ht="13.5" thickBot="1" x14ac:dyDescent="0.25">
      <c r="A28" s="94"/>
      <c r="B28" s="396" t="s">
        <v>69</v>
      </c>
      <c r="C28" s="376"/>
      <c r="D28" s="376"/>
      <c r="E28" s="206" t="s">
        <v>63</v>
      </c>
      <c r="F28" s="428" t="s">
        <v>138</v>
      </c>
      <c r="G28" s="429"/>
      <c r="H28" s="89"/>
      <c r="I28" s="82"/>
      <c r="J28" s="82"/>
      <c r="K28" s="93"/>
      <c r="L28" s="93"/>
      <c r="M28" s="93"/>
      <c r="N28" s="92"/>
      <c r="O28" s="88"/>
      <c r="P28" s="88"/>
    </row>
    <row r="29" spans="1:16" x14ac:dyDescent="0.2">
      <c r="A29" s="94"/>
      <c r="B29" s="380" t="s">
        <v>70</v>
      </c>
      <c r="C29" s="381"/>
      <c r="D29" s="391"/>
      <c r="E29" s="290" t="s">
        <v>71</v>
      </c>
      <c r="F29" s="405" t="s">
        <v>139</v>
      </c>
      <c r="G29" s="406"/>
      <c r="H29" s="89"/>
      <c r="I29" s="82"/>
      <c r="J29" s="82"/>
      <c r="K29" s="93"/>
      <c r="L29" s="93"/>
      <c r="M29" s="93"/>
      <c r="N29" s="92"/>
      <c r="O29" s="88"/>
      <c r="P29" s="88"/>
    </row>
    <row r="30" spans="1:16" ht="13.5" thickBot="1" x14ac:dyDescent="0.25">
      <c r="A30" s="94"/>
      <c r="B30" s="372" t="s">
        <v>72</v>
      </c>
      <c r="C30" s="373"/>
      <c r="D30" s="392"/>
      <c r="E30" s="293" t="s">
        <v>71</v>
      </c>
      <c r="F30" s="403" t="s">
        <v>140</v>
      </c>
      <c r="G30" s="404"/>
      <c r="H30" s="350"/>
      <c r="I30" s="82"/>
      <c r="J30" s="82"/>
      <c r="K30" s="93"/>
      <c r="L30" s="93"/>
      <c r="M30" s="93"/>
      <c r="N30" s="92"/>
      <c r="O30" s="88"/>
      <c r="P30" s="88"/>
    </row>
    <row r="31" spans="1:16" x14ac:dyDescent="0.2">
      <c r="A31" s="94"/>
      <c r="B31" s="374" t="s">
        <v>111</v>
      </c>
      <c r="C31" s="398"/>
      <c r="D31" s="399"/>
      <c r="E31" s="31" t="s">
        <v>113</v>
      </c>
      <c r="F31" s="405" t="s">
        <v>141</v>
      </c>
      <c r="G31" s="406"/>
      <c r="H31" s="350"/>
      <c r="I31" s="82"/>
      <c r="J31" s="82"/>
      <c r="K31" s="93"/>
      <c r="L31" s="93"/>
      <c r="M31" s="93"/>
      <c r="N31" s="92"/>
      <c r="O31" s="88"/>
      <c r="P31" s="88"/>
    </row>
    <row r="32" spans="1:16" ht="13.5" thickBot="1" x14ac:dyDescent="0.25">
      <c r="A32" s="94"/>
      <c r="B32" s="400" t="s">
        <v>112</v>
      </c>
      <c r="C32" s="401"/>
      <c r="D32" s="402"/>
      <c r="E32" s="206" t="s">
        <v>113</v>
      </c>
      <c r="F32" s="407" t="s">
        <v>142</v>
      </c>
      <c r="G32" s="408"/>
      <c r="H32" s="350"/>
      <c r="I32" s="82"/>
      <c r="J32" s="82"/>
      <c r="K32" s="93"/>
      <c r="L32" s="93"/>
      <c r="M32" s="93"/>
      <c r="N32" s="92"/>
      <c r="O32" s="88"/>
      <c r="P32" s="88"/>
    </row>
    <row r="33" spans="1:16" x14ac:dyDescent="0.2">
      <c r="A33" s="94"/>
      <c r="B33" s="380" t="s">
        <v>107</v>
      </c>
      <c r="C33" s="381"/>
      <c r="D33" s="381"/>
      <c r="E33" s="290" t="s">
        <v>10</v>
      </c>
      <c r="F33" s="377" t="s">
        <v>110</v>
      </c>
      <c r="G33" s="378"/>
      <c r="H33" s="350"/>
      <c r="I33" s="82"/>
      <c r="J33" s="82"/>
      <c r="K33" s="93"/>
      <c r="L33" s="93"/>
      <c r="M33" s="93"/>
      <c r="N33" s="92"/>
      <c r="O33" s="88"/>
      <c r="P33" s="88"/>
    </row>
    <row r="34" spans="1:16" ht="13.5" thickBot="1" x14ac:dyDescent="0.25">
      <c r="A34" s="94"/>
      <c r="B34" s="382" t="s">
        <v>108</v>
      </c>
      <c r="C34" s="388"/>
      <c r="D34" s="388"/>
      <c r="E34" s="293" t="s">
        <v>10</v>
      </c>
      <c r="F34" s="389" t="s">
        <v>109</v>
      </c>
      <c r="G34" s="390"/>
      <c r="H34" s="114"/>
      <c r="I34" s="82"/>
      <c r="J34" s="82"/>
      <c r="K34" s="93"/>
      <c r="L34" s="93"/>
      <c r="M34" s="93"/>
      <c r="N34" s="92"/>
      <c r="O34" s="88"/>
      <c r="P34" s="88"/>
    </row>
    <row r="35" spans="1:16" x14ac:dyDescent="0.2">
      <c r="A35" s="94"/>
      <c r="B35" s="379" t="s">
        <v>58</v>
      </c>
      <c r="C35" s="379"/>
      <c r="D35" s="379"/>
      <c r="E35" s="379"/>
      <c r="F35" s="423"/>
      <c r="G35" s="379"/>
      <c r="H35" s="114"/>
      <c r="I35" s="82"/>
      <c r="J35" s="82"/>
      <c r="K35" s="93"/>
      <c r="L35" s="93"/>
      <c r="M35" s="93"/>
      <c r="N35" s="92"/>
      <c r="O35" s="88"/>
      <c r="P35" s="88"/>
    </row>
    <row r="36" spans="1:16" x14ac:dyDescent="0.2">
      <c r="A36" s="94"/>
      <c r="B36" s="379" t="s">
        <v>59</v>
      </c>
      <c r="C36" s="379"/>
      <c r="D36" s="379"/>
      <c r="E36" s="379"/>
      <c r="F36" s="423"/>
      <c r="G36" s="379"/>
      <c r="H36" s="114"/>
      <c r="I36" s="82"/>
      <c r="J36" s="82"/>
      <c r="K36" s="93"/>
      <c r="L36" s="93"/>
      <c r="M36" s="93"/>
      <c r="N36" s="92"/>
      <c r="O36" s="88"/>
      <c r="P36" s="88"/>
    </row>
    <row r="37" spans="1:16" x14ac:dyDescent="0.2">
      <c r="A37" s="94"/>
      <c r="B37" s="96"/>
      <c r="C37" s="96"/>
      <c r="D37" s="96"/>
      <c r="E37" s="96"/>
      <c r="F37" s="142"/>
      <c r="G37" s="89"/>
      <c r="H37" s="89"/>
      <c r="I37" s="82"/>
      <c r="J37" s="82"/>
      <c r="K37" s="93"/>
      <c r="L37" s="93"/>
      <c r="M37" s="93"/>
      <c r="N37" s="92"/>
      <c r="O37" s="88"/>
      <c r="P37" s="88"/>
    </row>
    <row r="38" spans="1:16" x14ac:dyDescent="0.2">
      <c r="A38" s="89"/>
      <c r="B38" s="89"/>
      <c r="C38" s="89"/>
      <c r="D38" s="89"/>
      <c r="E38" s="97"/>
      <c r="F38" s="142"/>
      <c r="G38" s="89"/>
      <c r="H38" s="89"/>
      <c r="I38" s="93"/>
      <c r="J38" s="93"/>
      <c r="K38" s="93"/>
      <c r="L38" s="93"/>
      <c r="M38" s="93"/>
      <c r="N38" s="92"/>
      <c r="O38" s="88"/>
      <c r="P38" s="88"/>
    </row>
    <row r="39" spans="1:16" ht="18" x14ac:dyDescent="0.25">
      <c r="A39" s="412"/>
      <c r="B39" s="412"/>
      <c r="C39" s="98"/>
      <c r="D39" s="99"/>
      <c r="E39" s="100"/>
      <c r="F39" s="364" t="s">
        <v>114</v>
      </c>
      <c r="G39" s="395"/>
      <c r="I39" s="82"/>
      <c r="J39" s="82"/>
      <c r="K39" s="101"/>
      <c r="L39" s="83"/>
      <c r="M39" s="83"/>
      <c r="N39" s="102"/>
    </row>
    <row r="40" spans="1:16" x14ac:dyDescent="0.2">
      <c r="A40" s="103"/>
      <c r="B40" s="94"/>
      <c r="C40" s="95"/>
      <c r="D40" s="104"/>
      <c r="E40" s="105"/>
      <c r="F40" s="104"/>
      <c r="G40" s="94"/>
      <c r="I40" s="82"/>
      <c r="J40" s="82"/>
      <c r="K40" s="106"/>
      <c r="L40" s="426"/>
      <c r="M40" s="425"/>
      <c r="N40" s="92"/>
      <c r="O40" s="88"/>
      <c r="P40" s="88"/>
    </row>
    <row r="41" spans="1:16" x14ac:dyDescent="0.2">
      <c r="A41" s="107"/>
      <c r="B41" s="95"/>
      <c r="C41" s="95"/>
      <c r="E41" s="95"/>
      <c r="F41" s="108"/>
      <c r="G41" s="108"/>
      <c r="I41" s="82"/>
      <c r="J41" s="82"/>
      <c r="K41" s="101"/>
      <c r="L41" s="427"/>
      <c r="M41" s="427"/>
      <c r="N41" s="84"/>
    </row>
    <row r="42" spans="1:16" ht="13.5" thickBot="1" x14ac:dyDescent="0.25">
      <c r="A42" s="139"/>
      <c r="B42" s="95"/>
      <c r="C42" s="94"/>
      <c r="D42" s="94"/>
      <c r="E42" s="95"/>
      <c r="F42" s="94"/>
      <c r="G42" s="94"/>
      <c r="I42" s="82"/>
      <c r="J42" s="82"/>
      <c r="K42" s="101"/>
      <c r="L42" s="425"/>
      <c r="M42" s="425"/>
      <c r="N42" s="84"/>
    </row>
    <row r="43" spans="1:16" x14ac:dyDescent="0.2">
      <c r="A43" s="211"/>
      <c r="B43" s="212"/>
      <c r="C43" s="368" t="s">
        <v>17</v>
      </c>
      <c r="D43" s="367"/>
      <c r="E43" s="397"/>
      <c r="F43" s="257"/>
      <c r="G43" s="257"/>
      <c r="H43" s="72"/>
      <c r="I43" s="213"/>
      <c r="J43" s="214"/>
      <c r="K43" s="359" t="s">
        <v>17</v>
      </c>
      <c r="L43" s="359"/>
      <c r="M43" s="360"/>
      <c r="N43" s="84"/>
    </row>
    <row r="44" spans="1:16" x14ac:dyDescent="0.2">
      <c r="A44" s="215"/>
      <c r="B44" s="216"/>
      <c r="C44" s="215"/>
      <c r="D44" s="217"/>
      <c r="E44" s="258"/>
      <c r="F44" s="259"/>
      <c r="G44" s="259"/>
      <c r="H44" s="72"/>
      <c r="I44" s="218"/>
      <c r="J44" s="219"/>
      <c r="K44" s="220"/>
      <c r="L44" s="220"/>
      <c r="M44" s="260"/>
      <c r="N44" s="84"/>
    </row>
    <row r="45" spans="1:16" ht="13.5" thickBot="1" x14ac:dyDescent="0.25">
      <c r="A45" s="221" t="s">
        <v>73</v>
      </c>
      <c r="B45" s="222" t="s">
        <v>0</v>
      </c>
      <c r="C45" s="221" t="s">
        <v>1</v>
      </c>
      <c r="D45" s="224" t="s">
        <v>2</v>
      </c>
      <c r="E45" s="222" t="s">
        <v>19</v>
      </c>
      <c r="F45" s="261"/>
      <c r="G45" s="262"/>
      <c r="H45" s="72"/>
      <c r="I45" s="227" t="s">
        <v>73</v>
      </c>
      <c r="J45" s="228" t="s">
        <v>0</v>
      </c>
      <c r="K45" s="229" t="s">
        <v>1</v>
      </c>
      <c r="L45" s="230" t="s">
        <v>2</v>
      </c>
      <c r="M45" s="228" t="s">
        <v>19</v>
      </c>
      <c r="N45" s="84"/>
    </row>
    <row r="46" spans="1:16" x14ac:dyDescent="0.2">
      <c r="A46" s="277" t="s">
        <v>74</v>
      </c>
      <c r="B46" s="232" t="str">
        <f>Walk!$B$46</f>
        <v>Muscle 0</v>
      </c>
      <c r="C46" s="148">
        <f t="shared" ref="C46:D51" si="0">A184</f>
        <v>0</v>
      </c>
      <c r="D46" s="147">
        <f t="shared" si="0"/>
        <v>0</v>
      </c>
      <c r="E46" s="185">
        <f>B181</f>
        <v>30</v>
      </c>
      <c r="F46" s="261"/>
      <c r="G46" s="262"/>
      <c r="H46" s="72"/>
      <c r="I46" s="321" t="s">
        <v>91</v>
      </c>
      <c r="J46" s="234" t="str">
        <f>Walk!$J$46</f>
        <v>Muscle 16</v>
      </c>
      <c r="K46" s="178">
        <f t="shared" ref="K46:L53" si="1">A569</f>
        <v>0</v>
      </c>
      <c r="L46" s="179">
        <f t="shared" si="1"/>
        <v>0</v>
      </c>
      <c r="M46" s="187">
        <f>B566</f>
        <v>30</v>
      </c>
      <c r="N46" s="84"/>
    </row>
    <row r="47" spans="1:16" x14ac:dyDescent="0.2">
      <c r="A47" s="231"/>
      <c r="B47" s="235"/>
      <c r="C47" s="153">
        <f t="shared" si="0"/>
        <v>5</v>
      </c>
      <c r="D47" s="152">
        <f t="shared" si="0"/>
        <v>0</v>
      </c>
      <c r="E47" s="235"/>
      <c r="F47" s="261"/>
      <c r="G47" s="262"/>
      <c r="H47" s="72"/>
      <c r="I47" s="233"/>
      <c r="J47" s="237"/>
      <c r="K47" s="172">
        <f t="shared" si="1"/>
        <v>5</v>
      </c>
      <c r="L47" s="173">
        <f t="shared" si="1"/>
        <v>0</v>
      </c>
      <c r="M47" s="237"/>
      <c r="N47" s="84"/>
    </row>
    <row r="48" spans="1:16" x14ac:dyDescent="0.2">
      <c r="A48" s="231"/>
      <c r="B48" s="235"/>
      <c r="C48" s="153">
        <f t="shared" si="0"/>
        <v>10.26</v>
      </c>
      <c r="D48" s="152">
        <f t="shared" si="0"/>
        <v>0</v>
      </c>
      <c r="E48" s="235"/>
      <c r="F48" s="261"/>
      <c r="G48" s="262"/>
      <c r="H48" s="72"/>
      <c r="I48" s="233"/>
      <c r="J48" s="237"/>
      <c r="K48" s="172">
        <f t="shared" si="1"/>
        <v>10.26</v>
      </c>
      <c r="L48" s="173">
        <f t="shared" si="1"/>
        <v>0</v>
      </c>
      <c r="M48" s="237"/>
      <c r="N48" s="84"/>
    </row>
    <row r="49" spans="1:14" x14ac:dyDescent="0.2">
      <c r="A49" s="231"/>
      <c r="B49" s="235"/>
      <c r="C49" s="153">
        <f t="shared" si="0"/>
        <v>12.82</v>
      </c>
      <c r="D49" s="152">
        <f t="shared" si="0"/>
        <v>119</v>
      </c>
      <c r="E49" s="235"/>
      <c r="F49" s="261"/>
      <c r="G49" s="262"/>
      <c r="H49" s="72"/>
      <c r="I49" s="233"/>
      <c r="J49" s="237"/>
      <c r="K49" s="172">
        <f t="shared" si="1"/>
        <v>12.82</v>
      </c>
      <c r="L49" s="173">
        <f t="shared" si="1"/>
        <v>25</v>
      </c>
      <c r="M49" s="237"/>
      <c r="N49" s="84"/>
    </row>
    <row r="50" spans="1:14" x14ac:dyDescent="0.2">
      <c r="A50" s="231"/>
      <c r="B50" s="235"/>
      <c r="C50" s="153">
        <f t="shared" si="0"/>
        <v>56</v>
      </c>
      <c r="D50" s="152">
        <f t="shared" si="0"/>
        <v>119</v>
      </c>
      <c r="E50" s="235"/>
      <c r="F50" s="261"/>
      <c r="G50" s="424"/>
      <c r="H50" s="424"/>
      <c r="I50" s="233"/>
      <c r="J50" s="237"/>
      <c r="K50" s="172">
        <f t="shared" si="1"/>
        <v>56</v>
      </c>
      <c r="L50" s="173">
        <f t="shared" si="1"/>
        <v>25</v>
      </c>
      <c r="M50" s="237"/>
      <c r="N50" s="84"/>
    </row>
    <row r="51" spans="1:14" x14ac:dyDescent="0.2">
      <c r="A51" s="231"/>
      <c r="B51" s="235"/>
      <c r="C51" s="153">
        <f t="shared" si="0"/>
        <v>78</v>
      </c>
      <c r="D51" s="152">
        <f t="shared" si="0"/>
        <v>119</v>
      </c>
      <c r="E51" s="235"/>
      <c r="F51" s="261"/>
      <c r="G51" s="262"/>
      <c r="H51" s="72"/>
      <c r="I51" s="233"/>
      <c r="J51" s="237"/>
      <c r="K51" s="172">
        <f t="shared" si="1"/>
        <v>78</v>
      </c>
      <c r="L51" s="173">
        <f t="shared" si="1"/>
        <v>25</v>
      </c>
      <c r="M51" s="237"/>
      <c r="N51" s="84"/>
    </row>
    <row r="52" spans="1:14" x14ac:dyDescent="0.2">
      <c r="A52" s="231"/>
      <c r="B52" s="235"/>
      <c r="C52" s="153">
        <f>A190</f>
        <v>90</v>
      </c>
      <c r="D52" s="152">
        <f>B190</f>
        <v>119</v>
      </c>
      <c r="E52" s="235"/>
      <c r="F52" s="261"/>
      <c r="G52" s="262"/>
      <c r="H52" s="72"/>
      <c r="I52" s="233"/>
      <c r="J52" s="237"/>
      <c r="K52" s="172">
        <f t="shared" si="1"/>
        <v>95</v>
      </c>
      <c r="L52" s="173">
        <f t="shared" si="1"/>
        <v>25</v>
      </c>
      <c r="M52" s="237"/>
      <c r="N52" s="84"/>
    </row>
    <row r="53" spans="1:14" ht="13.5" thickBot="1" x14ac:dyDescent="0.25">
      <c r="A53" s="238"/>
      <c r="B53" s="239"/>
      <c r="C53" s="157">
        <f>A191</f>
        <v>100</v>
      </c>
      <c r="D53" s="156">
        <f>B191</f>
        <v>119</v>
      </c>
      <c r="E53" s="239"/>
      <c r="F53" s="261"/>
      <c r="G53" s="262"/>
      <c r="H53" s="72"/>
      <c r="I53" s="241"/>
      <c r="J53" s="242"/>
      <c r="K53" s="176">
        <f t="shared" si="1"/>
        <v>100</v>
      </c>
      <c r="L53" s="177">
        <f t="shared" si="1"/>
        <v>25</v>
      </c>
      <c r="M53" s="242"/>
      <c r="N53" s="84"/>
    </row>
    <row r="54" spans="1:14" x14ac:dyDescent="0.2">
      <c r="A54" s="277" t="s">
        <v>75</v>
      </c>
      <c r="B54" s="232" t="str">
        <f>Walk!$B$54</f>
        <v>Muscle 1</v>
      </c>
      <c r="C54" s="148">
        <f t="shared" ref="C54:D59" si="2">A208</f>
        <v>0</v>
      </c>
      <c r="D54" s="147">
        <f t="shared" si="2"/>
        <v>0</v>
      </c>
      <c r="E54" s="186">
        <f>B205</f>
        <v>60</v>
      </c>
      <c r="F54" s="261"/>
      <c r="G54" s="262"/>
      <c r="H54" s="72"/>
      <c r="I54" s="321" t="s">
        <v>92</v>
      </c>
      <c r="J54" s="234" t="str">
        <f>Walk!$J$54</f>
        <v>Muscle 17</v>
      </c>
      <c r="K54" s="178">
        <f t="shared" ref="K54:L61" si="3">A593</f>
        <v>0</v>
      </c>
      <c r="L54" s="179">
        <f t="shared" si="3"/>
        <v>0</v>
      </c>
      <c r="M54" s="252">
        <f>B590</f>
        <v>60</v>
      </c>
      <c r="N54" s="84"/>
    </row>
    <row r="55" spans="1:14" x14ac:dyDescent="0.2">
      <c r="A55" s="231"/>
      <c r="B55" s="235"/>
      <c r="C55" s="153">
        <f t="shared" si="2"/>
        <v>10</v>
      </c>
      <c r="D55" s="152">
        <f t="shared" si="2"/>
        <v>0</v>
      </c>
      <c r="E55" s="235"/>
      <c r="F55" s="261"/>
      <c r="G55" s="262"/>
      <c r="H55" s="72"/>
      <c r="I55" s="233"/>
      <c r="J55" s="237"/>
      <c r="K55" s="172">
        <f t="shared" si="3"/>
        <v>10</v>
      </c>
      <c r="L55" s="173">
        <f t="shared" si="3"/>
        <v>0</v>
      </c>
      <c r="M55" s="253"/>
      <c r="N55" s="84"/>
    </row>
    <row r="56" spans="1:14" x14ac:dyDescent="0.2">
      <c r="A56" s="231"/>
      <c r="B56" s="235"/>
      <c r="C56" s="153">
        <f t="shared" si="2"/>
        <v>50</v>
      </c>
      <c r="D56" s="152">
        <f t="shared" si="2"/>
        <v>0</v>
      </c>
      <c r="E56" s="235"/>
      <c r="F56" s="261"/>
      <c r="G56" s="262"/>
      <c r="H56" s="72"/>
      <c r="I56" s="233"/>
      <c r="J56" s="237"/>
      <c r="K56" s="172">
        <f t="shared" si="3"/>
        <v>50</v>
      </c>
      <c r="L56" s="173">
        <f t="shared" si="3"/>
        <v>0</v>
      </c>
      <c r="M56" s="253"/>
      <c r="N56" s="84"/>
    </row>
    <row r="57" spans="1:14" x14ac:dyDescent="0.2">
      <c r="A57" s="231"/>
      <c r="B57" s="235"/>
      <c r="C57" s="153">
        <f t="shared" si="2"/>
        <v>75</v>
      </c>
      <c r="D57" s="152">
        <f t="shared" si="2"/>
        <v>0</v>
      </c>
      <c r="E57" s="235"/>
      <c r="F57" s="261"/>
      <c r="G57" s="262"/>
      <c r="H57" s="72"/>
      <c r="I57" s="233"/>
      <c r="J57" s="237"/>
      <c r="K57" s="172">
        <f t="shared" si="3"/>
        <v>75</v>
      </c>
      <c r="L57" s="173">
        <f t="shared" si="3"/>
        <v>0</v>
      </c>
      <c r="M57" s="253"/>
      <c r="N57" s="84"/>
    </row>
    <row r="58" spans="1:14" x14ac:dyDescent="0.2">
      <c r="A58" s="231"/>
      <c r="B58" s="235"/>
      <c r="C58" s="153">
        <f t="shared" si="2"/>
        <v>88</v>
      </c>
      <c r="D58" s="152">
        <f t="shared" si="2"/>
        <v>0</v>
      </c>
      <c r="E58" s="235"/>
      <c r="F58" s="261"/>
      <c r="G58" s="262"/>
      <c r="H58" s="72"/>
      <c r="I58" s="233"/>
      <c r="J58" s="237"/>
      <c r="K58" s="172">
        <f t="shared" si="3"/>
        <v>88</v>
      </c>
      <c r="L58" s="173">
        <f t="shared" si="3"/>
        <v>0</v>
      </c>
      <c r="M58" s="253"/>
      <c r="N58" s="84"/>
    </row>
    <row r="59" spans="1:14" x14ac:dyDescent="0.2">
      <c r="A59" s="231"/>
      <c r="B59" s="235"/>
      <c r="C59" s="153">
        <f t="shared" si="2"/>
        <v>94</v>
      </c>
      <c r="D59" s="152">
        <f t="shared" si="2"/>
        <v>0</v>
      </c>
      <c r="E59" s="235"/>
      <c r="F59" s="261"/>
      <c r="G59" s="262"/>
      <c r="H59" s="72"/>
      <c r="I59" s="233"/>
      <c r="J59" s="237"/>
      <c r="K59" s="172">
        <f t="shared" si="3"/>
        <v>94</v>
      </c>
      <c r="L59" s="173">
        <f t="shared" si="3"/>
        <v>0</v>
      </c>
      <c r="M59" s="253"/>
      <c r="N59" s="84"/>
    </row>
    <row r="60" spans="1:14" x14ac:dyDescent="0.2">
      <c r="A60" s="231"/>
      <c r="B60" s="235"/>
      <c r="C60" s="153">
        <f>A214</f>
        <v>95</v>
      </c>
      <c r="D60" s="152">
        <f>B214</f>
        <v>0</v>
      </c>
      <c r="E60" s="235"/>
      <c r="F60" s="261"/>
      <c r="G60" s="262"/>
      <c r="H60" s="72"/>
      <c r="I60" s="233"/>
      <c r="J60" s="237"/>
      <c r="K60" s="172">
        <f t="shared" si="3"/>
        <v>95</v>
      </c>
      <c r="L60" s="173">
        <f t="shared" si="3"/>
        <v>0</v>
      </c>
      <c r="M60" s="253"/>
      <c r="N60" s="84"/>
    </row>
    <row r="61" spans="1:14" ht="13.5" thickBot="1" x14ac:dyDescent="0.25">
      <c r="A61" s="238"/>
      <c r="B61" s="239"/>
      <c r="C61" s="157">
        <f>A215</f>
        <v>100</v>
      </c>
      <c r="D61" s="156">
        <f>B215</f>
        <v>0</v>
      </c>
      <c r="E61" s="239"/>
      <c r="F61" s="261"/>
      <c r="G61" s="262"/>
      <c r="H61" s="72"/>
      <c r="I61" s="241"/>
      <c r="J61" s="242"/>
      <c r="K61" s="176">
        <f t="shared" si="3"/>
        <v>100</v>
      </c>
      <c r="L61" s="177">
        <f t="shared" si="3"/>
        <v>0</v>
      </c>
      <c r="M61" s="254"/>
      <c r="N61" s="84"/>
    </row>
    <row r="62" spans="1:14" x14ac:dyDescent="0.2">
      <c r="A62" s="277" t="s">
        <v>76</v>
      </c>
      <c r="B62" s="243" t="str">
        <f>Walk!$B$62</f>
        <v>Muscle 2</v>
      </c>
      <c r="C62" s="160">
        <f t="shared" ref="C62:D67" si="4">A232</f>
        <v>0</v>
      </c>
      <c r="D62" s="165">
        <f t="shared" si="4"/>
        <v>0</v>
      </c>
      <c r="E62" s="186">
        <f>B229</f>
        <v>30</v>
      </c>
      <c r="F62" s="261"/>
      <c r="G62" s="262"/>
      <c r="H62" s="72"/>
      <c r="I62" s="321" t="s">
        <v>93</v>
      </c>
      <c r="J62" s="234" t="str">
        <f>Walk!$J$62</f>
        <v>Muscle 18</v>
      </c>
      <c r="K62" s="178">
        <f t="shared" ref="K62:L69" si="5">A617</f>
        <v>0</v>
      </c>
      <c r="L62" s="179">
        <f t="shared" si="5"/>
        <v>100</v>
      </c>
      <c r="M62" s="187">
        <f>B614</f>
        <v>30</v>
      </c>
      <c r="N62" s="84"/>
    </row>
    <row r="63" spans="1:14" x14ac:dyDescent="0.2">
      <c r="A63" s="231"/>
      <c r="B63" s="235"/>
      <c r="C63" s="153">
        <f t="shared" si="4"/>
        <v>5</v>
      </c>
      <c r="D63" s="152">
        <f t="shared" si="4"/>
        <v>0</v>
      </c>
      <c r="E63" s="235"/>
      <c r="F63" s="261"/>
      <c r="G63" s="262"/>
      <c r="H63" s="72"/>
      <c r="I63" s="233"/>
      <c r="J63" s="237"/>
      <c r="K63" s="172">
        <f t="shared" si="5"/>
        <v>10</v>
      </c>
      <c r="L63" s="173">
        <f t="shared" si="5"/>
        <v>100</v>
      </c>
      <c r="M63" s="237"/>
      <c r="N63" s="84"/>
    </row>
    <row r="64" spans="1:14" x14ac:dyDescent="0.2">
      <c r="A64" s="231"/>
      <c r="B64" s="235"/>
      <c r="C64" s="153">
        <f t="shared" si="4"/>
        <v>10.256410000000001</v>
      </c>
      <c r="D64" s="152">
        <f t="shared" si="4"/>
        <v>0</v>
      </c>
      <c r="E64" s="235"/>
      <c r="F64" s="261"/>
      <c r="G64" s="262"/>
      <c r="H64" s="72"/>
      <c r="I64" s="233"/>
      <c r="J64" s="237"/>
      <c r="K64" s="172">
        <f t="shared" si="5"/>
        <v>50</v>
      </c>
      <c r="L64" s="173">
        <f t="shared" si="5"/>
        <v>100</v>
      </c>
      <c r="M64" s="237"/>
      <c r="N64" s="84"/>
    </row>
    <row r="65" spans="1:14" x14ac:dyDescent="0.2">
      <c r="A65" s="231"/>
      <c r="B65" s="235"/>
      <c r="C65" s="153">
        <f t="shared" si="4"/>
        <v>12.820513</v>
      </c>
      <c r="D65" s="152">
        <f t="shared" si="4"/>
        <v>60</v>
      </c>
      <c r="E65" s="235"/>
      <c r="F65" s="261"/>
      <c r="G65" s="262"/>
      <c r="H65" s="72"/>
      <c r="I65" s="233"/>
      <c r="J65" s="237"/>
      <c r="K65" s="172">
        <f t="shared" si="5"/>
        <v>75</v>
      </c>
      <c r="L65" s="173">
        <f t="shared" si="5"/>
        <v>100</v>
      </c>
      <c r="M65" s="237"/>
      <c r="N65" s="84"/>
    </row>
    <row r="66" spans="1:14" x14ac:dyDescent="0.2">
      <c r="A66" s="231"/>
      <c r="B66" s="235"/>
      <c r="C66" s="153">
        <f t="shared" si="4"/>
        <v>89.743589999999998</v>
      </c>
      <c r="D66" s="152">
        <f t="shared" si="4"/>
        <v>60</v>
      </c>
      <c r="E66" s="235"/>
      <c r="F66" s="261"/>
      <c r="G66" s="262"/>
      <c r="H66" s="72"/>
      <c r="I66" s="233"/>
      <c r="J66" s="237"/>
      <c r="K66" s="172">
        <f t="shared" si="5"/>
        <v>88</v>
      </c>
      <c r="L66" s="173">
        <f t="shared" si="5"/>
        <v>100</v>
      </c>
      <c r="M66" s="237"/>
      <c r="N66" s="84"/>
    </row>
    <row r="67" spans="1:14" x14ac:dyDescent="0.2">
      <c r="A67" s="231"/>
      <c r="B67" s="235"/>
      <c r="C67" s="153">
        <f t="shared" si="4"/>
        <v>95</v>
      </c>
      <c r="D67" s="152">
        <f t="shared" si="4"/>
        <v>43</v>
      </c>
      <c r="E67" s="235"/>
      <c r="F67" s="261"/>
      <c r="G67" s="262"/>
      <c r="H67" s="72"/>
      <c r="I67" s="233"/>
      <c r="J67" s="237"/>
      <c r="K67" s="172">
        <f t="shared" si="5"/>
        <v>94</v>
      </c>
      <c r="L67" s="173">
        <f t="shared" si="5"/>
        <v>100</v>
      </c>
      <c r="M67" s="237"/>
      <c r="N67" s="84"/>
    </row>
    <row r="68" spans="1:14" x14ac:dyDescent="0.2">
      <c r="A68" s="231"/>
      <c r="B68" s="235"/>
      <c r="C68" s="153">
        <f>A238</f>
        <v>98</v>
      </c>
      <c r="D68" s="152">
        <f>B238</f>
        <v>36</v>
      </c>
      <c r="E68" s="235"/>
      <c r="F68" s="261"/>
      <c r="G68" s="262"/>
      <c r="H68" s="72"/>
      <c r="I68" s="233"/>
      <c r="J68" s="237"/>
      <c r="K68" s="172">
        <f t="shared" si="5"/>
        <v>95</v>
      </c>
      <c r="L68" s="173">
        <f t="shared" si="5"/>
        <v>100</v>
      </c>
      <c r="M68" s="237"/>
      <c r="N68" s="84"/>
    </row>
    <row r="69" spans="1:14" ht="13.5" thickBot="1" x14ac:dyDescent="0.25">
      <c r="A69" s="238"/>
      <c r="B69" s="239"/>
      <c r="C69" s="157">
        <f>A239</f>
        <v>100</v>
      </c>
      <c r="D69" s="156">
        <f>B239</f>
        <v>25</v>
      </c>
      <c r="E69" s="239"/>
      <c r="F69" s="261"/>
      <c r="G69" s="262"/>
      <c r="H69" s="72"/>
      <c r="I69" s="241"/>
      <c r="J69" s="242"/>
      <c r="K69" s="176">
        <f t="shared" si="5"/>
        <v>100</v>
      </c>
      <c r="L69" s="177">
        <f t="shared" si="5"/>
        <v>100</v>
      </c>
      <c r="M69" s="242"/>
      <c r="N69" s="84"/>
    </row>
    <row r="70" spans="1:14" x14ac:dyDescent="0.2">
      <c r="A70" s="277" t="s">
        <v>77</v>
      </c>
      <c r="B70" s="232" t="str">
        <f>Walk!$B$70</f>
        <v>Muscle 3</v>
      </c>
      <c r="C70" s="148">
        <f t="shared" ref="C70:D75" si="6">A256</f>
        <v>0</v>
      </c>
      <c r="D70" s="147">
        <f t="shared" si="6"/>
        <v>0</v>
      </c>
      <c r="E70" s="264">
        <f>B253</f>
        <v>60</v>
      </c>
      <c r="F70" s="261"/>
      <c r="G70" s="262"/>
      <c r="H70" s="72"/>
      <c r="I70" s="321" t="s">
        <v>94</v>
      </c>
      <c r="J70" s="234" t="str">
        <f>Walk!$J$70</f>
        <v>Muscle 19</v>
      </c>
      <c r="K70" s="180">
        <f t="shared" ref="K70:L77" si="7">A641</f>
        <v>0</v>
      </c>
      <c r="L70" s="179">
        <f t="shared" si="7"/>
        <v>50</v>
      </c>
      <c r="M70" s="252">
        <f>B638</f>
        <v>60</v>
      </c>
      <c r="N70" s="84"/>
    </row>
    <row r="71" spans="1:14" x14ac:dyDescent="0.2">
      <c r="A71" s="231"/>
      <c r="B71" s="235"/>
      <c r="C71" s="153">
        <f t="shared" si="6"/>
        <v>10.26</v>
      </c>
      <c r="D71" s="152">
        <f t="shared" si="6"/>
        <v>0</v>
      </c>
      <c r="E71" s="265"/>
      <c r="F71" s="261"/>
      <c r="G71" s="262"/>
      <c r="H71" s="72"/>
      <c r="I71" s="233"/>
      <c r="J71" s="237"/>
      <c r="K71" s="174">
        <f t="shared" si="7"/>
        <v>10</v>
      </c>
      <c r="L71" s="173">
        <f t="shared" si="7"/>
        <v>50</v>
      </c>
      <c r="M71" s="253"/>
      <c r="N71" s="84"/>
    </row>
    <row r="72" spans="1:14" x14ac:dyDescent="0.2">
      <c r="A72" s="231"/>
      <c r="B72" s="235"/>
      <c r="C72" s="153">
        <f t="shared" si="6"/>
        <v>12.82</v>
      </c>
      <c r="D72" s="152">
        <f t="shared" si="6"/>
        <v>150</v>
      </c>
      <c r="E72" s="265"/>
      <c r="F72" s="261"/>
      <c r="G72" s="262"/>
      <c r="H72" s="72"/>
      <c r="I72" s="233"/>
      <c r="J72" s="237"/>
      <c r="K72" s="174">
        <f t="shared" si="7"/>
        <v>50</v>
      </c>
      <c r="L72" s="173">
        <f t="shared" si="7"/>
        <v>50</v>
      </c>
      <c r="M72" s="253"/>
      <c r="N72" s="84"/>
    </row>
    <row r="73" spans="1:14" x14ac:dyDescent="0.2">
      <c r="A73" s="231"/>
      <c r="B73" s="235"/>
      <c r="C73" s="153">
        <f t="shared" si="6"/>
        <v>56</v>
      </c>
      <c r="D73" s="152">
        <f t="shared" si="6"/>
        <v>150</v>
      </c>
      <c r="E73" s="265"/>
      <c r="F73" s="261"/>
      <c r="G73" s="262"/>
      <c r="H73" s="72"/>
      <c r="I73" s="233"/>
      <c r="J73" s="237"/>
      <c r="K73" s="174">
        <f t="shared" si="7"/>
        <v>75</v>
      </c>
      <c r="L73" s="173">
        <f t="shared" si="7"/>
        <v>50</v>
      </c>
      <c r="M73" s="253"/>
      <c r="N73" s="84"/>
    </row>
    <row r="74" spans="1:14" x14ac:dyDescent="0.2">
      <c r="A74" s="231"/>
      <c r="B74" s="235"/>
      <c r="C74" s="153">
        <f t="shared" si="6"/>
        <v>78</v>
      </c>
      <c r="D74" s="152">
        <f t="shared" si="6"/>
        <v>150</v>
      </c>
      <c r="E74" s="265"/>
      <c r="F74" s="261"/>
      <c r="G74" s="262"/>
      <c r="H74" s="72"/>
      <c r="I74" s="233"/>
      <c r="J74" s="237"/>
      <c r="K74" s="174">
        <f t="shared" si="7"/>
        <v>88</v>
      </c>
      <c r="L74" s="173">
        <f t="shared" si="7"/>
        <v>50</v>
      </c>
      <c r="M74" s="253"/>
      <c r="N74" s="84"/>
    </row>
    <row r="75" spans="1:14" x14ac:dyDescent="0.2">
      <c r="A75" s="231"/>
      <c r="B75" s="235"/>
      <c r="C75" s="153">
        <f t="shared" si="6"/>
        <v>89</v>
      </c>
      <c r="D75" s="152">
        <f t="shared" si="6"/>
        <v>150</v>
      </c>
      <c r="E75" s="265"/>
      <c r="F75" s="261"/>
      <c r="G75" s="262"/>
      <c r="H75" s="72"/>
      <c r="I75" s="233"/>
      <c r="J75" s="237"/>
      <c r="K75" s="174">
        <f t="shared" si="7"/>
        <v>94</v>
      </c>
      <c r="L75" s="173">
        <f t="shared" si="7"/>
        <v>50</v>
      </c>
      <c r="M75" s="253"/>
      <c r="N75" s="84"/>
    </row>
    <row r="76" spans="1:14" x14ac:dyDescent="0.2">
      <c r="A76" s="231"/>
      <c r="B76" s="235"/>
      <c r="C76" s="153">
        <f>A262</f>
        <v>95</v>
      </c>
      <c r="D76" s="152">
        <f>B262</f>
        <v>150</v>
      </c>
      <c r="E76" s="265"/>
      <c r="F76" s="261"/>
      <c r="G76" s="262"/>
      <c r="H76" s="72"/>
      <c r="I76" s="233"/>
      <c r="J76" s="237"/>
      <c r="K76" s="174">
        <f t="shared" si="7"/>
        <v>95</v>
      </c>
      <c r="L76" s="173">
        <f t="shared" si="7"/>
        <v>50</v>
      </c>
      <c r="M76" s="253"/>
      <c r="N76" s="84"/>
    </row>
    <row r="77" spans="1:14" ht="13.5" thickBot="1" x14ac:dyDescent="0.25">
      <c r="A77" s="238"/>
      <c r="B77" s="239"/>
      <c r="C77" s="157">
        <f>A263</f>
        <v>100</v>
      </c>
      <c r="D77" s="156">
        <f>B263</f>
        <v>150</v>
      </c>
      <c r="E77" s="266"/>
      <c r="F77" s="261"/>
      <c r="G77" s="262"/>
      <c r="H77" s="72"/>
      <c r="I77" s="233"/>
      <c r="J77" s="237"/>
      <c r="K77" s="354">
        <f t="shared" si="7"/>
        <v>100</v>
      </c>
      <c r="L77" s="355">
        <f t="shared" si="7"/>
        <v>50</v>
      </c>
      <c r="M77" s="253"/>
      <c r="N77" s="84"/>
    </row>
    <row r="78" spans="1:14" x14ac:dyDescent="0.2">
      <c r="A78" s="278" t="s">
        <v>78</v>
      </c>
      <c r="B78" s="243" t="str">
        <f>Walk!$B$78</f>
        <v>Muscle 4</v>
      </c>
      <c r="C78" s="160">
        <f t="shared" ref="C78:D83" si="8">A280</f>
        <v>0</v>
      </c>
      <c r="D78" s="165">
        <f t="shared" si="8"/>
        <v>0</v>
      </c>
      <c r="E78" s="186">
        <f>B277</f>
        <v>60</v>
      </c>
      <c r="F78" s="261"/>
      <c r="G78" s="262"/>
      <c r="H78" s="72"/>
      <c r="I78" s="336" t="s">
        <v>95</v>
      </c>
      <c r="J78" s="356" t="str">
        <f>Walk!$J$78</f>
        <v>Muscle 20</v>
      </c>
      <c r="K78" s="178">
        <f t="shared" ref="K78:L85" si="9">A665</f>
        <v>0</v>
      </c>
      <c r="L78" s="357">
        <f t="shared" si="9"/>
        <v>200</v>
      </c>
      <c r="M78" s="187">
        <f>B662</f>
        <v>60</v>
      </c>
      <c r="N78" s="84"/>
    </row>
    <row r="79" spans="1:14" x14ac:dyDescent="0.2">
      <c r="A79" s="231"/>
      <c r="B79" s="235"/>
      <c r="C79" s="153">
        <f t="shared" si="8"/>
        <v>10.26</v>
      </c>
      <c r="D79" s="152">
        <f t="shared" si="8"/>
        <v>0</v>
      </c>
      <c r="E79" s="235"/>
      <c r="F79" s="261"/>
      <c r="G79" s="262"/>
      <c r="H79" s="72"/>
      <c r="I79" s="233"/>
      <c r="J79" s="237"/>
      <c r="K79" s="181">
        <f t="shared" si="9"/>
        <v>7.89</v>
      </c>
      <c r="L79" s="182">
        <f t="shared" si="9"/>
        <v>200</v>
      </c>
      <c r="M79" s="237"/>
      <c r="N79" s="84"/>
    </row>
    <row r="80" spans="1:14" x14ac:dyDescent="0.2">
      <c r="A80" s="231"/>
      <c r="B80" s="235"/>
      <c r="C80" s="153">
        <f t="shared" si="8"/>
        <v>12.82</v>
      </c>
      <c r="D80" s="152">
        <f t="shared" si="8"/>
        <v>150</v>
      </c>
      <c r="E80" s="235"/>
      <c r="F80" s="261"/>
      <c r="G80" s="262"/>
      <c r="H80" s="72"/>
      <c r="I80" s="233"/>
      <c r="J80" s="237"/>
      <c r="K80" s="181">
        <f t="shared" si="9"/>
        <v>20</v>
      </c>
      <c r="L80" s="182">
        <f t="shared" si="9"/>
        <v>200</v>
      </c>
      <c r="M80" s="237"/>
      <c r="N80" s="84"/>
    </row>
    <row r="81" spans="1:14" x14ac:dyDescent="0.2">
      <c r="A81" s="231"/>
      <c r="B81" s="235"/>
      <c r="C81" s="153">
        <f t="shared" si="8"/>
        <v>56</v>
      </c>
      <c r="D81" s="152">
        <f t="shared" si="8"/>
        <v>150</v>
      </c>
      <c r="E81" s="235"/>
      <c r="F81" s="261"/>
      <c r="G81" s="262"/>
      <c r="H81" s="72"/>
      <c r="I81" s="233"/>
      <c r="J81" s="237"/>
      <c r="K81" s="181">
        <f t="shared" si="9"/>
        <v>55.26</v>
      </c>
      <c r="L81" s="182">
        <f t="shared" si="9"/>
        <v>200</v>
      </c>
      <c r="M81" s="237"/>
      <c r="N81" s="84"/>
    </row>
    <row r="82" spans="1:14" x14ac:dyDescent="0.2">
      <c r="A82" s="231"/>
      <c r="B82" s="235"/>
      <c r="C82" s="153">
        <f t="shared" si="8"/>
        <v>78</v>
      </c>
      <c r="D82" s="152">
        <f t="shared" si="8"/>
        <v>150</v>
      </c>
      <c r="E82" s="235"/>
      <c r="F82" s="261"/>
      <c r="G82" s="262"/>
      <c r="H82" s="72"/>
      <c r="I82" s="233"/>
      <c r="J82" s="237"/>
      <c r="K82" s="181">
        <f t="shared" si="9"/>
        <v>60</v>
      </c>
      <c r="L82" s="182">
        <f t="shared" si="9"/>
        <v>200</v>
      </c>
      <c r="M82" s="237"/>
      <c r="N82" s="84"/>
    </row>
    <row r="83" spans="1:14" x14ac:dyDescent="0.2">
      <c r="A83" s="231"/>
      <c r="B83" s="235"/>
      <c r="C83" s="153">
        <f t="shared" si="8"/>
        <v>89</v>
      </c>
      <c r="D83" s="152">
        <f t="shared" si="8"/>
        <v>150</v>
      </c>
      <c r="E83" s="235"/>
      <c r="F83" s="261"/>
      <c r="G83" s="262"/>
      <c r="H83" s="72"/>
      <c r="I83" s="233"/>
      <c r="J83" s="237"/>
      <c r="K83" s="181">
        <f t="shared" si="9"/>
        <v>65</v>
      </c>
      <c r="L83" s="182">
        <f t="shared" si="9"/>
        <v>200</v>
      </c>
      <c r="M83" s="237"/>
      <c r="N83" s="84"/>
    </row>
    <row r="84" spans="1:14" x14ac:dyDescent="0.2">
      <c r="A84" s="231"/>
      <c r="B84" s="235"/>
      <c r="C84" s="153">
        <f>A286</f>
        <v>95</v>
      </c>
      <c r="D84" s="152">
        <f>B286</f>
        <v>150</v>
      </c>
      <c r="E84" s="235"/>
      <c r="F84" s="261"/>
      <c r="G84" s="262"/>
      <c r="H84" s="72"/>
      <c r="I84" s="233"/>
      <c r="J84" s="237"/>
      <c r="K84" s="181">
        <f t="shared" si="9"/>
        <v>71.05</v>
      </c>
      <c r="L84" s="182">
        <f t="shared" si="9"/>
        <v>200</v>
      </c>
      <c r="M84" s="237"/>
      <c r="N84" s="84"/>
    </row>
    <row r="85" spans="1:14" ht="13.5" thickBot="1" x14ac:dyDescent="0.25">
      <c r="A85" s="238"/>
      <c r="B85" s="239"/>
      <c r="C85" s="157">
        <f>A287</f>
        <v>100</v>
      </c>
      <c r="D85" s="156">
        <f>B287</f>
        <v>150</v>
      </c>
      <c r="E85" s="239"/>
      <c r="F85" s="261"/>
      <c r="G85" s="262"/>
      <c r="H85" s="72"/>
      <c r="I85" s="241"/>
      <c r="J85" s="242"/>
      <c r="K85" s="332">
        <f t="shared" si="9"/>
        <v>100</v>
      </c>
      <c r="L85" s="358">
        <f t="shared" si="9"/>
        <v>200</v>
      </c>
      <c r="M85" s="242"/>
      <c r="N85" s="84"/>
    </row>
    <row r="86" spans="1:14" x14ac:dyDescent="0.2">
      <c r="A86" s="277" t="s">
        <v>79</v>
      </c>
      <c r="B86" s="232" t="str">
        <f>Walk!$B$86</f>
        <v>Muscle 5</v>
      </c>
      <c r="C86" s="148">
        <f t="shared" ref="C86:D91" si="10">A304</f>
        <v>0</v>
      </c>
      <c r="D86" s="147">
        <f t="shared" si="10"/>
        <v>100</v>
      </c>
      <c r="E86" s="264">
        <f>B301</f>
        <v>60</v>
      </c>
      <c r="F86" s="261"/>
      <c r="G86" s="262"/>
      <c r="H86" s="72"/>
      <c r="I86" s="321" t="s">
        <v>96</v>
      </c>
      <c r="J86" s="234" t="str">
        <f>Walk!$J$86</f>
        <v>Muscle 21</v>
      </c>
      <c r="K86" s="172">
        <f t="shared" ref="K86:L93" si="11">A689</f>
        <v>0</v>
      </c>
      <c r="L86" s="173">
        <f t="shared" si="11"/>
        <v>0</v>
      </c>
      <c r="M86" s="263">
        <f>B686</f>
        <v>60</v>
      </c>
      <c r="N86" s="84"/>
    </row>
    <row r="87" spans="1:14" x14ac:dyDescent="0.2">
      <c r="A87" s="231"/>
      <c r="B87" s="235"/>
      <c r="C87" s="153">
        <f t="shared" si="10"/>
        <v>10</v>
      </c>
      <c r="D87" s="152">
        <f t="shared" si="10"/>
        <v>100</v>
      </c>
      <c r="E87" s="265"/>
      <c r="F87" s="261"/>
      <c r="G87" s="262"/>
      <c r="H87" s="72"/>
      <c r="I87" s="233"/>
      <c r="J87" s="237"/>
      <c r="K87" s="172">
        <f t="shared" si="11"/>
        <v>7.89</v>
      </c>
      <c r="L87" s="173">
        <f t="shared" si="11"/>
        <v>0</v>
      </c>
      <c r="M87" s="253"/>
      <c r="N87" s="84"/>
    </row>
    <row r="88" spans="1:14" x14ac:dyDescent="0.2">
      <c r="A88" s="231"/>
      <c r="B88" s="235"/>
      <c r="C88" s="153">
        <f t="shared" si="10"/>
        <v>50</v>
      </c>
      <c r="D88" s="152">
        <f t="shared" si="10"/>
        <v>100</v>
      </c>
      <c r="E88" s="265"/>
      <c r="F88" s="261"/>
      <c r="G88" s="262"/>
      <c r="H88" s="72"/>
      <c r="I88" s="233"/>
      <c r="J88" s="237"/>
      <c r="K88" s="172">
        <f t="shared" si="11"/>
        <v>20</v>
      </c>
      <c r="L88" s="173">
        <f t="shared" si="11"/>
        <v>0</v>
      </c>
      <c r="M88" s="253"/>
      <c r="N88" s="84"/>
    </row>
    <row r="89" spans="1:14" x14ac:dyDescent="0.2">
      <c r="A89" s="231"/>
      <c r="B89" s="235"/>
      <c r="C89" s="153">
        <f t="shared" si="10"/>
        <v>75</v>
      </c>
      <c r="D89" s="152">
        <f t="shared" si="10"/>
        <v>100</v>
      </c>
      <c r="E89" s="265"/>
      <c r="F89" s="261"/>
      <c r="G89" s="262"/>
      <c r="H89" s="72"/>
      <c r="I89" s="233"/>
      <c r="J89" s="237"/>
      <c r="K89" s="172">
        <f t="shared" si="11"/>
        <v>55.26</v>
      </c>
      <c r="L89" s="173">
        <f t="shared" si="11"/>
        <v>0</v>
      </c>
      <c r="M89" s="253"/>
      <c r="N89" s="84"/>
    </row>
    <row r="90" spans="1:14" x14ac:dyDescent="0.2">
      <c r="A90" s="231"/>
      <c r="B90" s="235"/>
      <c r="C90" s="153">
        <f t="shared" si="10"/>
        <v>88</v>
      </c>
      <c r="D90" s="152">
        <f t="shared" si="10"/>
        <v>100</v>
      </c>
      <c r="E90" s="265"/>
      <c r="F90" s="261"/>
      <c r="G90" s="262"/>
      <c r="H90" s="72"/>
      <c r="I90" s="233"/>
      <c r="J90" s="237"/>
      <c r="K90" s="172">
        <f t="shared" si="11"/>
        <v>60</v>
      </c>
      <c r="L90" s="173">
        <f t="shared" si="11"/>
        <v>0</v>
      </c>
      <c r="M90" s="253"/>
      <c r="N90" s="84"/>
    </row>
    <row r="91" spans="1:14" x14ac:dyDescent="0.2">
      <c r="A91" s="231"/>
      <c r="B91" s="235"/>
      <c r="C91" s="153">
        <f t="shared" si="10"/>
        <v>94</v>
      </c>
      <c r="D91" s="152">
        <f t="shared" si="10"/>
        <v>100</v>
      </c>
      <c r="E91" s="265"/>
      <c r="F91" s="261"/>
      <c r="G91" s="262"/>
      <c r="H91" s="72"/>
      <c r="I91" s="233"/>
      <c r="J91" s="237"/>
      <c r="K91" s="172">
        <f t="shared" si="11"/>
        <v>65</v>
      </c>
      <c r="L91" s="173">
        <f t="shared" si="11"/>
        <v>0</v>
      </c>
      <c r="M91" s="253"/>
      <c r="N91" s="84"/>
    </row>
    <row r="92" spans="1:14" x14ac:dyDescent="0.2">
      <c r="A92" s="231"/>
      <c r="B92" s="235"/>
      <c r="C92" s="153">
        <f>A310</f>
        <v>95</v>
      </c>
      <c r="D92" s="152">
        <f>B310</f>
        <v>100</v>
      </c>
      <c r="E92" s="265"/>
      <c r="F92" s="261"/>
      <c r="G92" s="262"/>
      <c r="H92" s="72"/>
      <c r="I92" s="233"/>
      <c r="J92" s="237"/>
      <c r="K92" s="172">
        <f t="shared" si="11"/>
        <v>71.05</v>
      </c>
      <c r="L92" s="173">
        <f t="shared" si="11"/>
        <v>0</v>
      </c>
      <c r="M92" s="253"/>
      <c r="N92" s="84"/>
    </row>
    <row r="93" spans="1:14" ht="13.5" thickBot="1" x14ac:dyDescent="0.25">
      <c r="A93" s="238"/>
      <c r="B93" s="239"/>
      <c r="C93" s="157">
        <f>A311</f>
        <v>100</v>
      </c>
      <c r="D93" s="156">
        <f>B311</f>
        <v>100</v>
      </c>
      <c r="E93" s="266"/>
      <c r="F93" s="261"/>
      <c r="G93" s="262"/>
      <c r="H93" s="72"/>
      <c r="I93" s="241"/>
      <c r="J93" s="242"/>
      <c r="K93" s="176">
        <f t="shared" si="11"/>
        <v>100</v>
      </c>
      <c r="L93" s="177">
        <f t="shared" si="11"/>
        <v>0</v>
      </c>
      <c r="M93" s="254"/>
      <c r="N93" s="84"/>
    </row>
    <row r="94" spans="1:14" x14ac:dyDescent="0.2">
      <c r="A94" s="278" t="s">
        <v>80</v>
      </c>
      <c r="B94" s="243" t="str">
        <f>Walk!$B$94</f>
        <v>Muscle 6</v>
      </c>
      <c r="C94" s="160">
        <f t="shared" ref="C94:D99" si="12">A328</f>
        <v>0</v>
      </c>
      <c r="D94" s="165">
        <f t="shared" si="12"/>
        <v>50</v>
      </c>
      <c r="E94" s="186">
        <f>B325</f>
        <v>30</v>
      </c>
      <c r="F94" s="261"/>
      <c r="G94" s="262"/>
      <c r="H94" s="72"/>
      <c r="I94" s="321" t="s">
        <v>97</v>
      </c>
      <c r="J94" s="356" t="str">
        <f>Walk!$J$94</f>
        <v>Muscle 22</v>
      </c>
      <c r="K94" s="178">
        <f t="shared" ref="K94:L101" si="13">A713</f>
        <v>0</v>
      </c>
      <c r="L94" s="357">
        <f t="shared" si="13"/>
        <v>80</v>
      </c>
      <c r="M94" s="187">
        <f>B710</f>
        <v>60</v>
      </c>
      <c r="N94" s="84"/>
    </row>
    <row r="95" spans="1:14" x14ac:dyDescent="0.2">
      <c r="A95" s="231"/>
      <c r="B95" s="235"/>
      <c r="C95" s="153">
        <f t="shared" si="12"/>
        <v>10</v>
      </c>
      <c r="D95" s="152">
        <f t="shared" si="12"/>
        <v>50</v>
      </c>
      <c r="E95" s="235"/>
      <c r="F95" s="261"/>
      <c r="G95" s="262"/>
      <c r="H95" s="72"/>
      <c r="I95" s="233"/>
      <c r="J95" s="237"/>
      <c r="K95" s="181">
        <f t="shared" si="13"/>
        <v>7.89</v>
      </c>
      <c r="L95" s="182">
        <f t="shared" si="13"/>
        <v>80</v>
      </c>
      <c r="M95" s="237"/>
      <c r="N95" s="84"/>
    </row>
    <row r="96" spans="1:14" x14ac:dyDescent="0.2">
      <c r="A96" s="248"/>
      <c r="B96" s="249"/>
      <c r="C96" s="153">
        <f t="shared" si="12"/>
        <v>50</v>
      </c>
      <c r="D96" s="152">
        <f t="shared" si="12"/>
        <v>50</v>
      </c>
      <c r="E96" s="235"/>
      <c r="F96" s="261"/>
      <c r="G96" s="262"/>
      <c r="H96" s="72"/>
      <c r="I96" s="233"/>
      <c r="J96" s="237"/>
      <c r="K96" s="181">
        <f t="shared" si="13"/>
        <v>20</v>
      </c>
      <c r="L96" s="182">
        <f t="shared" si="13"/>
        <v>80</v>
      </c>
      <c r="M96" s="237"/>
      <c r="N96" s="84"/>
    </row>
    <row r="97" spans="1:14" x14ac:dyDescent="0.2">
      <c r="A97" s="248"/>
      <c r="B97" s="249"/>
      <c r="C97" s="153">
        <f t="shared" si="12"/>
        <v>75</v>
      </c>
      <c r="D97" s="152">
        <f t="shared" si="12"/>
        <v>50</v>
      </c>
      <c r="E97" s="235"/>
      <c r="F97" s="261"/>
      <c r="G97" s="262"/>
      <c r="H97" s="72"/>
      <c r="I97" s="233"/>
      <c r="J97" s="237"/>
      <c r="K97" s="181">
        <f t="shared" si="13"/>
        <v>55.26</v>
      </c>
      <c r="L97" s="182">
        <f t="shared" si="13"/>
        <v>80</v>
      </c>
      <c r="M97" s="237"/>
      <c r="N97" s="84"/>
    </row>
    <row r="98" spans="1:14" x14ac:dyDescent="0.2">
      <c r="A98" s="248"/>
      <c r="B98" s="249"/>
      <c r="C98" s="153">
        <f t="shared" si="12"/>
        <v>88</v>
      </c>
      <c r="D98" s="152">
        <f t="shared" si="12"/>
        <v>50</v>
      </c>
      <c r="E98" s="235"/>
      <c r="F98" s="261"/>
      <c r="G98" s="262"/>
      <c r="H98" s="72"/>
      <c r="I98" s="233"/>
      <c r="J98" s="237"/>
      <c r="K98" s="181">
        <f t="shared" si="13"/>
        <v>60</v>
      </c>
      <c r="L98" s="182">
        <f t="shared" si="13"/>
        <v>80</v>
      </c>
      <c r="M98" s="237"/>
      <c r="N98" s="84"/>
    </row>
    <row r="99" spans="1:14" x14ac:dyDescent="0.2">
      <c r="A99" s="248"/>
      <c r="B99" s="249"/>
      <c r="C99" s="153">
        <f t="shared" si="12"/>
        <v>94</v>
      </c>
      <c r="D99" s="152">
        <f t="shared" si="12"/>
        <v>50</v>
      </c>
      <c r="E99" s="235"/>
      <c r="F99" s="261"/>
      <c r="G99" s="262"/>
      <c r="H99" s="72"/>
      <c r="I99" s="233"/>
      <c r="J99" s="237"/>
      <c r="K99" s="181">
        <f t="shared" si="13"/>
        <v>65</v>
      </c>
      <c r="L99" s="182">
        <f t="shared" si="13"/>
        <v>80</v>
      </c>
      <c r="M99" s="237"/>
      <c r="N99" s="84"/>
    </row>
    <row r="100" spans="1:14" x14ac:dyDescent="0.2">
      <c r="A100" s="248"/>
      <c r="B100" s="249"/>
      <c r="C100" s="153">
        <f>A334</f>
        <v>95</v>
      </c>
      <c r="D100" s="152">
        <f>B334</f>
        <v>50</v>
      </c>
      <c r="E100" s="235"/>
      <c r="F100" s="261"/>
      <c r="G100" s="262"/>
      <c r="H100" s="72"/>
      <c r="I100" s="233"/>
      <c r="J100" s="237"/>
      <c r="K100" s="181">
        <f t="shared" si="13"/>
        <v>71.05</v>
      </c>
      <c r="L100" s="182">
        <f t="shared" si="13"/>
        <v>80</v>
      </c>
      <c r="M100" s="237"/>
      <c r="N100" s="84"/>
    </row>
    <row r="101" spans="1:14" ht="13.5" thickBot="1" x14ac:dyDescent="0.25">
      <c r="A101" s="250"/>
      <c r="B101" s="251"/>
      <c r="C101" s="157">
        <f>A335</f>
        <v>100</v>
      </c>
      <c r="D101" s="156">
        <f>B335</f>
        <v>50</v>
      </c>
      <c r="E101" s="239"/>
      <c r="F101" s="261"/>
      <c r="G101" s="262"/>
      <c r="H101" s="72"/>
      <c r="I101" s="241"/>
      <c r="J101" s="242"/>
      <c r="K101" s="332">
        <f t="shared" si="13"/>
        <v>100</v>
      </c>
      <c r="L101" s="358">
        <f t="shared" si="13"/>
        <v>80</v>
      </c>
      <c r="M101" s="242"/>
      <c r="N101" s="84"/>
    </row>
    <row r="102" spans="1:14" x14ac:dyDescent="0.2">
      <c r="A102" s="277" t="s">
        <v>81</v>
      </c>
      <c r="B102" s="232" t="str">
        <f>Walk!$B$102</f>
        <v>Muscle 7</v>
      </c>
      <c r="C102" s="148">
        <f t="shared" ref="C102:D107" si="14">A352</f>
        <v>0</v>
      </c>
      <c r="D102" s="147">
        <f t="shared" si="14"/>
        <v>20</v>
      </c>
      <c r="E102" s="264">
        <f>B349</f>
        <v>60</v>
      </c>
      <c r="F102" s="261"/>
      <c r="G102" s="262"/>
      <c r="H102" s="72"/>
      <c r="I102" s="321" t="s">
        <v>98</v>
      </c>
      <c r="J102" s="234" t="str">
        <f>Walk!$J$102</f>
        <v>Muscle 23</v>
      </c>
      <c r="K102" s="172">
        <f t="shared" ref="K102:L109" si="15">A737</f>
        <v>0</v>
      </c>
      <c r="L102" s="173">
        <f t="shared" si="15"/>
        <v>0</v>
      </c>
      <c r="M102" s="263">
        <f>B734</f>
        <v>30</v>
      </c>
      <c r="N102" s="84"/>
    </row>
    <row r="103" spans="1:14" x14ac:dyDescent="0.2">
      <c r="A103" s="231"/>
      <c r="B103" s="235"/>
      <c r="C103" s="153">
        <f t="shared" si="14"/>
        <v>10</v>
      </c>
      <c r="D103" s="152">
        <f t="shared" si="14"/>
        <v>20</v>
      </c>
      <c r="E103" s="265"/>
      <c r="F103" s="261"/>
      <c r="G103" s="262"/>
      <c r="H103" s="72"/>
      <c r="I103" s="233"/>
      <c r="J103" s="237"/>
      <c r="K103" s="172">
        <f t="shared" si="15"/>
        <v>7.89</v>
      </c>
      <c r="L103" s="173">
        <f t="shared" si="15"/>
        <v>0</v>
      </c>
      <c r="M103" s="253"/>
      <c r="N103" s="84"/>
    </row>
    <row r="104" spans="1:14" x14ac:dyDescent="0.2">
      <c r="A104" s="231"/>
      <c r="B104" s="235"/>
      <c r="C104" s="153">
        <f t="shared" si="14"/>
        <v>50</v>
      </c>
      <c r="D104" s="152">
        <f t="shared" si="14"/>
        <v>20</v>
      </c>
      <c r="E104" s="265"/>
      <c r="F104" s="261"/>
      <c r="G104" s="262"/>
      <c r="H104" s="72"/>
      <c r="I104" s="233"/>
      <c r="J104" s="237"/>
      <c r="K104" s="172">
        <f t="shared" si="15"/>
        <v>20</v>
      </c>
      <c r="L104" s="173">
        <f t="shared" si="15"/>
        <v>0</v>
      </c>
      <c r="M104" s="253"/>
      <c r="N104" s="84"/>
    </row>
    <row r="105" spans="1:14" x14ac:dyDescent="0.2">
      <c r="A105" s="231"/>
      <c r="B105" s="235"/>
      <c r="C105" s="153">
        <f t="shared" si="14"/>
        <v>75</v>
      </c>
      <c r="D105" s="152">
        <f t="shared" si="14"/>
        <v>20</v>
      </c>
      <c r="E105" s="265"/>
      <c r="F105" s="261"/>
      <c r="G105" s="262"/>
      <c r="H105" s="72"/>
      <c r="I105" s="233"/>
      <c r="J105" s="237"/>
      <c r="K105" s="172">
        <f t="shared" si="15"/>
        <v>55.26</v>
      </c>
      <c r="L105" s="173">
        <f t="shared" si="15"/>
        <v>0</v>
      </c>
      <c r="M105" s="253"/>
      <c r="N105" s="84"/>
    </row>
    <row r="106" spans="1:14" x14ac:dyDescent="0.2">
      <c r="A106" s="231"/>
      <c r="B106" s="235"/>
      <c r="C106" s="153">
        <f t="shared" si="14"/>
        <v>88</v>
      </c>
      <c r="D106" s="152">
        <f t="shared" si="14"/>
        <v>20</v>
      </c>
      <c r="E106" s="265"/>
      <c r="F106" s="261"/>
      <c r="G106" s="262"/>
      <c r="H106" s="72"/>
      <c r="I106" s="233"/>
      <c r="J106" s="237"/>
      <c r="K106" s="172">
        <f t="shared" si="15"/>
        <v>60</v>
      </c>
      <c r="L106" s="173">
        <f t="shared" si="15"/>
        <v>0</v>
      </c>
      <c r="M106" s="253"/>
      <c r="N106" s="84"/>
    </row>
    <row r="107" spans="1:14" x14ac:dyDescent="0.2">
      <c r="A107" s="231"/>
      <c r="B107" s="235"/>
      <c r="C107" s="153">
        <f t="shared" si="14"/>
        <v>94</v>
      </c>
      <c r="D107" s="152">
        <f t="shared" si="14"/>
        <v>20</v>
      </c>
      <c r="E107" s="265"/>
      <c r="F107" s="261"/>
      <c r="G107" s="262"/>
      <c r="H107" s="72"/>
      <c r="I107" s="233"/>
      <c r="J107" s="237"/>
      <c r="K107" s="172">
        <f t="shared" si="15"/>
        <v>65</v>
      </c>
      <c r="L107" s="173">
        <f t="shared" si="15"/>
        <v>0</v>
      </c>
      <c r="M107" s="253"/>
      <c r="N107" s="84"/>
    </row>
    <row r="108" spans="1:14" x14ac:dyDescent="0.2">
      <c r="A108" s="231"/>
      <c r="B108" s="235"/>
      <c r="C108" s="153">
        <f>A358</f>
        <v>95</v>
      </c>
      <c r="D108" s="152">
        <f>B358</f>
        <v>20</v>
      </c>
      <c r="E108" s="265"/>
      <c r="F108" s="261"/>
      <c r="G108" s="262"/>
      <c r="H108" s="72"/>
      <c r="I108" s="233"/>
      <c r="J108" s="237"/>
      <c r="K108" s="172">
        <f t="shared" si="15"/>
        <v>71.05</v>
      </c>
      <c r="L108" s="173">
        <f t="shared" si="15"/>
        <v>0</v>
      </c>
      <c r="M108" s="253"/>
      <c r="N108" s="84"/>
    </row>
    <row r="109" spans="1:14" ht="13.5" thickBot="1" x14ac:dyDescent="0.25">
      <c r="A109" s="238"/>
      <c r="B109" s="239"/>
      <c r="C109" s="157">
        <f>A359</f>
        <v>100</v>
      </c>
      <c r="D109" s="156">
        <f>B359</f>
        <v>20</v>
      </c>
      <c r="E109" s="266"/>
      <c r="F109" s="261"/>
      <c r="G109" s="262"/>
      <c r="H109" s="72"/>
      <c r="I109" s="241"/>
      <c r="J109" s="242"/>
      <c r="K109" s="176">
        <f t="shared" si="15"/>
        <v>100</v>
      </c>
      <c r="L109" s="177">
        <f t="shared" si="15"/>
        <v>0</v>
      </c>
      <c r="M109" s="254"/>
      <c r="N109" s="84"/>
    </row>
    <row r="110" spans="1:14" x14ac:dyDescent="0.2">
      <c r="A110" s="277" t="s">
        <v>82</v>
      </c>
      <c r="B110" s="232" t="str">
        <f>Walk!$B$110</f>
        <v>Muscle 8</v>
      </c>
      <c r="C110" s="160">
        <f>A376</f>
        <v>0</v>
      </c>
      <c r="D110" s="165">
        <f>B376</f>
        <v>0</v>
      </c>
      <c r="E110" s="186">
        <f>B373</f>
        <v>30</v>
      </c>
      <c r="F110" s="261"/>
      <c r="G110" s="262"/>
      <c r="H110" s="72"/>
      <c r="N110" s="84"/>
    </row>
    <row r="111" spans="1:14" x14ac:dyDescent="0.2">
      <c r="A111" s="231"/>
      <c r="B111" s="235"/>
      <c r="C111" s="148">
        <f t="shared" ref="C111:D117" si="16">A377</f>
        <v>7.89</v>
      </c>
      <c r="D111" s="147">
        <f t="shared" si="16"/>
        <v>0</v>
      </c>
      <c r="E111" s="235"/>
      <c r="F111" s="255"/>
      <c r="G111" s="255"/>
      <c r="H111" s="255"/>
      <c r="N111" s="84"/>
    </row>
    <row r="112" spans="1:14" x14ac:dyDescent="0.2">
      <c r="A112" s="231"/>
      <c r="B112" s="235"/>
      <c r="C112" s="148">
        <f t="shared" si="16"/>
        <v>20</v>
      </c>
      <c r="D112" s="147">
        <f t="shared" si="16"/>
        <v>0</v>
      </c>
      <c r="E112" s="235"/>
      <c r="F112" s="255"/>
      <c r="G112" s="255"/>
      <c r="H112" s="255"/>
      <c r="N112" s="84"/>
    </row>
    <row r="113" spans="1:14" x14ac:dyDescent="0.2">
      <c r="A113" s="231"/>
      <c r="B113" s="235"/>
      <c r="C113" s="148">
        <f t="shared" si="16"/>
        <v>55.26</v>
      </c>
      <c r="D113" s="147">
        <f t="shared" si="16"/>
        <v>0</v>
      </c>
      <c r="E113" s="235"/>
      <c r="F113" s="255"/>
      <c r="G113" s="255"/>
      <c r="H113" s="255"/>
      <c r="N113" s="84"/>
    </row>
    <row r="114" spans="1:14" x14ac:dyDescent="0.2">
      <c r="A114" s="231"/>
      <c r="B114" s="235"/>
      <c r="C114" s="148">
        <f t="shared" si="16"/>
        <v>60</v>
      </c>
      <c r="D114" s="147">
        <f t="shared" si="16"/>
        <v>0</v>
      </c>
      <c r="E114" s="235"/>
      <c r="F114" s="268"/>
      <c r="G114" s="268"/>
      <c r="H114" s="255"/>
      <c r="N114" s="84"/>
    </row>
    <row r="115" spans="1:14" x14ac:dyDescent="0.2">
      <c r="A115" s="231"/>
      <c r="B115" s="235"/>
      <c r="C115" s="148">
        <f t="shared" si="16"/>
        <v>65</v>
      </c>
      <c r="D115" s="147">
        <f t="shared" si="16"/>
        <v>0</v>
      </c>
      <c r="E115" s="235"/>
      <c r="F115" s="268"/>
      <c r="G115" s="268"/>
      <c r="H115" s="255"/>
      <c r="N115" s="84"/>
    </row>
    <row r="116" spans="1:14" x14ac:dyDescent="0.2">
      <c r="A116" s="248"/>
      <c r="B116" s="249"/>
      <c r="C116" s="148">
        <f t="shared" si="16"/>
        <v>71.05</v>
      </c>
      <c r="D116" s="147">
        <f t="shared" si="16"/>
        <v>0</v>
      </c>
      <c r="E116" s="235"/>
      <c r="F116" s="268"/>
      <c r="G116" s="268"/>
      <c r="H116" s="255"/>
      <c r="N116" s="84"/>
    </row>
    <row r="117" spans="1:14" ht="13.5" thickBot="1" x14ac:dyDescent="0.25">
      <c r="A117" s="250"/>
      <c r="B117" s="251"/>
      <c r="C117" s="170">
        <f t="shared" si="16"/>
        <v>100</v>
      </c>
      <c r="D117" s="167">
        <f t="shared" si="16"/>
        <v>0</v>
      </c>
      <c r="E117" s="239"/>
      <c r="F117" s="268"/>
      <c r="G117" s="268"/>
      <c r="H117" s="255"/>
      <c r="N117" s="84"/>
    </row>
    <row r="118" spans="1:14" x14ac:dyDescent="0.2">
      <c r="A118" s="277" t="s">
        <v>83</v>
      </c>
      <c r="B118" s="232" t="str">
        <f>Walk!$B$118</f>
        <v>Muscle 9</v>
      </c>
      <c r="C118" s="160">
        <f>A400</f>
        <v>0</v>
      </c>
      <c r="D118" s="165">
        <f>B400</f>
        <v>150</v>
      </c>
      <c r="E118" s="267">
        <f>B397</f>
        <v>60</v>
      </c>
      <c r="F118" s="268"/>
      <c r="G118" s="268"/>
      <c r="H118" s="255"/>
      <c r="N118" s="84"/>
    </row>
    <row r="119" spans="1:14" x14ac:dyDescent="0.2">
      <c r="A119" s="248"/>
      <c r="B119" s="249"/>
      <c r="C119" s="148">
        <f t="shared" ref="C119:D125" si="17">A401</f>
        <v>7.89</v>
      </c>
      <c r="D119" s="147">
        <f t="shared" si="17"/>
        <v>150</v>
      </c>
      <c r="E119" s="265"/>
      <c r="F119" s="269"/>
      <c r="G119" s="268"/>
      <c r="H119" s="255"/>
      <c r="N119" s="84"/>
    </row>
    <row r="120" spans="1:14" x14ac:dyDescent="0.2">
      <c r="A120" s="248"/>
      <c r="B120" s="249"/>
      <c r="C120" s="148">
        <f t="shared" si="17"/>
        <v>20</v>
      </c>
      <c r="D120" s="147">
        <f t="shared" si="17"/>
        <v>150</v>
      </c>
      <c r="E120" s="265"/>
      <c r="F120" s="269"/>
      <c r="G120" s="268"/>
      <c r="H120" s="255"/>
      <c r="N120" s="84"/>
    </row>
    <row r="121" spans="1:14" x14ac:dyDescent="0.2">
      <c r="A121" s="248"/>
      <c r="B121" s="249"/>
      <c r="C121" s="148">
        <f t="shared" si="17"/>
        <v>55.26</v>
      </c>
      <c r="D121" s="147">
        <f t="shared" si="17"/>
        <v>150</v>
      </c>
      <c r="E121" s="265"/>
      <c r="F121" s="268"/>
      <c r="G121" s="268"/>
      <c r="H121" s="255"/>
      <c r="N121" s="84"/>
    </row>
    <row r="122" spans="1:14" ht="12.75" customHeight="1" x14ac:dyDescent="0.2">
      <c r="A122" s="231"/>
      <c r="B122" s="235"/>
      <c r="C122" s="148">
        <f t="shared" si="17"/>
        <v>60</v>
      </c>
      <c r="D122" s="147">
        <f t="shared" si="17"/>
        <v>150</v>
      </c>
      <c r="E122" s="265"/>
      <c r="F122" s="72"/>
      <c r="G122" s="268"/>
      <c r="H122" s="255"/>
    </row>
    <row r="123" spans="1:14" ht="12.75" customHeight="1" x14ac:dyDescent="0.2">
      <c r="A123" s="231"/>
      <c r="B123" s="235"/>
      <c r="C123" s="148">
        <f t="shared" si="17"/>
        <v>65</v>
      </c>
      <c r="D123" s="147">
        <f t="shared" si="17"/>
        <v>150</v>
      </c>
      <c r="E123" s="265"/>
      <c r="F123" s="72"/>
      <c r="G123" s="268"/>
      <c r="H123" s="255"/>
    </row>
    <row r="124" spans="1:14" x14ac:dyDescent="0.2">
      <c r="A124" s="231"/>
      <c r="B124" s="235"/>
      <c r="C124" s="148">
        <f t="shared" si="17"/>
        <v>71.05</v>
      </c>
      <c r="D124" s="147">
        <f t="shared" si="17"/>
        <v>150</v>
      </c>
      <c r="E124" s="265"/>
      <c r="F124" s="268"/>
      <c r="G124" s="268"/>
      <c r="H124" s="255"/>
    </row>
    <row r="125" spans="1:14" ht="13.5" thickBot="1" x14ac:dyDescent="0.25">
      <c r="A125" s="238"/>
      <c r="B125" s="239"/>
      <c r="C125" s="170">
        <f t="shared" si="17"/>
        <v>100</v>
      </c>
      <c r="D125" s="167">
        <f t="shared" si="17"/>
        <v>150</v>
      </c>
      <c r="E125" s="266"/>
      <c r="F125" s="268"/>
      <c r="G125" s="268"/>
      <c r="H125" s="255"/>
    </row>
    <row r="126" spans="1:14" x14ac:dyDescent="0.2">
      <c r="A126" s="277" t="s">
        <v>84</v>
      </c>
      <c r="B126" s="232" t="str">
        <f>Walk!$B$126</f>
        <v>Muscle 10</v>
      </c>
      <c r="C126" s="160">
        <f>A424</f>
        <v>0</v>
      </c>
      <c r="D126" s="165">
        <f>B424</f>
        <v>0</v>
      </c>
      <c r="E126" s="186">
        <f>B421</f>
        <v>60</v>
      </c>
      <c r="F126" s="268"/>
      <c r="G126" s="268"/>
      <c r="H126" s="255"/>
    </row>
    <row r="127" spans="1:14" x14ac:dyDescent="0.2">
      <c r="A127" s="231"/>
      <c r="B127" s="235"/>
      <c r="C127" s="148">
        <f t="shared" ref="C127:D133" si="18">A425</f>
        <v>7.89</v>
      </c>
      <c r="D127" s="147">
        <f t="shared" si="18"/>
        <v>0</v>
      </c>
      <c r="E127" s="235"/>
      <c r="F127" s="268"/>
      <c r="G127" s="268"/>
      <c r="H127" s="255"/>
    </row>
    <row r="128" spans="1:14" x14ac:dyDescent="0.2">
      <c r="A128" s="231"/>
      <c r="B128" s="235"/>
      <c r="C128" s="148">
        <f t="shared" si="18"/>
        <v>20</v>
      </c>
      <c r="D128" s="147">
        <f t="shared" si="18"/>
        <v>0</v>
      </c>
      <c r="E128" s="235"/>
      <c r="F128" s="268"/>
      <c r="G128" s="268"/>
      <c r="H128" s="255"/>
    </row>
    <row r="129" spans="1:13" x14ac:dyDescent="0.2">
      <c r="A129" s="231"/>
      <c r="B129" s="235"/>
      <c r="C129" s="148">
        <f t="shared" si="18"/>
        <v>55.26</v>
      </c>
      <c r="D129" s="147">
        <f t="shared" si="18"/>
        <v>0</v>
      </c>
      <c r="E129" s="235"/>
      <c r="F129" s="268"/>
      <c r="G129" s="268"/>
      <c r="H129" s="255"/>
    </row>
    <row r="130" spans="1:13" x14ac:dyDescent="0.2">
      <c r="A130" s="231"/>
      <c r="B130" s="235"/>
      <c r="C130" s="148">
        <f t="shared" si="18"/>
        <v>60</v>
      </c>
      <c r="D130" s="147">
        <f t="shared" si="18"/>
        <v>0</v>
      </c>
      <c r="E130" s="235"/>
      <c r="F130" s="268"/>
      <c r="G130" s="268"/>
      <c r="H130" s="255"/>
    </row>
    <row r="131" spans="1:13" x14ac:dyDescent="0.2">
      <c r="A131" s="231"/>
      <c r="B131" s="235"/>
      <c r="C131" s="148">
        <f t="shared" si="18"/>
        <v>65</v>
      </c>
      <c r="D131" s="147">
        <f t="shared" si="18"/>
        <v>0</v>
      </c>
      <c r="E131" s="235"/>
      <c r="F131" s="268"/>
      <c r="G131" s="268"/>
      <c r="H131" s="255"/>
    </row>
    <row r="132" spans="1:13" x14ac:dyDescent="0.2">
      <c r="A132" s="231"/>
      <c r="B132" s="235"/>
      <c r="C132" s="148">
        <f t="shared" si="18"/>
        <v>71.05</v>
      </c>
      <c r="D132" s="147">
        <f t="shared" si="18"/>
        <v>0</v>
      </c>
      <c r="E132" s="235"/>
      <c r="F132" s="268"/>
      <c r="G132" s="268"/>
      <c r="H132" s="255"/>
    </row>
    <row r="133" spans="1:13" ht="13.5" thickBot="1" x14ac:dyDescent="0.25">
      <c r="A133" s="238"/>
      <c r="B133" s="239"/>
      <c r="C133" s="170">
        <f t="shared" si="18"/>
        <v>100</v>
      </c>
      <c r="D133" s="167">
        <f t="shared" si="18"/>
        <v>0</v>
      </c>
      <c r="E133" s="239"/>
      <c r="F133" s="268"/>
      <c r="G133" s="268"/>
      <c r="H133" s="255"/>
    </row>
    <row r="134" spans="1:13" x14ac:dyDescent="0.2">
      <c r="A134" s="277" t="s">
        <v>85</v>
      </c>
      <c r="B134" s="232" t="str">
        <f>Walk!$B$134</f>
        <v>Muscle 11</v>
      </c>
      <c r="C134" s="160">
        <f>A448</f>
        <v>0</v>
      </c>
      <c r="D134" s="165">
        <f>B448</f>
        <v>100</v>
      </c>
      <c r="E134" s="267">
        <f>B445</f>
        <v>60</v>
      </c>
      <c r="F134" s="268"/>
      <c r="G134" s="268"/>
      <c r="H134" s="255"/>
    </row>
    <row r="135" spans="1:13" x14ac:dyDescent="0.2">
      <c r="A135" s="231"/>
      <c r="B135" s="235"/>
      <c r="C135" s="148">
        <f t="shared" ref="C135:D141" si="19">A449</f>
        <v>7.89</v>
      </c>
      <c r="D135" s="147">
        <f t="shared" si="19"/>
        <v>100</v>
      </c>
      <c r="E135" s="265"/>
      <c r="F135" s="268"/>
      <c r="G135" s="268"/>
      <c r="H135" s="255"/>
    </row>
    <row r="136" spans="1:13" x14ac:dyDescent="0.2">
      <c r="A136" s="248"/>
      <c r="B136" s="249"/>
      <c r="C136" s="148">
        <f t="shared" si="19"/>
        <v>20</v>
      </c>
      <c r="D136" s="147">
        <f t="shared" si="19"/>
        <v>100</v>
      </c>
      <c r="E136" s="265"/>
      <c r="F136" s="268"/>
      <c r="G136" s="268"/>
      <c r="H136" s="255"/>
    </row>
    <row r="137" spans="1:13" x14ac:dyDescent="0.2">
      <c r="A137" s="248"/>
      <c r="B137" s="249"/>
      <c r="C137" s="148">
        <f t="shared" si="19"/>
        <v>55.26</v>
      </c>
      <c r="D137" s="147">
        <f t="shared" si="19"/>
        <v>100</v>
      </c>
      <c r="E137" s="265"/>
      <c r="F137" s="268"/>
      <c r="G137" s="268"/>
      <c r="H137" s="255"/>
    </row>
    <row r="138" spans="1:13" x14ac:dyDescent="0.2">
      <c r="A138" s="248"/>
      <c r="B138" s="249"/>
      <c r="C138" s="148">
        <f t="shared" si="19"/>
        <v>60</v>
      </c>
      <c r="D138" s="147">
        <f t="shared" si="19"/>
        <v>100</v>
      </c>
      <c r="E138" s="265"/>
      <c r="F138" s="268"/>
      <c r="G138" s="268"/>
      <c r="H138" s="255"/>
    </row>
    <row r="139" spans="1:13" x14ac:dyDescent="0.2">
      <c r="A139" s="248"/>
      <c r="B139" s="249"/>
      <c r="C139" s="148">
        <f t="shared" si="19"/>
        <v>65</v>
      </c>
      <c r="D139" s="147">
        <f t="shared" si="19"/>
        <v>100</v>
      </c>
      <c r="E139" s="265"/>
      <c r="F139" s="268"/>
      <c r="G139" s="268"/>
      <c r="H139" s="255"/>
    </row>
    <row r="140" spans="1:13" x14ac:dyDescent="0.2">
      <c r="A140" s="248"/>
      <c r="B140" s="249"/>
      <c r="C140" s="148">
        <f t="shared" si="19"/>
        <v>71.05</v>
      </c>
      <c r="D140" s="147">
        <f t="shared" si="19"/>
        <v>100</v>
      </c>
      <c r="E140" s="265"/>
      <c r="F140" s="268"/>
      <c r="G140" s="268"/>
      <c r="H140" s="255"/>
    </row>
    <row r="141" spans="1:13" ht="13.5" thickBot="1" x14ac:dyDescent="0.25">
      <c r="A141" s="250"/>
      <c r="B141" s="251"/>
      <c r="C141" s="170">
        <f t="shared" si="19"/>
        <v>100</v>
      </c>
      <c r="D141" s="167">
        <f t="shared" si="19"/>
        <v>100</v>
      </c>
      <c r="E141" s="266"/>
      <c r="F141" s="268"/>
      <c r="G141" s="268"/>
      <c r="H141" s="255"/>
    </row>
    <row r="142" spans="1:13" x14ac:dyDescent="0.2">
      <c r="A142" s="277" t="s">
        <v>86</v>
      </c>
      <c r="B142" s="232" t="str">
        <f>Walk!$B$142</f>
        <v>Muscle 12</v>
      </c>
      <c r="C142" s="146">
        <f t="shared" ref="C142:D149" si="20">A473</f>
        <v>0</v>
      </c>
      <c r="D142" s="147">
        <f t="shared" si="20"/>
        <v>0</v>
      </c>
      <c r="E142" s="264">
        <f>B470</f>
        <v>30</v>
      </c>
      <c r="F142" s="268"/>
      <c r="G142" s="268"/>
      <c r="H142" s="255"/>
      <c r="I142" s="255"/>
      <c r="J142" s="255"/>
      <c r="K142" s="255"/>
      <c r="L142" s="255"/>
      <c r="M142" s="255"/>
    </row>
    <row r="143" spans="1:13" ht="12.75" customHeight="1" x14ac:dyDescent="0.25">
      <c r="A143" s="231"/>
      <c r="B143" s="235"/>
      <c r="C143" s="146">
        <f t="shared" si="20"/>
        <v>5</v>
      </c>
      <c r="D143" s="147">
        <f t="shared" si="20"/>
        <v>0</v>
      </c>
      <c r="E143" s="265"/>
      <c r="F143" s="270"/>
      <c r="G143" s="268"/>
      <c r="H143" s="255"/>
      <c r="I143" s="255"/>
      <c r="J143" s="255"/>
      <c r="K143" s="255"/>
      <c r="L143" s="255"/>
      <c r="M143" s="255"/>
    </row>
    <row r="144" spans="1:13" ht="12.75" customHeight="1" x14ac:dyDescent="0.25">
      <c r="A144" s="231"/>
      <c r="B144" s="235"/>
      <c r="C144" s="146">
        <f t="shared" si="20"/>
        <v>10.256410000000001</v>
      </c>
      <c r="D144" s="147">
        <f t="shared" si="20"/>
        <v>0</v>
      </c>
      <c r="E144" s="265"/>
      <c r="F144" s="270"/>
      <c r="G144" s="268"/>
      <c r="H144" s="255"/>
      <c r="I144" s="255"/>
      <c r="J144" s="255"/>
      <c r="K144" s="255"/>
      <c r="L144" s="255"/>
      <c r="M144" s="255"/>
    </row>
    <row r="145" spans="1:13" ht="12.75" customHeight="1" x14ac:dyDescent="0.25">
      <c r="A145" s="231"/>
      <c r="B145" s="235"/>
      <c r="C145" s="146">
        <f t="shared" si="20"/>
        <v>12.820513</v>
      </c>
      <c r="D145" s="147">
        <f t="shared" si="20"/>
        <v>150</v>
      </c>
      <c r="E145" s="265"/>
      <c r="F145" s="270"/>
      <c r="G145" s="268"/>
      <c r="H145" s="255"/>
      <c r="I145" s="255"/>
      <c r="J145" s="255"/>
      <c r="K145" s="255"/>
      <c r="L145" s="255"/>
      <c r="M145" s="255"/>
    </row>
    <row r="146" spans="1:13" ht="12.75" customHeight="1" x14ac:dyDescent="0.25">
      <c r="A146" s="231"/>
      <c r="B146" s="235"/>
      <c r="C146" s="146">
        <f t="shared" si="20"/>
        <v>56</v>
      </c>
      <c r="D146" s="147">
        <f t="shared" si="20"/>
        <v>150</v>
      </c>
      <c r="E146" s="265"/>
      <c r="F146" s="270"/>
      <c r="G146" s="268"/>
      <c r="H146" s="255"/>
      <c r="I146" s="255"/>
      <c r="J146" s="255"/>
      <c r="K146" s="255"/>
      <c r="L146" s="255"/>
      <c r="M146" s="255"/>
    </row>
    <row r="147" spans="1:13" ht="12.75" customHeight="1" x14ac:dyDescent="0.25">
      <c r="A147" s="231"/>
      <c r="B147" s="235"/>
      <c r="C147" s="146">
        <f t="shared" si="20"/>
        <v>78</v>
      </c>
      <c r="D147" s="147">
        <f t="shared" si="20"/>
        <v>150</v>
      </c>
      <c r="E147" s="265"/>
      <c r="F147" s="270"/>
      <c r="G147" s="268"/>
      <c r="H147" s="255"/>
      <c r="I147" s="255"/>
      <c r="J147" s="255"/>
      <c r="K147" s="255"/>
      <c r="L147" s="255"/>
      <c r="M147" s="255"/>
    </row>
    <row r="148" spans="1:13" ht="12.75" customHeight="1" x14ac:dyDescent="0.25">
      <c r="A148" s="231"/>
      <c r="B148" s="235"/>
      <c r="C148" s="146">
        <f t="shared" si="20"/>
        <v>95</v>
      </c>
      <c r="D148" s="147">
        <f t="shared" si="20"/>
        <v>150</v>
      </c>
      <c r="E148" s="265"/>
      <c r="F148" s="270"/>
      <c r="G148" s="268"/>
      <c r="H148" s="255"/>
      <c r="I148" s="255"/>
      <c r="J148" s="255"/>
      <c r="K148" s="255"/>
      <c r="L148" s="255"/>
      <c r="M148" s="255"/>
    </row>
    <row r="149" spans="1:13" ht="12.75" customHeight="1" thickBot="1" x14ac:dyDescent="0.3">
      <c r="A149" s="238"/>
      <c r="B149" s="239"/>
      <c r="C149" s="166">
        <f t="shared" si="20"/>
        <v>100</v>
      </c>
      <c r="D149" s="167">
        <f t="shared" si="20"/>
        <v>150</v>
      </c>
      <c r="E149" s="266"/>
      <c r="F149" s="270"/>
      <c r="G149" s="268"/>
      <c r="H149" s="255"/>
      <c r="I149" s="255"/>
      <c r="J149" s="255"/>
      <c r="K149" s="255"/>
      <c r="L149" s="255"/>
      <c r="M149" s="255"/>
    </row>
    <row r="150" spans="1:13" ht="12.75" customHeight="1" x14ac:dyDescent="0.25">
      <c r="A150" s="277" t="s">
        <v>87</v>
      </c>
      <c r="B150" s="232" t="str">
        <f>Walk!$B$150</f>
        <v>Muscle 13</v>
      </c>
      <c r="C150" s="164">
        <f t="shared" ref="C150:D157" si="21">A497</f>
        <v>0</v>
      </c>
      <c r="D150" s="165">
        <f t="shared" si="21"/>
        <v>0</v>
      </c>
      <c r="E150" s="186">
        <f>B494</f>
        <v>60</v>
      </c>
      <c r="F150" s="270"/>
      <c r="G150" s="268"/>
      <c r="H150" s="255"/>
      <c r="I150" s="255"/>
      <c r="J150" s="255"/>
      <c r="K150" s="255"/>
      <c r="L150" s="255"/>
      <c r="M150" s="255"/>
    </row>
    <row r="151" spans="1:13" ht="12.75" customHeight="1" x14ac:dyDescent="0.25">
      <c r="A151" s="231"/>
      <c r="B151" s="235"/>
      <c r="C151" s="146">
        <f t="shared" si="21"/>
        <v>10</v>
      </c>
      <c r="D151" s="147">
        <f t="shared" si="21"/>
        <v>0</v>
      </c>
      <c r="E151" s="235"/>
      <c r="F151" s="270"/>
      <c r="G151" s="268"/>
      <c r="H151" s="255"/>
      <c r="I151" s="255"/>
      <c r="J151" s="255"/>
      <c r="K151" s="255"/>
      <c r="L151" s="255"/>
      <c r="M151" s="255"/>
    </row>
    <row r="152" spans="1:13" ht="12.75" customHeight="1" x14ac:dyDescent="0.25">
      <c r="A152" s="231"/>
      <c r="B152" s="235"/>
      <c r="C152" s="146">
        <f t="shared" si="21"/>
        <v>50</v>
      </c>
      <c r="D152" s="147">
        <f t="shared" si="21"/>
        <v>0</v>
      </c>
      <c r="E152" s="235"/>
      <c r="F152" s="270"/>
      <c r="G152" s="268"/>
      <c r="H152" s="255"/>
      <c r="I152" s="255"/>
      <c r="J152" s="255"/>
      <c r="K152" s="255"/>
      <c r="L152" s="255"/>
      <c r="M152" s="255"/>
    </row>
    <row r="153" spans="1:13" ht="12.75" customHeight="1" x14ac:dyDescent="0.25">
      <c r="A153" s="231"/>
      <c r="B153" s="235"/>
      <c r="C153" s="146">
        <f t="shared" si="21"/>
        <v>75</v>
      </c>
      <c r="D153" s="147">
        <f t="shared" si="21"/>
        <v>0</v>
      </c>
      <c r="E153" s="235"/>
      <c r="F153" s="270"/>
      <c r="G153" s="268"/>
      <c r="H153" s="255"/>
      <c r="I153" s="255"/>
      <c r="J153" s="255"/>
      <c r="K153" s="255"/>
      <c r="L153" s="255"/>
      <c r="M153" s="255"/>
    </row>
    <row r="154" spans="1:13" ht="12.75" customHeight="1" x14ac:dyDescent="0.25">
      <c r="A154" s="231"/>
      <c r="B154" s="235"/>
      <c r="C154" s="146">
        <f t="shared" si="21"/>
        <v>88</v>
      </c>
      <c r="D154" s="147">
        <f t="shared" si="21"/>
        <v>0</v>
      </c>
      <c r="E154" s="235"/>
      <c r="F154" s="270"/>
      <c r="G154" s="268"/>
      <c r="H154" s="255"/>
      <c r="I154" s="255"/>
      <c r="J154" s="255"/>
      <c r="K154" s="255"/>
      <c r="L154" s="255"/>
      <c r="M154" s="255"/>
    </row>
    <row r="155" spans="1:13" ht="12.75" customHeight="1" x14ac:dyDescent="0.25">
      <c r="A155" s="231"/>
      <c r="B155" s="235"/>
      <c r="C155" s="146">
        <f t="shared" si="21"/>
        <v>94</v>
      </c>
      <c r="D155" s="147">
        <f t="shared" si="21"/>
        <v>0</v>
      </c>
      <c r="E155" s="235"/>
      <c r="F155" s="270"/>
      <c r="G155" s="268"/>
      <c r="H155" s="255"/>
      <c r="I155" s="255"/>
      <c r="J155" s="255"/>
      <c r="K155" s="255"/>
      <c r="L155" s="255"/>
      <c r="M155" s="255"/>
    </row>
    <row r="156" spans="1:13" ht="12.75" customHeight="1" x14ac:dyDescent="0.25">
      <c r="A156" s="231"/>
      <c r="B156" s="235"/>
      <c r="C156" s="146">
        <f t="shared" si="21"/>
        <v>95</v>
      </c>
      <c r="D156" s="147">
        <f t="shared" si="21"/>
        <v>0</v>
      </c>
      <c r="E156" s="235"/>
      <c r="F156" s="270"/>
      <c r="G156" s="268"/>
      <c r="H156" s="255"/>
      <c r="I156" s="255"/>
      <c r="J156" s="255"/>
      <c r="K156" s="255"/>
      <c r="L156" s="255"/>
      <c r="M156" s="255"/>
    </row>
    <row r="157" spans="1:13" ht="12.75" customHeight="1" thickBot="1" x14ac:dyDescent="0.3">
      <c r="A157" s="238"/>
      <c r="B157" s="239"/>
      <c r="C157" s="166">
        <f t="shared" si="21"/>
        <v>100</v>
      </c>
      <c r="D157" s="167">
        <f t="shared" si="21"/>
        <v>0</v>
      </c>
      <c r="E157" s="239"/>
      <c r="F157" s="270"/>
      <c r="G157" s="268"/>
      <c r="H157" s="255"/>
      <c r="I157" s="255"/>
      <c r="J157" s="255"/>
      <c r="K157" s="255"/>
      <c r="L157" s="255"/>
      <c r="M157" s="255"/>
    </row>
    <row r="158" spans="1:13" ht="12.75" customHeight="1" x14ac:dyDescent="0.25">
      <c r="A158" s="277" t="s">
        <v>88</v>
      </c>
      <c r="B158" s="232" t="str">
        <f>Walk!$B$158</f>
        <v>Muscle 14</v>
      </c>
      <c r="C158" s="164">
        <f t="shared" ref="C158:D165" si="22">A521</f>
        <v>0</v>
      </c>
      <c r="D158" s="165">
        <f t="shared" si="22"/>
        <v>0</v>
      </c>
      <c r="E158" s="186">
        <f>B518</f>
        <v>60</v>
      </c>
      <c r="F158" s="270"/>
      <c r="G158" s="268"/>
      <c r="H158" s="255"/>
      <c r="I158" s="255"/>
      <c r="J158" s="255"/>
      <c r="K158" s="255"/>
      <c r="L158" s="255"/>
      <c r="M158" s="255"/>
    </row>
    <row r="159" spans="1:13" ht="12.75" customHeight="1" x14ac:dyDescent="0.25">
      <c r="A159" s="231"/>
      <c r="B159" s="235"/>
      <c r="C159" s="146">
        <f t="shared" si="22"/>
        <v>10.26</v>
      </c>
      <c r="D159" s="147">
        <f t="shared" si="22"/>
        <v>0</v>
      </c>
      <c r="E159" s="235"/>
      <c r="F159" s="270"/>
      <c r="G159" s="268"/>
      <c r="H159" s="255"/>
      <c r="I159" s="255"/>
      <c r="J159" s="255"/>
      <c r="K159" s="255"/>
      <c r="L159" s="255"/>
      <c r="M159" s="255"/>
    </row>
    <row r="160" spans="1:13" ht="12.75" customHeight="1" x14ac:dyDescent="0.25">
      <c r="A160" s="231"/>
      <c r="B160" s="235"/>
      <c r="C160" s="146">
        <f t="shared" si="22"/>
        <v>12.82</v>
      </c>
      <c r="D160" s="147">
        <f t="shared" si="22"/>
        <v>150</v>
      </c>
      <c r="E160" s="235"/>
      <c r="F160" s="270"/>
      <c r="G160" s="268"/>
      <c r="H160" s="255"/>
      <c r="I160" s="255"/>
      <c r="J160" s="255"/>
      <c r="K160" s="255"/>
      <c r="L160" s="255"/>
      <c r="M160" s="255"/>
    </row>
    <row r="161" spans="1:13" ht="12.75" customHeight="1" x14ac:dyDescent="0.25">
      <c r="A161" s="231"/>
      <c r="B161" s="235"/>
      <c r="C161" s="146">
        <f t="shared" si="22"/>
        <v>56</v>
      </c>
      <c r="D161" s="147">
        <f t="shared" si="22"/>
        <v>150</v>
      </c>
      <c r="E161" s="235"/>
      <c r="F161" s="270"/>
      <c r="G161" s="268"/>
      <c r="H161" s="255"/>
      <c r="I161" s="255"/>
      <c r="J161" s="255"/>
      <c r="K161" s="255"/>
      <c r="L161" s="255"/>
      <c r="M161" s="255"/>
    </row>
    <row r="162" spans="1:13" ht="12.75" customHeight="1" x14ac:dyDescent="0.25">
      <c r="A162" s="231"/>
      <c r="B162" s="235"/>
      <c r="C162" s="146">
        <f t="shared" si="22"/>
        <v>78</v>
      </c>
      <c r="D162" s="147">
        <f t="shared" si="22"/>
        <v>150</v>
      </c>
      <c r="E162" s="235"/>
      <c r="F162" s="270"/>
      <c r="G162" s="268"/>
      <c r="H162" s="255"/>
      <c r="I162" s="255"/>
      <c r="J162" s="255"/>
      <c r="K162" s="255"/>
      <c r="L162" s="255"/>
      <c r="M162" s="255"/>
    </row>
    <row r="163" spans="1:13" ht="12.75" customHeight="1" x14ac:dyDescent="0.25">
      <c r="A163" s="231"/>
      <c r="B163" s="235"/>
      <c r="C163" s="146">
        <f t="shared" si="22"/>
        <v>89</v>
      </c>
      <c r="D163" s="147">
        <f t="shared" si="22"/>
        <v>150</v>
      </c>
      <c r="E163" s="235"/>
      <c r="F163" s="270"/>
      <c r="G163" s="268"/>
      <c r="H163" s="255"/>
      <c r="I163" s="255"/>
      <c r="J163" s="255"/>
      <c r="K163" s="255"/>
      <c r="L163" s="255"/>
      <c r="M163" s="255"/>
    </row>
    <row r="164" spans="1:13" ht="12.75" customHeight="1" x14ac:dyDescent="0.25">
      <c r="A164" s="231"/>
      <c r="B164" s="235"/>
      <c r="C164" s="146">
        <f t="shared" si="22"/>
        <v>95</v>
      </c>
      <c r="D164" s="147">
        <f t="shared" si="22"/>
        <v>150</v>
      </c>
      <c r="E164" s="235"/>
      <c r="F164" s="270"/>
      <c r="G164" s="268"/>
      <c r="H164" s="255"/>
      <c r="I164" s="255"/>
      <c r="J164" s="255"/>
      <c r="K164" s="255"/>
      <c r="L164" s="255"/>
      <c r="M164" s="255"/>
    </row>
    <row r="165" spans="1:13" ht="12.75" customHeight="1" thickBot="1" x14ac:dyDescent="0.3">
      <c r="A165" s="238"/>
      <c r="B165" s="239"/>
      <c r="C165" s="166">
        <f t="shared" si="22"/>
        <v>100</v>
      </c>
      <c r="D165" s="167">
        <f t="shared" si="22"/>
        <v>150</v>
      </c>
      <c r="E165" s="239"/>
      <c r="F165" s="270"/>
      <c r="G165" s="268"/>
      <c r="H165" s="255"/>
      <c r="I165" s="255"/>
      <c r="J165" s="255"/>
      <c r="K165" s="255"/>
      <c r="L165" s="255"/>
      <c r="M165" s="255"/>
    </row>
    <row r="166" spans="1:13" ht="12.75" customHeight="1" x14ac:dyDescent="0.25">
      <c r="A166" s="277" t="s">
        <v>89</v>
      </c>
      <c r="B166" s="232" t="str">
        <f>Walk!$B$166</f>
        <v>Muscle 15</v>
      </c>
      <c r="C166" s="164">
        <f t="shared" ref="C166:D173" si="23">A545</f>
        <v>0</v>
      </c>
      <c r="D166" s="165">
        <f t="shared" si="23"/>
        <v>0</v>
      </c>
      <c r="E166" s="267">
        <f>B542</f>
        <v>60</v>
      </c>
      <c r="F166" s="270"/>
      <c r="G166" s="268"/>
      <c r="H166" s="255"/>
      <c r="I166" s="255"/>
      <c r="J166" s="255"/>
      <c r="K166" s="255"/>
      <c r="L166" s="255"/>
      <c r="M166" s="255"/>
    </row>
    <row r="167" spans="1:13" ht="12.75" customHeight="1" x14ac:dyDescent="0.25">
      <c r="A167" s="231"/>
      <c r="B167" s="235"/>
      <c r="C167" s="146">
        <f t="shared" si="23"/>
        <v>10.26</v>
      </c>
      <c r="D167" s="147">
        <f t="shared" si="23"/>
        <v>0</v>
      </c>
      <c r="E167" s="265"/>
      <c r="F167" s="270"/>
      <c r="G167" s="268"/>
      <c r="H167" s="255"/>
      <c r="I167" s="255"/>
      <c r="J167" s="255"/>
      <c r="K167" s="255"/>
      <c r="L167" s="255"/>
      <c r="M167" s="255"/>
    </row>
    <row r="168" spans="1:13" ht="12.75" customHeight="1" x14ac:dyDescent="0.25">
      <c r="A168" s="231"/>
      <c r="B168" s="235"/>
      <c r="C168" s="146">
        <f t="shared" si="23"/>
        <v>12.82</v>
      </c>
      <c r="D168" s="147">
        <f t="shared" si="23"/>
        <v>150</v>
      </c>
      <c r="E168" s="265"/>
      <c r="F168" s="270"/>
      <c r="G168" s="268"/>
      <c r="H168" s="255"/>
      <c r="I168" s="255"/>
      <c r="J168" s="255"/>
      <c r="K168" s="255"/>
      <c r="L168" s="255"/>
      <c r="M168" s="255"/>
    </row>
    <row r="169" spans="1:13" ht="12.75" customHeight="1" x14ac:dyDescent="0.25">
      <c r="A169" s="231"/>
      <c r="B169" s="235"/>
      <c r="C169" s="146">
        <f t="shared" si="23"/>
        <v>56</v>
      </c>
      <c r="D169" s="147">
        <f t="shared" si="23"/>
        <v>150</v>
      </c>
      <c r="E169" s="265"/>
      <c r="F169" s="270"/>
      <c r="G169" s="268"/>
      <c r="H169" s="255"/>
      <c r="I169" s="255"/>
      <c r="J169" s="255"/>
      <c r="K169" s="255"/>
      <c r="L169" s="255"/>
      <c r="M169" s="255"/>
    </row>
    <row r="170" spans="1:13" ht="12.75" customHeight="1" x14ac:dyDescent="0.25">
      <c r="A170" s="231"/>
      <c r="B170" s="235"/>
      <c r="C170" s="146">
        <f t="shared" si="23"/>
        <v>78</v>
      </c>
      <c r="D170" s="147">
        <f t="shared" si="23"/>
        <v>150</v>
      </c>
      <c r="E170" s="265"/>
      <c r="F170" s="188"/>
      <c r="G170" s="140"/>
      <c r="H170" s="85"/>
      <c r="I170" s="85"/>
      <c r="J170" s="85"/>
      <c r="K170" s="85"/>
      <c r="L170" s="85"/>
      <c r="M170" s="85"/>
    </row>
    <row r="171" spans="1:13" x14ac:dyDescent="0.2">
      <c r="A171" s="231"/>
      <c r="B171" s="235"/>
      <c r="C171" s="146">
        <f t="shared" si="23"/>
        <v>89</v>
      </c>
      <c r="D171" s="147">
        <f t="shared" si="23"/>
        <v>150</v>
      </c>
      <c r="E171" s="265"/>
      <c r="F171" s="140"/>
      <c r="G171" s="140"/>
      <c r="H171" s="85"/>
      <c r="I171" s="85"/>
      <c r="J171" s="85"/>
      <c r="K171" s="85"/>
      <c r="L171" s="85"/>
      <c r="M171" s="85"/>
    </row>
    <row r="172" spans="1:13" x14ac:dyDescent="0.2">
      <c r="A172" s="231"/>
      <c r="B172" s="235"/>
      <c r="C172" s="146">
        <f t="shared" si="23"/>
        <v>95</v>
      </c>
      <c r="D172" s="147">
        <f t="shared" si="23"/>
        <v>150</v>
      </c>
      <c r="E172" s="265"/>
      <c r="F172" s="140"/>
      <c r="G172" s="140"/>
      <c r="H172" s="85"/>
      <c r="I172" s="85"/>
      <c r="J172" s="85"/>
      <c r="K172" s="85"/>
      <c r="L172" s="85"/>
      <c r="M172" s="85"/>
    </row>
    <row r="173" spans="1:13" ht="13.5" thickBot="1" x14ac:dyDescent="0.25">
      <c r="A173" s="238"/>
      <c r="B173" s="239"/>
      <c r="C173" s="166">
        <f t="shared" si="23"/>
        <v>100</v>
      </c>
      <c r="D173" s="167">
        <f t="shared" si="23"/>
        <v>150</v>
      </c>
      <c r="E173" s="266"/>
      <c r="F173" s="140"/>
      <c r="G173" s="140"/>
      <c r="H173" s="85"/>
      <c r="I173" s="85"/>
      <c r="J173" s="85"/>
      <c r="K173" s="85"/>
      <c r="L173" s="85"/>
      <c r="M173" s="85"/>
    </row>
    <row r="174" spans="1:13" x14ac:dyDescent="0.2">
      <c r="A174" s="268"/>
      <c r="B174" s="268"/>
      <c r="C174" s="261"/>
      <c r="D174" s="262"/>
      <c r="E174" s="268"/>
      <c r="F174" s="140"/>
      <c r="G174" s="140"/>
      <c r="H174" s="349"/>
      <c r="I174" s="349"/>
      <c r="J174" s="349"/>
      <c r="K174" s="349"/>
      <c r="L174" s="349"/>
      <c r="M174" s="349"/>
    </row>
    <row r="175" spans="1:13" x14ac:dyDescent="0.2">
      <c r="A175" s="363" t="s">
        <v>22</v>
      </c>
      <c r="B175" s="363"/>
      <c r="C175" s="363"/>
      <c r="D175" s="363"/>
      <c r="E175" s="140"/>
      <c r="F175" s="140"/>
      <c r="G175" s="140"/>
      <c r="H175" s="85"/>
      <c r="I175" s="85"/>
      <c r="J175" s="85"/>
      <c r="K175" s="85"/>
      <c r="L175" s="85"/>
      <c r="M175" s="85"/>
    </row>
    <row r="176" spans="1:13" x14ac:dyDescent="0.2">
      <c r="A176" s="141"/>
      <c r="B176" s="141"/>
      <c r="C176" s="140"/>
      <c r="D176" s="422" t="s">
        <v>17</v>
      </c>
      <c r="E176" s="422"/>
      <c r="F176" s="422"/>
      <c r="G176" s="140"/>
      <c r="H176" s="85"/>
      <c r="I176" s="85"/>
      <c r="J176" s="85"/>
      <c r="K176" s="85"/>
      <c r="L176" s="85"/>
      <c r="M176" s="85"/>
    </row>
    <row r="177" spans="1:13" x14ac:dyDescent="0.2">
      <c r="A177" s="68"/>
      <c r="B177" s="66"/>
      <c r="C177" s="140"/>
      <c r="D177" s="422"/>
      <c r="E177" s="422"/>
      <c r="F177" s="422"/>
      <c r="G177" s="140"/>
      <c r="H177" s="85"/>
      <c r="I177" s="85"/>
      <c r="J177" s="85"/>
      <c r="K177" s="85"/>
      <c r="L177" s="85"/>
      <c r="M177" s="85"/>
    </row>
    <row r="178" spans="1:13" x14ac:dyDescent="0.2">
      <c r="A178" s="68"/>
      <c r="B178" s="66"/>
      <c r="C178" s="140"/>
      <c r="D178" s="140"/>
      <c r="E178" s="140"/>
      <c r="F178" s="140"/>
      <c r="G178" s="140"/>
      <c r="H178" s="85"/>
      <c r="I178" s="85"/>
      <c r="J178" s="85"/>
      <c r="K178" s="85"/>
      <c r="L178" s="85"/>
      <c r="M178" s="85"/>
    </row>
    <row r="179" spans="1:13" ht="13.5" thickBot="1" x14ac:dyDescent="0.25">
      <c r="A179" s="68"/>
      <c r="B179" s="66"/>
      <c r="C179" s="140"/>
      <c r="D179" s="140"/>
      <c r="E179" s="140"/>
      <c r="F179" s="140"/>
      <c r="G179" s="140"/>
      <c r="H179" s="85"/>
      <c r="I179" s="85"/>
      <c r="J179" s="85"/>
      <c r="K179" s="85"/>
      <c r="L179" s="85"/>
      <c r="M179" s="85"/>
    </row>
    <row r="180" spans="1:13" ht="13.5" thickBot="1" x14ac:dyDescent="0.25">
      <c r="A180" s="129" t="s">
        <v>73</v>
      </c>
      <c r="B180" s="25" t="s">
        <v>16</v>
      </c>
      <c r="C180" s="113"/>
      <c r="D180" s="113"/>
      <c r="E180" s="113"/>
      <c r="F180" s="113"/>
      <c r="G180" s="113"/>
      <c r="H180" s="85"/>
      <c r="I180" s="85"/>
      <c r="J180" s="85"/>
      <c r="K180" s="85"/>
      <c r="L180" s="85"/>
      <c r="M180" s="85"/>
    </row>
    <row r="181" spans="1:13" ht="13.5" thickBot="1" x14ac:dyDescent="0.25">
      <c r="A181" s="311" t="s">
        <v>74</v>
      </c>
      <c r="B181" s="209">
        <v>30</v>
      </c>
      <c r="C181" s="113"/>
      <c r="D181" s="113"/>
      <c r="E181" s="113"/>
      <c r="F181" s="113"/>
      <c r="G181" s="113"/>
      <c r="H181" s="85"/>
      <c r="I181" s="85"/>
      <c r="J181" s="85"/>
      <c r="K181" s="85"/>
      <c r="L181" s="85"/>
      <c r="M181" s="85"/>
    </row>
    <row r="182" spans="1:13" ht="13.5" thickBot="1" x14ac:dyDescent="0.25">
      <c r="A182" s="1"/>
      <c r="B182" s="23"/>
      <c r="C182" s="113"/>
      <c r="D182" s="113"/>
      <c r="E182" s="113"/>
      <c r="F182" s="113"/>
      <c r="G182" s="113"/>
      <c r="H182" s="85"/>
      <c r="I182" s="85"/>
      <c r="J182" s="85"/>
      <c r="K182" s="85"/>
      <c r="L182" s="85"/>
      <c r="M182" s="85"/>
    </row>
    <row r="183" spans="1:13" ht="13.5" thickBot="1" x14ac:dyDescent="0.25">
      <c r="A183" s="118" t="s">
        <v>1</v>
      </c>
      <c r="B183" s="119" t="s">
        <v>14</v>
      </c>
      <c r="C183" s="113"/>
      <c r="D183" s="113"/>
      <c r="E183" s="113"/>
      <c r="F183" s="113"/>
      <c r="G183" s="113"/>
      <c r="H183" s="85"/>
      <c r="I183" s="85"/>
      <c r="J183" s="85"/>
      <c r="K183" s="85"/>
      <c r="L183" s="85"/>
      <c r="M183" s="85"/>
    </row>
    <row r="184" spans="1:13" x14ac:dyDescent="0.2">
      <c r="A184" s="48">
        <v>0</v>
      </c>
      <c r="B184" s="51">
        <v>0</v>
      </c>
      <c r="C184" s="113"/>
      <c r="D184" s="113"/>
      <c r="E184" s="113"/>
      <c r="F184" s="113"/>
      <c r="G184" s="113"/>
      <c r="H184" s="85"/>
      <c r="I184" s="85"/>
      <c r="J184" s="85"/>
      <c r="K184" s="85"/>
      <c r="L184" s="85"/>
      <c r="M184" s="85"/>
    </row>
    <row r="185" spans="1:13" x14ac:dyDescent="0.2">
      <c r="A185" s="49">
        <v>5</v>
      </c>
      <c r="B185" s="52">
        <v>0</v>
      </c>
      <c r="C185" s="113"/>
      <c r="D185" s="113"/>
      <c r="E185" s="113"/>
      <c r="F185" s="113"/>
      <c r="G185" s="113"/>
      <c r="H185" s="85"/>
      <c r="I185" s="85"/>
      <c r="J185" s="85"/>
      <c r="K185" s="85"/>
      <c r="L185" s="85"/>
      <c r="M185" s="85"/>
    </row>
    <row r="186" spans="1:13" x14ac:dyDescent="0.2">
      <c r="A186" s="49">
        <v>10.26</v>
      </c>
      <c r="B186" s="52">
        <v>0</v>
      </c>
      <c r="C186" s="113"/>
      <c r="D186" s="113"/>
      <c r="E186" s="113"/>
      <c r="F186" s="113"/>
      <c r="G186" s="113"/>
      <c r="H186" s="86"/>
      <c r="I186" s="86"/>
      <c r="J186" s="86"/>
      <c r="K186" s="86"/>
      <c r="L186" s="86"/>
      <c r="M186" s="86"/>
    </row>
    <row r="187" spans="1:13" x14ac:dyDescent="0.2">
      <c r="A187" s="49">
        <v>12.82</v>
      </c>
      <c r="B187" s="52">
        <v>119</v>
      </c>
      <c r="C187" s="113"/>
      <c r="D187" s="113"/>
      <c r="E187" s="113"/>
      <c r="F187" s="113"/>
      <c r="G187" s="113"/>
      <c r="H187" s="86"/>
      <c r="I187" s="86"/>
      <c r="J187" s="86"/>
      <c r="K187" s="86"/>
      <c r="L187" s="86"/>
      <c r="M187" s="86"/>
    </row>
    <row r="188" spans="1:13" x14ac:dyDescent="0.2">
      <c r="A188" s="49">
        <v>56</v>
      </c>
      <c r="B188" s="52">
        <v>119</v>
      </c>
      <c r="C188" s="113"/>
      <c r="D188" s="113"/>
      <c r="E188" s="113"/>
      <c r="F188" s="113"/>
      <c r="G188" s="113"/>
      <c r="H188" s="86"/>
      <c r="I188" s="86"/>
      <c r="J188" s="86"/>
      <c r="K188" s="86"/>
      <c r="L188" s="86"/>
      <c r="M188" s="86"/>
    </row>
    <row r="189" spans="1:13" x14ac:dyDescent="0.2">
      <c r="A189" s="49">
        <v>78</v>
      </c>
      <c r="B189" s="52">
        <v>119</v>
      </c>
      <c r="C189" s="113"/>
      <c r="D189" s="113"/>
      <c r="E189" s="113"/>
      <c r="F189" s="113"/>
      <c r="G189" s="113"/>
      <c r="H189" s="86"/>
      <c r="I189" s="86"/>
      <c r="J189" s="86"/>
      <c r="K189" s="86"/>
      <c r="L189" s="86"/>
      <c r="M189" s="86"/>
    </row>
    <row r="190" spans="1:13" x14ac:dyDescent="0.2">
      <c r="A190" s="49">
        <v>90</v>
      </c>
      <c r="B190" s="52">
        <v>119</v>
      </c>
      <c r="C190" s="113"/>
      <c r="D190" s="113"/>
      <c r="E190" s="113"/>
      <c r="F190" s="113"/>
      <c r="G190" s="113"/>
      <c r="H190" s="86"/>
      <c r="I190" s="86"/>
      <c r="J190" s="86"/>
      <c r="K190" s="86"/>
      <c r="L190" s="86"/>
      <c r="M190" s="86"/>
    </row>
    <row r="191" spans="1:13" ht="13.5" thickBot="1" x14ac:dyDescent="0.25">
      <c r="A191" s="50">
        <v>100</v>
      </c>
      <c r="B191" s="53">
        <v>119</v>
      </c>
      <c r="C191" s="113"/>
      <c r="D191" s="113"/>
      <c r="E191" s="113"/>
      <c r="F191" s="113"/>
      <c r="G191" s="113"/>
    </row>
    <row r="192" spans="1:13" ht="13.5" thickBot="1" x14ac:dyDescent="0.25">
      <c r="A192" s="113"/>
      <c r="B192" s="113"/>
      <c r="C192" s="113"/>
      <c r="D192" s="113"/>
      <c r="E192" s="113"/>
      <c r="F192" s="113"/>
      <c r="G192" s="113"/>
    </row>
    <row r="193" spans="1:7" ht="13.5" thickBot="1" x14ac:dyDescent="0.25">
      <c r="A193" s="207" t="s">
        <v>15</v>
      </c>
      <c r="B193" s="25" t="s">
        <v>14</v>
      </c>
      <c r="C193" s="113"/>
      <c r="D193" s="113"/>
      <c r="E193" s="113"/>
      <c r="F193" s="113"/>
      <c r="G193" s="113"/>
    </row>
    <row r="194" spans="1:7" x14ac:dyDescent="0.2">
      <c r="A194" s="37">
        <f t="shared" ref="A194:A201" si="24">A184*F$4/100</f>
        <v>0</v>
      </c>
      <c r="B194" s="38">
        <f t="shared" ref="B194:B201" si="25">B184</f>
        <v>0</v>
      </c>
      <c r="C194" s="113"/>
      <c r="D194" s="113"/>
      <c r="E194" s="113"/>
      <c r="F194" s="113"/>
      <c r="G194" s="113"/>
    </row>
    <row r="195" spans="1:7" x14ac:dyDescent="0.2">
      <c r="A195" s="39">
        <f t="shared" si="24"/>
        <v>0.1</v>
      </c>
      <c r="B195" s="40">
        <f t="shared" si="25"/>
        <v>0</v>
      </c>
      <c r="C195" s="113"/>
      <c r="D195" s="113"/>
      <c r="E195" s="113"/>
      <c r="F195" s="113"/>
      <c r="G195" s="113"/>
    </row>
    <row r="196" spans="1:7" x14ac:dyDescent="0.2">
      <c r="A196" s="39">
        <f t="shared" si="24"/>
        <v>0.20519999999999999</v>
      </c>
      <c r="B196" s="40">
        <f t="shared" si="25"/>
        <v>0</v>
      </c>
      <c r="C196" s="113"/>
      <c r="D196" s="113"/>
      <c r="E196" s="113"/>
      <c r="F196" s="113"/>
      <c r="G196" s="113"/>
    </row>
    <row r="197" spans="1:7" x14ac:dyDescent="0.2">
      <c r="A197" s="39">
        <f t="shared" si="24"/>
        <v>0.25640000000000002</v>
      </c>
      <c r="B197" s="40">
        <f t="shared" si="25"/>
        <v>119</v>
      </c>
      <c r="C197" s="113"/>
      <c r="D197" s="113"/>
      <c r="E197" s="113"/>
      <c r="F197" s="113"/>
      <c r="G197" s="113"/>
    </row>
    <row r="198" spans="1:7" x14ac:dyDescent="0.2">
      <c r="A198" s="39">
        <f t="shared" si="24"/>
        <v>1.1200000000000001</v>
      </c>
      <c r="B198" s="40">
        <f t="shared" si="25"/>
        <v>119</v>
      </c>
      <c r="C198" s="113"/>
      <c r="D198" s="113"/>
      <c r="E198" s="113"/>
      <c r="F198" s="113"/>
      <c r="G198" s="113"/>
    </row>
    <row r="199" spans="1:7" x14ac:dyDescent="0.2">
      <c r="A199" s="39">
        <f t="shared" si="24"/>
        <v>1.56</v>
      </c>
      <c r="B199" s="40">
        <f t="shared" si="25"/>
        <v>119</v>
      </c>
      <c r="C199" s="113"/>
      <c r="D199" s="113"/>
      <c r="E199" s="113"/>
      <c r="F199" s="113"/>
      <c r="G199" s="113"/>
    </row>
    <row r="200" spans="1:7" x14ac:dyDescent="0.2">
      <c r="A200" s="39">
        <f t="shared" si="24"/>
        <v>1.8</v>
      </c>
      <c r="B200" s="40">
        <f t="shared" si="25"/>
        <v>119</v>
      </c>
      <c r="C200" s="113"/>
      <c r="D200" s="113"/>
      <c r="E200" s="113"/>
      <c r="F200" s="113"/>
      <c r="G200" s="113"/>
    </row>
    <row r="201" spans="1:7" ht="13.5" thickBot="1" x14ac:dyDescent="0.25">
      <c r="A201" s="41">
        <f t="shared" si="24"/>
        <v>2</v>
      </c>
      <c r="B201" s="42">
        <f t="shared" si="25"/>
        <v>119</v>
      </c>
      <c r="C201" s="113"/>
      <c r="D201" s="113"/>
      <c r="E201" s="113"/>
      <c r="F201" s="113"/>
      <c r="G201" s="113"/>
    </row>
    <row r="202" spans="1:7" x14ac:dyDescent="0.2">
      <c r="A202" s="113"/>
      <c r="B202" s="113"/>
      <c r="C202" s="113"/>
      <c r="D202" s="113"/>
      <c r="E202" s="113"/>
      <c r="F202" s="113"/>
      <c r="G202" s="113"/>
    </row>
    <row r="203" spans="1:7" ht="13.5" thickBot="1" x14ac:dyDescent="0.25">
      <c r="A203" s="121"/>
      <c r="B203" s="121"/>
      <c r="C203" s="113"/>
      <c r="D203" s="113"/>
      <c r="E203" s="113"/>
      <c r="F203" s="113"/>
      <c r="G203" s="113"/>
    </row>
    <row r="204" spans="1:7" ht="13.5" thickBot="1" x14ac:dyDescent="0.25">
      <c r="A204" s="129" t="s">
        <v>73</v>
      </c>
      <c r="B204" s="119" t="s">
        <v>16</v>
      </c>
      <c r="C204" s="113"/>
      <c r="D204" s="113"/>
      <c r="E204" s="113"/>
      <c r="F204" s="113"/>
      <c r="G204" s="113"/>
    </row>
    <row r="205" spans="1:7" ht="13.5" thickBot="1" x14ac:dyDescent="0.25">
      <c r="A205" s="311" t="s">
        <v>75</v>
      </c>
      <c r="B205" s="210">
        <v>60</v>
      </c>
      <c r="C205" s="113"/>
      <c r="D205" s="113"/>
      <c r="E205" s="113"/>
      <c r="F205" s="113"/>
      <c r="G205" s="113"/>
    </row>
    <row r="206" spans="1:7" ht="13.5" thickBot="1" x14ac:dyDescent="0.25">
      <c r="A206" s="121"/>
      <c r="B206" s="121"/>
      <c r="C206" s="113"/>
      <c r="D206" s="113"/>
      <c r="E206" s="113"/>
      <c r="F206" s="113"/>
      <c r="G206" s="113"/>
    </row>
    <row r="207" spans="1:7" ht="13.5" thickBot="1" x14ac:dyDescent="0.25">
      <c r="A207" s="118" t="s">
        <v>1</v>
      </c>
      <c r="B207" s="119" t="s">
        <v>14</v>
      </c>
      <c r="C207" s="113"/>
      <c r="D207" s="113"/>
      <c r="E207" s="113"/>
      <c r="F207" s="113"/>
      <c r="G207" s="113"/>
    </row>
    <row r="208" spans="1:7" x14ac:dyDescent="0.2">
      <c r="A208" s="54">
        <v>0</v>
      </c>
      <c r="B208" s="51">
        <v>0</v>
      </c>
      <c r="C208" s="113"/>
      <c r="D208" s="113"/>
      <c r="E208" s="113"/>
      <c r="F208" s="113"/>
      <c r="G208" s="113"/>
    </row>
    <row r="209" spans="1:7" x14ac:dyDescent="0.2">
      <c r="A209" s="49">
        <v>10</v>
      </c>
      <c r="B209" s="52">
        <v>0</v>
      </c>
      <c r="C209" s="113"/>
      <c r="D209" s="113"/>
      <c r="E209" s="113"/>
      <c r="F209" s="113"/>
      <c r="G209" s="113"/>
    </row>
    <row r="210" spans="1:7" x14ac:dyDescent="0.2">
      <c r="A210" s="49">
        <v>50</v>
      </c>
      <c r="B210" s="52">
        <v>0</v>
      </c>
      <c r="C210" s="113"/>
      <c r="D210" s="113"/>
      <c r="E210" s="113"/>
      <c r="F210" s="113"/>
      <c r="G210" s="113"/>
    </row>
    <row r="211" spans="1:7" x14ac:dyDescent="0.2">
      <c r="A211" s="49">
        <v>75</v>
      </c>
      <c r="B211" s="52">
        <v>0</v>
      </c>
      <c r="C211" s="113"/>
      <c r="D211" s="113"/>
      <c r="E211" s="113"/>
      <c r="F211" s="113"/>
      <c r="G211" s="113"/>
    </row>
    <row r="212" spans="1:7" x14ac:dyDescent="0.2">
      <c r="A212" s="49">
        <v>88</v>
      </c>
      <c r="B212" s="52">
        <v>0</v>
      </c>
      <c r="C212" s="113"/>
      <c r="D212" s="113"/>
      <c r="E212" s="113"/>
      <c r="F212" s="113"/>
      <c r="G212" s="113"/>
    </row>
    <row r="213" spans="1:7" x14ac:dyDescent="0.2">
      <c r="A213" s="49">
        <v>94</v>
      </c>
      <c r="B213" s="52">
        <v>0</v>
      </c>
      <c r="C213" s="113"/>
      <c r="D213" s="113"/>
      <c r="E213" s="113"/>
      <c r="F213" s="113"/>
      <c r="G213" s="113"/>
    </row>
    <row r="214" spans="1:7" x14ac:dyDescent="0.2">
      <c r="A214" s="49">
        <v>95</v>
      </c>
      <c r="B214" s="52">
        <v>0</v>
      </c>
      <c r="C214" s="113"/>
      <c r="D214" s="113"/>
      <c r="E214" s="113"/>
      <c r="F214" s="113"/>
      <c r="G214" s="113"/>
    </row>
    <row r="215" spans="1:7" ht="13.5" thickBot="1" x14ac:dyDescent="0.25">
      <c r="A215" s="50">
        <v>100</v>
      </c>
      <c r="B215" s="53">
        <v>0</v>
      </c>
      <c r="C215" s="113"/>
      <c r="D215" s="113"/>
      <c r="E215" s="113"/>
      <c r="F215" s="113"/>
      <c r="G215" s="113"/>
    </row>
    <row r="216" spans="1:7" ht="13.5" thickBot="1" x14ac:dyDescent="0.25">
      <c r="A216" s="113"/>
      <c r="B216" s="113"/>
      <c r="C216" s="113"/>
      <c r="D216" s="113"/>
      <c r="E216" s="113"/>
      <c r="F216" s="113"/>
      <c r="G216" s="113"/>
    </row>
    <row r="217" spans="1:7" ht="13.5" thickBot="1" x14ac:dyDescent="0.25">
      <c r="A217" s="116" t="s">
        <v>15</v>
      </c>
      <c r="B217" s="25" t="s">
        <v>14</v>
      </c>
      <c r="C217" s="113"/>
      <c r="D217" s="113"/>
      <c r="E217" s="113"/>
      <c r="F217" s="113"/>
      <c r="G217" s="113"/>
    </row>
    <row r="218" spans="1:7" x14ac:dyDescent="0.2">
      <c r="A218" s="37">
        <f t="shared" ref="A218:A225" si="26">A208*F$4/100</f>
        <v>0</v>
      </c>
      <c r="B218" s="38">
        <f t="shared" ref="B218:B225" si="27">B208</f>
        <v>0</v>
      </c>
      <c r="C218" s="113"/>
      <c r="D218" s="113"/>
      <c r="E218" s="113"/>
      <c r="F218" s="113"/>
      <c r="G218" s="113"/>
    </row>
    <row r="219" spans="1:7" x14ac:dyDescent="0.2">
      <c r="A219" s="39">
        <f t="shared" si="26"/>
        <v>0.2</v>
      </c>
      <c r="B219" s="40">
        <f t="shared" si="27"/>
        <v>0</v>
      </c>
      <c r="C219" s="113"/>
      <c r="D219" s="113"/>
      <c r="E219" s="113"/>
      <c r="F219" s="113"/>
      <c r="G219" s="113"/>
    </row>
    <row r="220" spans="1:7" x14ac:dyDescent="0.2">
      <c r="A220" s="39">
        <f t="shared" si="26"/>
        <v>1</v>
      </c>
      <c r="B220" s="40">
        <f t="shared" si="27"/>
        <v>0</v>
      </c>
      <c r="C220" s="113"/>
      <c r="D220" s="113"/>
      <c r="E220" s="113"/>
      <c r="F220" s="113"/>
      <c r="G220" s="113"/>
    </row>
    <row r="221" spans="1:7" x14ac:dyDescent="0.2">
      <c r="A221" s="39">
        <f t="shared" si="26"/>
        <v>1.5</v>
      </c>
      <c r="B221" s="40">
        <f t="shared" si="27"/>
        <v>0</v>
      </c>
      <c r="C221" s="113"/>
      <c r="D221" s="113"/>
      <c r="E221" s="113"/>
      <c r="F221" s="113"/>
      <c r="G221" s="113"/>
    </row>
    <row r="222" spans="1:7" x14ac:dyDescent="0.2">
      <c r="A222" s="39">
        <f t="shared" si="26"/>
        <v>1.76</v>
      </c>
      <c r="B222" s="40">
        <f t="shared" si="27"/>
        <v>0</v>
      </c>
      <c r="C222" s="113"/>
      <c r="D222" s="113"/>
      <c r="E222" s="113"/>
      <c r="F222" s="113"/>
      <c r="G222" s="113"/>
    </row>
    <row r="223" spans="1:7" x14ac:dyDescent="0.2">
      <c r="A223" s="120">
        <f t="shared" si="26"/>
        <v>1.88</v>
      </c>
      <c r="B223" s="125">
        <f t="shared" si="27"/>
        <v>0</v>
      </c>
      <c r="C223" s="113"/>
      <c r="D223" s="113"/>
      <c r="E223" s="113"/>
      <c r="F223" s="113"/>
      <c r="G223" s="113"/>
    </row>
    <row r="224" spans="1:7" x14ac:dyDescent="0.2">
      <c r="A224" s="120">
        <f t="shared" si="26"/>
        <v>1.9</v>
      </c>
      <c r="B224" s="125">
        <f t="shared" si="27"/>
        <v>0</v>
      </c>
      <c r="C224" s="113"/>
      <c r="D224" s="113"/>
      <c r="E224" s="113"/>
      <c r="F224" s="113"/>
      <c r="G224" s="113"/>
    </row>
    <row r="225" spans="1:7" ht="13.5" thickBot="1" x14ac:dyDescent="0.25">
      <c r="A225" s="126">
        <f t="shared" si="26"/>
        <v>2</v>
      </c>
      <c r="B225" s="127">
        <f t="shared" si="27"/>
        <v>0</v>
      </c>
      <c r="C225" s="1"/>
      <c r="D225" s="1"/>
      <c r="E225" s="1"/>
      <c r="F225" s="1"/>
      <c r="G225" s="1"/>
    </row>
    <row r="226" spans="1:7" x14ac:dyDescent="0.2">
      <c r="A226" s="128"/>
      <c r="B226" s="128"/>
      <c r="C226" s="1"/>
      <c r="D226" s="1"/>
      <c r="E226" s="1"/>
      <c r="F226" s="1"/>
      <c r="G226" s="1"/>
    </row>
    <row r="227" spans="1:7" ht="13.5" thickBot="1" x14ac:dyDescent="0.25">
      <c r="A227" s="128"/>
      <c r="B227" s="128"/>
      <c r="C227" s="1"/>
      <c r="D227" s="1"/>
      <c r="E227" s="1"/>
      <c r="F227" s="1"/>
      <c r="G227" s="1"/>
    </row>
    <row r="228" spans="1:7" ht="13.5" thickBot="1" x14ac:dyDescent="0.25">
      <c r="A228" s="129" t="s">
        <v>73</v>
      </c>
      <c r="B228" s="119" t="s">
        <v>16</v>
      </c>
      <c r="C228" s="1"/>
      <c r="D228" s="1"/>
      <c r="E228" s="1"/>
      <c r="F228" s="1"/>
      <c r="G228" s="1"/>
    </row>
    <row r="229" spans="1:7" ht="13.5" thickBot="1" x14ac:dyDescent="0.25">
      <c r="A229" s="311" t="s">
        <v>76</v>
      </c>
      <c r="B229" s="209">
        <v>30</v>
      </c>
      <c r="C229" s="1"/>
      <c r="D229" s="1"/>
      <c r="E229" s="1"/>
      <c r="F229" s="1"/>
      <c r="G229" s="1"/>
    </row>
    <row r="230" spans="1:7" ht="13.5" thickBot="1" x14ac:dyDescent="0.25">
      <c r="A230"/>
      <c r="B230"/>
      <c r="C230"/>
      <c r="D230"/>
      <c r="E230"/>
      <c r="F230"/>
      <c r="G230"/>
    </row>
    <row r="231" spans="1:7" ht="13.5" thickBot="1" x14ac:dyDescent="0.25">
      <c r="A231" s="116" t="s">
        <v>1</v>
      </c>
      <c r="B231" s="25" t="s">
        <v>14</v>
      </c>
      <c r="C231"/>
      <c r="D231"/>
      <c r="E231"/>
      <c r="F231"/>
      <c r="G231"/>
    </row>
    <row r="232" spans="1:7" x14ac:dyDescent="0.2">
      <c r="A232" s="54">
        <v>0</v>
      </c>
      <c r="B232" s="51">
        <v>0</v>
      </c>
      <c r="C232"/>
      <c r="D232"/>
      <c r="E232"/>
      <c r="F232"/>
      <c r="G232"/>
    </row>
    <row r="233" spans="1:7" x14ac:dyDescent="0.2">
      <c r="A233" s="49">
        <v>5</v>
      </c>
      <c r="B233" s="52">
        <v>0</v>
      </c>
      <c r="C233"/>
      <c r="D233"/>
      <c r="E233"/>
      <c r="F233"/>
      <c r="G233"/>
    </row>
    <row r="234" spans="1:7" x14ac:dyDescent="0.2">
      <c r="A234" s="49">
        <v>10.256410000000001</v>
      </c>
      <c r="B234" s="52">
        <v>0</v>
      </c>
      <c r="C234"/>
      <c r="D234"/>
      <c r="E234"/>
      <c r="F234"/>
      <c r="G234"/>
    </row>
    <row r="235" spans="1:7" x14ac:dyDescent="0.2">
      <c r="A235" s="49">
        <v>12.820513</v>
      </c>
      <c r="B235" s="52">
        <v>60</v>
      </c>
      <c r="C235"/>
      <c r="D235"/>
      <c r="E235"/>
      <c r="F235"/>
      <c r="G235"/>
    </row>
    <row r="236" spans="1:7" x14ac:dyDescent="0.2">
      <c r="A236" s="49">
        <v>89.743589999999998</v>
      </c>
      <c r="B236" s="52">
        <v>60</v>
      </c>
      <c r="C236"/>
      <c r="D236"/>
      <c r="E236"/>
      <c r="F236"/>
      <c r="G236"/>
    </row>
    <row r="237" spans="1:7" x14ac:dyDescent="0.2">
      <c r="A237" s="49">
        <v>95</v>
      </c>
      <c r="B237" s="52">
        <v>43</v>
      </c>
      <c r="C237"/>
      <c r="D237"/>
      <c r="E237"/>
      <c r="F237"/>
      <c r="G237"/>
    </row>
    <row r="238" spans="1:7" x14ac:dyDescent="0.2">
      <c r="A238" s="49">
        <v>98</v>
      </c>
      <c r="B238" s="52">
        <v>36</v>
      </c>
      <c r="C238"/>
      <c r="D238"/>
      <c r="E238"/>
      <c r="F238"/>
      <c r="G238"/>
    </row>
    <row r="239" spans="1:7" ht="13.5" thickBot="1" x14ac:dyDescent="0.25">
      <c r="A239" s="50">
        <v>100</v>
      </c>
      <c r="B239" s="53">
        <v>25</v>
      </c>
      <c r="C239"/>
      <c r="D239"/>
      <c r="E239"/>
      <c r="F239"/>
      <c r="G239"/>
    </row>
    <row r="240" spans="1:7" ht="13.5" thickBot="1" x14ac:dyDescent="0.25">
      <c r="A240"/>
      <c r="B240"/>
      <c r="C240"/>
      <c r="D240"/>
      <c r="E240"/>
      <c r="F240"/>
      <c r="G240"/>
    </row>
    <row r="241" spans="1:7" ht="13.5" thickBot="1" x14ac:dyDescent="0.25">
      <c r="A241" s="116" t="s">
        <v>15</v>
      </c>
      <c r="B241" s="25" t="s">
        <v>14</v>
      </c>
      <c r="C241"/>
      <c r="D241"/>
      <c r="E241"/>
      <c r="F241"/>
      <c r="G241"/>
    </row>
    <row r="242" spans="1:7" x14ac:dyDescent="0.2">
      <c r="A242" s="37">
        <f t="shared" ref="A242:A249" si="28">A232*F$4/100</f>
        <v>0</v>
      </c>
      <c r="B242" s="38">
        <f t="shared" ref="B242:B249" si="29">B232</f>
        <v>0</v>
      </c>
      <c r="C242"/>
      <c r="D242"/>
      <c r="E242"/>
      <c r="F242"/>
      <c r="G242"/>
    </row>
    <row r="243" spans="1:7" x14ac:dyDescent="0.2">
      <c r="A243" s="120">
        <f t="shared" si="28"/>
        <v>0.1</v>
      </c>
      <c r="B243" s="125">
        <f t="shared" si="29"/>
        <v>0</v>
      </c>
      <c r="C243"/>
      <c r="D243"/>
      <c r="E243"/>
      <c r="F243"/>
      <c r="G243"/>
    </row>
    <row r="244" spans="1:7" x14ac:dyDescent="0.2">
      <c r="A244" s="120">
        <f t="shared" si="28"/>
        <v>0.20512820000000001</v>
      </c>
      <c r="B244" s="125">
        <f t="shared" si="29"/>
        <v>0</v>
      </c>
      <c r="C244"/>
      <c r="D244"/>
      <c r="E244"/>
      <c r="F244"/>
      <c r="G244"/>
    </row>
    <row r="245" spans="1:7" x14ac:dyDescent="0.2">
      <c r="A245" s="120">
        <f t="shared" si="28"/>
        <v>0.25641026</v>
      </c>
      <c r="B245" s="125">
        <f t="shared" si="29"/>
        <v>60</v>
      </c>
      <c r="C245"/>
      <c r="D245"/>
      <c r="E245"/>
      <c r="F245"/>
      <c r="G245"/>
    </row>
    <row r="246" spans="1:7" x14ac:dyDescent="0.2">
      <c r="A246" s="120">
        <f t="shared" si="28"/>
        <v>1.7948717999999999</v>
      </c>
      <c r="B246" s="125">
        <f t="shared" si="29"/>
        <v>60</v>
      </c>
      <c r="C246"/>
      <c r="D246"/>
      <c r="E246"/>
      <c r="F246"/>
      <c r="G246"/>
    </row>
    <row r="247" spans="1:7" x14ac:dyDescent="0.2">
      <c r="A247" s="120">
        <f t="shared" si="28"/>
        <v>1.9</v>
      </c>
      <c r="B247" s="125">
        <f t="shared" si="29"/>
        <v>43</v>
      </c>
      <c r="C247"/>
      <c r="D247"/>
      <c r="E247"/>
      <c r="F247"/>
      <c r="G247"/>
    </row>
    <row r="248" spans="1:7" x14ac:dyDescent="0.2">
      <c r="A248" s="120">
        <f t="shared" si="28"/>
        <v>1.96</v>
      </c>
      <c r="B248" s="125">
        <f t="shared" si="29"/>
        <v>36</v>
      </c>
      <c r="C248"/>
      <c r="D248"/>
      <c r="E248"/>
      <c r="F248"/>
      <c r="G248"/>
    </row>
    <row r="249" spans="1:7" ht="13.5" thickBot="1" x14ac:dyDescent="0.25">
      <c r="A249" s="41">
        <f t="shared" si="28"/>
        <v>2</v>
      </c>
      <c r="B249" s="42">
        <f t="shared" si="29"/>
        <v>25</v>
      </c>
      <c r="C249"/>
      <c r="D249"/>
      <c r="E249"/>
      <c r="F249"/>
      <c r="G249"/>
    </row>
    <row r="250" spans="1:7" x14ac:dyDescent="0.2">
      <c r="A250"/>
      <c r="B250"/>
      <c r="C250"/>
      <c r="D250"/>
      <c r="E250"/>
      <c r="F250"/>
      <c r="G250"/>
    </row>
    <row r="251" spans="1:7" ht="13.5" thickBot="1" x14ac:dyDescent="0.25">
      <c r="A251"/>
      <c r="B251"/>
      <c r="C251"/>
      <c r="D251"/>
      <c r="E251"/>
      <c r="F251"/>
      <c r="G251"/>
    </row>
    <row r="252" spans="1:7" ht="13.5" thickBot="1" x14ac:dyDescent="0.25">
      <c r="A252" s="129" t="s">
        <v>73</v>
      </c>
      <c r="B252" s="25" t="s">
        <v>16</v>
      </c>
      <c r="C252"/>
      <c r="D252"/>
      <c r="E252"/>
      <c r="F252"/>
      <c r="G252"/>
    </row>
    <row r="253" spans="1:7" ht="13.5" thickBot="1" x14ac:dyDescent="0.25">
      <c r="A253" s="311" t="s">
        <v>77</v>
      </c>
      <c r="B253" s="209">
        <v>60</v>
      </c>
      <c r="C253"/>
      <c r="D253"/>
      <c r="E253"/>
      <c r="F253"/>
      <c r="G253"/>
    </row>
    <row r="254" spans="1:7" ht="13.5" thickBot="1" x14ac:dyDescent="0.25">
      <c r="A254"/>
      <c r="B254"/>
      <c r="C254"/>
      <c r="D254"/>
      <c r="E254"/>
      <c r="F254"/>
      <c r="G254"/>
    </row>
    <row r="255" spans="1:7" ht="13.5" thickBot="1" x14ac:dyDescent="0.25">
      <c r="A255" s="116" t="s">
        <v>1</v>
      </c>
      <c r="B255" s="25" t="s">
        <v>14</v>
      </c>
      <c r="C255"/>
      <c r="D255"/>
      <c r="E255"/>
      <c r="F255"/>
      <c r="G255"/>
    </row>
    <row r="256" spans="1:7" x14ac:dyDescent="0.2">
      <c r="A256" s="54">
        <v>0</v>
      </c>
      <c r="B256" s="51">
        <v>0</v>
      </c>
      <c r="C256"/>
      <c r="D256"/>
      <c r="E256"/>
      <c r="F256"/>
      <c r="G256"/>
    </row>
    <row r="257" spans="1:7" x14ac:dyDescent="0.2">
      <c r="A257" s="49">
        <v>10.26</v>
      </c>
      <c r="B257" s="52">
        <v>0</v>
      </c>
      <c r="C257"/>
      <c r="D257"/>
      <c r="E257"/>
      <c r="F257"/>
      <c r="G257"/>
    </row>
    <row r="258" spans="1:7" x14ac:dyDescent="0.2">
      <c r="A258" s="49">
        <v>12.82</v>
      </c>
      <c r="B258" s="52">
        <v>150</v>
      </c>
      <c r="C258"/>
      <c r="D258"/>
      <c r="E258"/>
      <c r="F258"/>
      <c r="G258"/>
    </row>
    <row r="259" spans="1:7" x14ac:dyDescent="0.2">
      <c r="A259" s="49">
        <v>56</v>
      </c>
      <c r="B259" s="52">
        <v>150</v>
      </c>
      <c r="C259"/>
      <c r="D259"/>
      <c r="E259"/>
      <c r="F259"/>
      <c r="G259"/>
    </row>
    <row r="260" spans="1:7" x14ac:dyDescent="0.2">
      <c r="A260" s="49">
        <v>78</v>
      </c>
      <c r="B260" s="52">
        <v>150</v>
      </c>
      <c r="C260"/>
      <c r="D260"/>
      <c r="E260"/>
      <c r="F260"/>
      <c r="G260"/>
    </row>
    <row r="261" spans="1:7" x14ac:dyDescent="0.2">
      <c r="A261" s="49">
        <v>89</v>
      </c>
      <c r="B261" s="52">
        <v>150</v>
      </c>
      <c r="C261"/>
      <c r="D261"/>
      <c r="E261"/>
      <c r="F261"/>
      <c r="G261"/>
    </row>
    <row r="262" spans="1:7" x14ac:dyDescent="0.2">
      <c r="A262" s="49">
        <v>95</v>
      </c>
      <c r="B262" s="52">
        <v>150</v>
      </c>
      <c r="C262"/>
      <c r="D262"/>
      <c r="E262"/>
      <c r="F262"/>
      <c r="G262"/>
    </row>
    <row r="263" spans="1:7" ht="13.5" thickBot="1" x14ac:dyDescent="0.25">
      <c r="A263" s="50">
        <v>100</v>
      </c>
      <c r="B263" s="53">
        <v>150</v>
      </c>
      <c r="C263"/>
      <c r="D263"/>
      <c r="E263"/>
      <c r="F263"/>
      <c r="G263"/>
    </row>
    <row r="264" spans="1:7" ht="13.5" thickBot="1" x14ac:dyDescent="0.25">
      <c r="A264" s="122"/>
      <c r="B264" s="122"/>
      <c r="C264"/>
      <c r="D264"/>
      <c r="E264"/>
      <c r="F264"/>
      <c r="G264"/>
    </row>
    <row r="265" spans="1:7" ht="13.5" thickBot="1" x14ac:dyDescent="0.25">
      <c r="A265" s="118" t="s">
        <v>15</v>
      </c>
      <c r="B265" s="119" t="s">
        <v>14</v>
      </c>
      <c r="C265"/>
      <c r="D265"/>
      <c r="E265"/>
      <c r="F265"/>
      <c r="G265"/>
    </row>
    <row r="266" spans="1:7" x14ac:dyDescent="0.2">
      <c r="A266" s="131">
        <f t="shared" ref="A266:A273" si="30">A256*F$4/100</f>
        <v>0</v>
      </c>
      <c r="B266" s="132">
        <f t="shared" ref="B266:B273" si="31">B256</f>
        <v>0</v>
      </c>
      <c r="C266"/>
      <c r="D266"/>
      <c r="E266"/>
      <c r="F266"/>
      <c r="G266"/>
    </row>
    <row r="267" spans="1:7" x14ac:dyDescent="0.2">
      <c r="A267" s="120">
        <f t="shared" si="30"/>
        <v>0.20519999999999999</v>
      </c>
      <c r="B267" s="125">
        <f t="shared" si="31"/>
        <v>0</v>
      </c>
      <c r="C267"/>
      <c r="D267"/>
      <c r="E267"/>
      <c r="F267"/>
      <c r="G267"/>
    </row>
    <row r="268" spans="1:7" x14ac:dyDescent="0.2">
      <c r="A268" s="120">
        <f t="shared" si="30"/>
        <v>0.25640000000000002</v>
      </c>
      <c r="B268" s="125">
        <f t="shared" si="31"/>
        <v>150</v>
      </c>
      <c r="C268"/>
      <c r="D268"/>
      <c r="E268"/>
      <c r="F268"/>
      <c r="G268"/>
    </row>
    <row r="269" spans="1:7" x14ac:dyDescent="0.2">
      <c r="A269" s="39">
        <f t="shared" si="30"/>
        <v>1.1200000000000001</v>
      </c>
      <c r="B269" s="40">
        <f t="shared" si="31"/>
        <v>150</v>
      </c>
      <c r="C269"/>
      <c r="D269"/>
      <c r="E269"/>
      <c r="F269"/>
      <c r="G269"/>
    </row>
    <row r="270" spans="1:7" x14ac:dyDescent="0.2">
      <c r="A270" s="39">
        <f t="shared" si="30"/>
        <v>1.56</v>
      </c>
      <c r="B270" s="40">
        <f t="shared" si="31"/>
        <v>150</v>
      </c>
      <c r="C270"/>
      <c r="D270"/>
      <c r="E270"/>
      <c r="F270"/>
      <c r="G270"/>
    </row>
    <row r="271" spans="1:7" x14ac:dyDescent="0.2">
      <c r="A271" s="39">
        <f t="shared" si="30"/>
        <v>1.78</v>
      </c>
      <c r="B271" s="40">
        <f t="shared" si="31"/>
        <v>150</v>
      </c>
      <c r="C271"/>
      <c r="D271"/>
      <c r="E271"/>
      <c r="F271"/>
      <c r="G271"/>
    </row>
    <row r="272" spans="1:7" x14ac:dyDescent="0.2">
      <c r="A272" s="39">
        <f t="shared" si="30"/>
        <v>1.9</v>
      </c>
      <c r="B272" s="40">
        <f t="shared" si="31"/>
        <v>150</v>
      </c>
      <c r="C272"/>
      <c r="D272"/>
      <c r="E272"/>
      <c r="F272"/>
      <c r="G272"/>
    </row>
    <row r="273" spans="1:7" ht="13.5" thickBot="1" x14ac:dyDescent="0.25">
      <c r="A273" s="41">
        <f t="shared" si="30"/>
        <v>2</v>
      </c>
      <c r="B273" s="42">
        <f t="shared" si="31"/>
        <v>150</v>
      </c>
      <c r="C273"/>
      <c r="D273"/>
      <c r="E273"/>
      <c r="F273"/>
      <c r="G273"/>
    </row>
    <row r="274" spans="1:7" x14ac:dyDescent="0.2">
      <c r="A274"/>
      <c r="B274"/>
      <c r="C274"/>
      <c r="D274"/>
      <c r="E274"/>
      <c r="F274"/>
      <c r="G274"/>
    </row>
    <row r="275" spans="1:7" ht="13.5" thickBot="1" x14ac:dyDescent="0.25">
      <c r="A275"/>
      <c r="B275"/>
      <c r="C275"/>
      <c r="D275"/>
      <c r="E275"/>
      <c r="F275"/>
      <c r="G275"/>
    </row>
    <row r="276" spans="1:7" ht="13.5" thickBot="1" x14ac:dyDescent="0.25">
      <c r="A276" s="129" t="s">
        <v>73</v>
      </c>
      <c r="B276" s="25" t="s">
        <v>16</v>
      </c>
      <c r="C276"/>
      <c r="D276"/>
      <c r="E276"/>
      <c r="F276"/>
      <c r="G276"/>
    </row>
    <row r="277" spans="1:7" ht="13.5" thickBot="1" x14ac:dyDescent="0.25">
      <c r="A277" s="311" t="s">
        <v>78</v>
      </c>
      <c r="B277" s="209">
        <v>60</v>
      </c>
      <c r="C277"/>
      <c r="D277"/>
      <c r="E277"/>
      <c r="F277"/>
      <c r="G277"/>
    </row>
    <row r="278" spans="1:7" ht="13.5" thickBot="1" x14ac:dyDescent="0.25">
      <c r="A278"/>
      <c r="B278"/>
      <c r="C278"/>
      <c r="D278"/>
      <c r="E278"/>
      <c r="F278"/>
      <c r="G278"/>
    </row>
    <row r="279" spans="1:7" ht="13.5" thickBot="1" x14ac:dyDescent="0.25">
      <c r="A279" s="116" t="s">
        <v>1</v>
      </c>
      <c r="B279" s="25" t="s">
        <v>14</v>
      </c>
      <c r="C279"/>
      <c r="D279"/>
      <c r="E279"/>
      <c r="F279"/>
      <c r="G279"/>
    </row>
    <row r="280" spans="1:7" x14ac:dyDescent="0.2">
      <c r="A280" s="54">
        <v>0</v>
      </c>
      <c r="B280" s="51">
        <v>0</v>
      </c>
      <c r="C280"/>
      <c r="D280"/>
      <c r="E280"/>
      <c r="F280"/>
      <c r="G280"/>
    </row>
    <row r="281" spans="1:7" x14ac:dyDescent="0.2">
      <c r="A281" s="49">
        <v>10.26</v>
      </c>
      <c r="B281" s="52">
        <v>0</v>
      </c>
      <c r="C281"/>
      <c r="D281"/>
      <c r="E281"/>
      <c r="F281"/>
      <c r="G281"/>
    </row>
    <row r="282" spans="1:7" x14ac:dyDescent="0.2">
      <c r="A282" s="49">
        <v>12.82</v>
      </c>
      <c r="B282" s="52">
        <v>150</v>
      </c>
      <c r="C282"/>
      <c r="D282"/>
      <c r="E282"/>
      <c r="F282"/>
      <c r="G282"/>
    </row>
    <row r="283" spans="1:7" x14ac:dyDescent="0.2">
      <c r="A283" s="49">
        <v>56</v>
      </c>
      <c r="B283" s="52">
        <v>150</v>
      </c>
      <c r="C283"/>
      <c r="D283"/>
      <c r="E283"/>
      <c r="F283"/>
      <c r="G283"/>
    </row>
    <row r="284" spans="1:7" x14ac:dyDescent="0.2">
      <c r="A284" s="49">
        <v>78</v>
      </c>
      <c r="B284" s="52">
        <v>150</v>
      </c>
      <c r="C284"/>
      <c r="D284"/>
      <c r="E284"/>
      <c r="F284"/>
      <c r="G284"/>
    </row>
    <row r="285" spans="1:7" x14ac:dyDescent="0.2">
      <c r="A285" s="49">
        <v>89</v>
      </c>
      <c r="B285" s="52">
        <v>150</v>
      </c>
      <c r="C285"/>
      <c r="D285"/>
      <c r="E285"/>
      <c r="F285"/>
      <c r="G285"/>
    </row>
    <row r="286" spans="1:7" x14ac:dyDescent="0.2">
      <c r="A286" s="49">
        <v>95</v>
      </c>
      <c r="B286" s="52">
        <v>150</v>
      </c>
      <c r="C286"/>
      <c r="D286"/>
      <c r="E286"/>
      <c r="F286"/>
      <c r="G286"/>
    </row>
    <row r="287" spans="1:7" ht="13.5" thickBot="1" x14ac:dyDescent="0.25">
      <c r="A287" s="50">
        <v>100</v>
      </c>
      <c r="B287" s="53">
        <v>150</v>
      </c>
      <c r="C287"/>
      <c r="D287"/>
      <c r="E287"/>
      <c r="F287"/>
      <c r="G287"/>
    </row>
    <row r="288" spans="1:7" ht="13.5" thickBot="1" x14ac:dyDescent="0.25">
      <c r="A288"/>
      <c r="B288"/>
      <c r="C288"/>
      <c r="D288"/>
      <c r="E288"/>
      <c r="F288"/>
      <c r="G288"/>
    </row>
    <row r="289" spans="1:7" ht="13.5" thickBot="1" x14ac:dyDescent="0.25">
      <c r="A289" s="116" t="s">
        <v>15</v>
      </c>
      <c r="B289" s="25" t="s">
        <v>14</v>
      </c>
      <c r="C289"/>
      <c r="D289"/>
      <c r="E289"/>
      <c r="F289"/>
      <c r="G289"/>
    </row>
    <row r="290" spans="1:7" x14ac:dyDescent="0.2">
      <c r="A290" s="37">
        <f t="shared" ref="A290:A297" si="32">A280*F$4/100</f>
        <v>0</v>
      </c>
      <c r="B290" s="38">
        <f t="shared" ref="B290:B297" si="33">B280</f>
        <v>0</v>
      </c>
      <c r="C290"/>
      <c r="D290"/>
      <c r="E290"/>
      <c r="F290"/>
      <c r="G290"/>
    </row>
    <row r="291" spans="1:7" x14ac:dyDescent="0.2">
      <c r="A291" s="39">
        <f t="shared" si="32"/>
        <v>0.20519999999999999</v>
      </c>
      <c r="B291" s="40">
        <f t="shared" si="33"/>
        <v>0</v>
      </c>
      <c r="C291"/>
      <c r="D291"/>
      <c r="E291"/>
      <c r="F291"/>
      <c r="G291"/>
    </row>
    <row r="292" spans="1:7" x14ac:dyDescent="0.2">
      <c r="A292" s="39">
        <f t="shared" si="32"/>
        <v>0.25640000000000002</v>
      </c>
      <c r="B292" s="40">
        <f t="shared" si="33"/>
        <v>150</v>
      </c>
      <c r="C292"/>
      <c r="D292"/>
      <c r="E292"/>
      <c r="F292"/>
      <c r="G292"/>
    </row>
    <row r="293" spans="1:7" x14ac:dyDescent="0.2">
      <c r="A293" s="39">
        <f t="shared" si="32"/>
        <v>1.1200000000000001</v>
      </c>
      <c r="B293" s="40">
        <f t="shared" si="33"/>
        <v>150</v>
      </c>
      <c r="C293"/>
      <c r="D293"/>
      <c r="E293"/>
      <c r="F293"/>
      <c r="G293"/>
    </row>
    <row r="294" spans="1:7" x14ac:dyDescent="0.2">
      <c r="A294" s="39">
        <f t="shared" si="32"/>
        <v>1.56</v>
      </c>
      <c r="B294" s="40">
        <f t="shared" si="33"/>
        <v>150</v>
      </c>
      <c r="C294"/>
      <c r="D294"/>
      <c r="E294"/>
      <c r="F294"/>
      <c r="G294"/>
    </row>
    <row r="295" spans="1:7" x14ac:dyDescent="0.2">
      <c r="A295" s="39">
        <f t="shared" si="32"/>
        <v>1.78</v>
      </c>
      <c r="B295" s="40">
        <f t="shared" si="33"/>
        <v>150</v>
      </c>
      <c r="C295"/>
      <c r="D295"/>
      <c r="E295"/>
      <c r="F295"/>
      <c r="G295"/>
    </row>
    <row r="296" spans="1:7" x14ac:dyDescent="0.2">
      <c r="A296" s="39">
        <f t="shared" si="32"/>
        <v>1.9</v>
      </c>
      <c r="B296" s="40">
        <f t="shared" si="33"/>
        <v>150</v>
      </c>
      <c r="C296"/>
      <c r="D296"/>
      <c r="E296"/>
      <c r="F296"/>
      <c r="G296"/>
    </row>
    <row r="297" spans="1:7" ht="13.5" thickBot="1" x14ac:dyDescent="0.25">
      <c r="A297" s="41">
        <f t="shared" si="32"/>
        <v>2</v>
      </c>
      <c r="B297" s="133">
        <f t="shared" si="33"/>
        <v>150</v>
      </c>
      <c r="C297"/>
      <c r="D297"/>
      <c r="E297"/>
      <c r="F297"/>
      <c r="G297"/>
    </row>
    <row r="298" spans="1:7" x14ac:dyDescent="0.2">
      <c r="A298"/>
      <c r="B298"/>
      <c r="C298"/>
      <c r="D298"/>
      <c r="E298"/>
      <c r="F298"/>
      <c r="G298"/>
    </row>
    <row r="299" spans="1:7" ht="13.5" thickBot="1" x14ac:dyDescent="0.25">
      <c r="A299"/>
      <c r="B299"/>
      <c r="C299"/>
      <c r="D299"/>
      <c r="E299"/>
      <c r="F299"/>
      <c r="G299"/>
    </row>
    <row r="300" spans="1:7" ht="13.5" thickBot="1" x14ac:dyDescent="0.25">
      <c r="A300" s="129" t="s">
        <v>73</v>
      </c>
      <c r="B300" s="119" t="s">
        <v>16</v>
      </c>
      <c r="C300"/>
      <c r="D300"/>
      <c r="E300"/>
      <c r="F300"/>
      <c r="G300"/>
    </row>
    <row r="301" spans="1:7" ht="13.5" thickBot="1" x14ac:dyDescent="0.25">
      <c r="A301" s="311" t="s">
        <v>79</v>
      </c>
      <c r="B301" s="210">
        <v>60</v>
      </c>
      <c r="C301"/>
      <c r="D301"/>
      <c r="E301"/>
      <c r="F301"/>
      <c r="G301"/>
    </row>
    <row r="302" spans="1:7" ht="13.5" thickBot="1" x14ac:dyDescent="0.25">
      <c r="A302" s="134"/>
      <c r="B302" s="134"/>
      <c r="C302"/>
      <c r="D302"/>
      <c r="E302"/>
      <c r="F302"/>
      <c r="G302"/>
    </row>
    <row r="303" spans="1:7" ht="13.5" thickBot="1" x14ac:dyDescent="0.25">
      <c r="A303" s="118" t="s">
        <v>1</v>
      </c>
      <c r="B303" s="119" t="s">
        <v>14</v>
      </c>
      <c r="C303"/>
      <c r="D303"/>
      <c r="E303"/>
      <c r="F303"/>
      <c r="G303"/>
    </row>
    <row r="304" spans="1:7" x14ac:dyDescent="0.2">
      <c r="A304" s="54">
        <v>0</v>
      </c>
      <c r="B304" s="51">
        <v>100</v>
      </c>
      <c r="C304"/>
      <c r="D304"/>
      <c r="E304"/>
      <c r="F304"/>
      <c r="G304"/>
    </row>
    <row r="305" spans="1:9" x14ac:dyDescent="0.2">
      <c r="A305" s="49">
        <v>10</v>
      </c>
      <c r="B305" s="52">
        <v>100</v>
      </c>
      <c r="C305"/>
      <c r="D305"/>
      <c r="E305"/>
      <c r="F305"/>
      <c r="G305"/>
    </row>
    <row r="306" spans="1:9" x14ac:dyDescent="0.2">
      <c r="A306" s="49">
        <v>50</v>
      </c>
      <c r="B306" s="52">
        <v>100</v>
      </c>
      <c r="C306"/>
      <c r="D306"/>
      <c r="E306"/>
      <c r="F306"/>
      <c r="G306"/>
    </row>
    <row r="307" spans="1:9" x14ac:dyDescent="0.2">
      <c r="A307" s="49">
        <v>75</v>
      </c>
      <c r="B307" s="52">
        <v>100</v>
      </c>
      <c r="C307"/>
      <c r="D307"/>
      <c r="E307"/>
      <c r="F307"/>
      <c r="G307"/>
    </row>
    <row r="308" spans="1:9" x14ac:dyDescent="0.2">
      <c r="A308" s="49">
        <v>88</v>
      </c>
      <c r="B308" s="52">
        <v>100</v>
      </c>
      <c r="C308"/>
      <c r="D308"/>
      <c r="E308"/>
      <c r="F308"/>
      <c r="G308"/>
    </row>
    <row r="309" spans="1:9" x14ac:dyDescent="0.2">
      <c r="A309" s="49">
        <v>94</v>
      </c>
      <c r="B309" s="52">
        <v>100</v>
      </c>
      <c r="C309"/>
      <c r="D309"/>
      <c r="E309"/>
      <c r="F309"/>
      <c r="G309"/>
    </row>
    <row r="310" spans="1:9" x14ac:dyDescent="0.2">
      <c r="A310" s="49">
        <v>95</v>
      </c>
      <c r="B310" s="52">
        <v>100</v>
      </c>
      <c r="C310"/>
      <c r="D310"/>
      <c r="E310"/>
      <c r="F310"/>
      <c r="G310"/>
    </row>
    <row r="311" spans="1:9" ht="13.5" thickBot="1" x14ac:dyDescent="0.25">
      <c r="A311" s="50">
        <v>100</v>
      </c>
      <c r="B311" s="53">
        <v>100</v>
      </c>
      <c r="C311"/>
      <c r="D311"/>
      <c r="E311"/>
      <c r="F311"/>
      <c r="G311"/>
    </row>
    <row r="312" spans="1:9" ht="13.5" thickBot="1" x14ac:dyDescent="0.25">
      <c r="A312"/>
      <c r="B312"/>
      <c r="C312"/>
      <c r="D312"/>
      <c r="E312"/>
      <c r="F312"/>
      <c r="G312"/>
    </row>
    <row r="313" spans="1:9" ht="13.5" thickBot="1" x14ac:dyDescent="0.25">
      <c r="A313" s="116" t="s">
        <v>15</v>
      </c>
      <c r="B313" s="25" t="s">
        <v>14</v>
      </c>
      <c r="C313"/>
      <c r="D313"/>
      <c r="E313"/>
      <c r="F313"/>
      <c r="G313"/>
    </row>
    <row r="314" spans="1:9" x14ac:dyDescent="0.2">
      <c r="A314" s="37">
        <f t="shared" ref="A314:A321" si="34">A304*F$4/100</f>
        <v>0</v>
      </c>
      <c r="B314" s="38">
        <f t="shared" ref="B314:B321" si="35">B304</f>
        <v>100</v>
      </c>
      <c r="C314"/>
      <c r="D314"/>
      <c r="E314"/>
      <c r="F314"/>
      <c r="G314"/>
    </row>
    <row r="315" spans="1:9" x14ac:dyDescent="0.2">
      <c r="A315" s="39">
        <f t="shared" si="34"/>
        <v>0.2</v>
      </c>
      <c r="B315" s="40">
        <f t="shared" si="35"/>
        <v>100</v>
      </c>
      <c r="C315"/>
      <c r="D315"/>
      <c r="E315"/>
      <c r="F315"/>
      <c r="G315"/>
    </row>
    <row r="316" spans="1:9" x14ac:dyDescent="0.2">
      <c r="A316" s="39">
        <f t="shared" si="34"/>
        <v>1</v>
      </c>
      <c r="B316" s="40">
        <f t="shared" si="35"/>
        <v>100</v>
      </c>
      <c r="C316"/>
      <c r="D316"/>
      <c r="E316"/>
      <c r="F316"/>
      <c r="G316"/>
    </row>
    <row r="317" spans="1:9" x14ac:dyDescent="0.2">
      <c r="A317" s="39">
        <f t="shared" si="34"/>
        <v>1.5</v>
      </c>
      <c r="B317" s="123">
        <f t="shared" si="35"/>
        <v>100</v>
      </c>
      <c r="C317"/>
      <c r="D317"/>
      <c r="E317"/>
      <c r="F317"/>
      <c r="G317"/>
    </row>
    <row r="318" spans="1:9" x14ac:dyDescent="0.2">
      <c r="A318" s="39">
        <f t="shared" si="34"/>
        <v>1.76</v>
      </c>
      <c r="B318" s="40">
        <f t="shared" si="35"/>
        <v>100</v>
      </c>
      <c r="C318"/>
      <c r="D318"/>
      <c r="E318"/>
      <c r="F318"/>
      <c r="G318"/>
    </row>
    <row r="319" spans="1:9" x14ac:dyDescent="0.2">
      <c r="A319" s="39">
        <f t="shared" si="34"/>
        <v>1.88</v>
      </c>
      <c r="B319" s="40">
        <f t="shared" si="35"/>
        <v>100</v>
      </c>
      <c r="C319"/>
      <c r="D319"/>
      <c r="E319"/>
      <c r="F319"/>
      <c r="G319"/>
    </row>
    <row r="320" spans="1:9" x14ac:dyDescent="0.2">
      <c r="A320" s="135">
        <f t="shared" si="34"/>
        <v>1.9</v>
      </c>
      <c r="B320" s="136">
        <f t="shared" si="35"/>
        <v>100</v>
      </c>
      <c r="C320"/>
      <c r="D320"/>
      <c r="E320"/>
      <c r="F320"/>
      <c r="G320"/>
      <c r="I320" s="87"/>
    </row>
    <row r="321" spans="1:7" ht="13.5" thickBot="1" x14ac:dyDescent="0.25">
      <c r="A321" s="137">
        <f t="shared" si="34"/>
        <v>2</v>
      </c>
      <c r="B321" s="138">
        <f t="shared" si="35"/>
        <v>100</v>
      </c>
      <c r="C321"/>
      <c r="D321"/>
      <c r="E321"/>
      <c r="F321"/>
      <c r="G321"/>
    </row>
    <row r="322" spans="1:7" x14ac:dyDescent="0.2">
      <c r="A322" s="134"/>
      <c r="B322" s="134"/>
      <c r="C322"/>
      <c r="D322"/>
      <c r="E322"/>
      <c r="F322"/>
      <c r="G322"/>
    </row>
    <row r="323" spans="1:7" ht="13.5" thickBot="1" x14ac:dyDescent="0.25">
      <c r="A323" s="134"/>
      <c r="B323" s="134"/>
      <c r="C323"/>
      <c r="D323"/>
      <c r="E323"/>
      <c r="F323"/>
      <c r="G323"/>
    </row>
    <row r="324" spans="1:7" ht="13.5" thickBot="1" x14ac:dyDescent="0.25">
      <c r="A324" s="129" t="s">
        <v>73</v>
      </c>
      <c r="B324" s="119" t="s">
        <v>16</v>
      </c>
      <c r="C324"/>
      <c r="D324"/>
      <c r="E324"/>
      <c r="F324"/>
      <c r="G324"/>
    </row>
    <row r="325" spans="1:7" ht="13.5" thickBot="1" x14ac:dyDescent="0.25">
      <c r="A325" s="311" t="s">
        <v>80</v>
      </c>
      <c r="B325" s="210">
        <v>30</v>
      </c>
      <c r="C325"/>
      <c r="D325"/>
      <c r="E325"/>
      <c r="F325"/>
      <c r="G325"/>
    </row>
    <row r="326" spans="1:7" ht="13.5" thickBot="1" x14ac:dyDescent="0.25">
      <c r="A326"/>
      <c r="B326"/>
      <c r="C326"/>
      <c r="D326"/>
      <c r="E326"/>
      <c r="F326"/>
      <c r="G326"/>
    </row>
    <row r="327" spans="1:7" ht="13.5" thickBot="1" x14ac:dyDescent="0.25">
      <c r="A327" s="116" t="s">
        <v>1</v>
      </c>
      <c r="B327" s="25" t="s">
        <v>14</v>
      </c>
      <c r="C327"/>
      <c r="D327"/>
      <c r="E327"/>
      <c r="F327"/>
      <c r="G327"/>
    </row>
    <row r="328" spans="1:7" x14ac:dyDescent="0.2">
      <c r="A328" s="54">
        <v>0</v>
      </c>
      <c r="B328" s="51">
        <v>50</v>
      </c>
      <c r="C328"/>
      <c r="D328"/>
      <c r="E328"/>
      <c r="F328"/>
      <c r="G328"/>
    </row>
    <row r="329" spans="1:7" x14ac:dyDescent="0.2">
      <c r="A329" s="49">
        <v>10</v>
      </c>
      <c r="B329" s="52">
        <v>50</v>
      </c>
      <c r="C329"/>
      <c r="D329"/>
      <c r="E329"/>
      <c r="F329"/>
      <c r="G329"/>
    </row>
    <row r="330" spans="1:7" x14ac:dyDescent="0.2">
      <c r="A330" s="49">
        <v>50</v>
      </c>
      <c r="B330" s="52">
        <v>50</v>
      </c>
      <c r="C330"/>
      <c r="D330"/>
      <c r="E330"/>
      <c r="F330"/>
      <c r="G330"/>
    </row>
    <row r="331" spans="1:7" x14ac:dyDescent="0.2">
      <c r="A331" s="49">
        <v>75</v>
      </c>
      <c r="B331" s="52">
        <v>50</v>
      </c>
      <c r="C331"/>
      <c r="D331"/>
      <c r="E331"/>
      <c r="F331"/>
      <c r="G331"/>
    </row>
    <row r="332" spans="1:7" x14ac:dyDescent="0.2">
      <c r="A332" s="49">
        <v>88</v>
      </c>
      <c r="B332" s="52">
        <v>50</v>
      </c>
      <c r="C332"/>
      <c r="D332"/>
      <c r="E332"/>
      <c r="F332"/>
      <c r="G332"/>
    </row>
    <row r="333" spans="1:7" x14ac:dyDescent="0.2">
      <c r="A333" s="49">
        <v>94</v>
      </c>
      <c r="B333" s="52">
        <v>50</v>
      </c>
      <c r="C333"/>
      <c r="D333"/>
      <c r="E333"/>
      <c r="F333"/>
      <c r="G333"/>
    </row>
    <row r="334" spans="1:7" x14ac:dyDescent="0.2">
      <c r="A334" s="49">
        <v>95</v>
      </c>
      <c r="B334" s="52">
        <v>50</v>
      </c>
      <c r="C334"/>
      <c r="D334"/>
      <c r="E334"/>
      <c r="F334"/>
      <c r="G334"/>
    </row>
    <row r="335" spans="1:7" ht="13.5" thickBot="1" x14ac:dyDescent="0.25">
      <c r="A335" s="50">
        <v>100</v>
      </c>
      <c r="B335" s="53">
        <v>50</v>
      </c>
      <c r="C335"/>
      <c r="D335"/>
      <c r="E335"/>
      <c r="F335"/>
      <c r="G335"/>
    </row>
    <row r="336" spans="1:7" ht="13.5" thickBot="1" x14ac:dyDescent="0.25">
      <c r="A336"/>
      <c r="B336"/>
      <c r="C336"/>
      <c r="D336"/>
      <c r="E336"/>
      <c r="F336"/>
      <c r="G336"/>
    </row>
    <row r="337" spans="1:7" ht="13.5" thickBot="1" x14ac:dyDescent="0.25">
      <c r="A337" s="116" t="s">
        <v>15</v>
      </c>
      <c r="B337" s="119" t="s">
        <v>14</v>
      </c>
      <c r="C337"/>
      <c r="D337"/>
      <c r="E337"/>
      <c r="F337"/>
      <c r="G337"/>
    </row>
    <row r="338" spans="1:7" x14ac:dyDescent="0.2">
      <c r="A338" s="199">
        <f t="shared" ref="A338:A345" si="36">A328*F$4/100</f>
        <v>0</v>
      </c>
      <c r="B338" s="200">
        <f t="shared" ref="B338:B345" si="37">B328</f>
        <v>50</v>
      </c>
      <c r="C338"/>
      <c r="D338"/>
      <c r="E338"/>
      <c r="F338"/>
      <c r="G338"/>
    </row>
    <row r="339" spans="1:7" x14ac:dyDescent="0.2">
      <c r="A339" s="124">
        <f t="shared" si="36"/>
        <v>0.2</v>
      </c>
      <c r="B339" s="123">
        <f t="shared" si="37"/>
        <v>50</v>
      </c>
      <c r="C339"/>
      <c r="D339"/>
      <c r="E339"/>
      <c r="F339"/>
      <c r="G339"/>
    </row>
    <row r="340" spans="1:7" x14ac:dyDescent="0.2">
      <c r="A340" s="120">
        <f t="shared" si="36"/>
        <v>1</v>
      </c>
      <c r="B340" s="125">
        <f t="shared" si="37"/>
        <v>50</v>
      </c>
      <c r="C340"/>
      <c r="D340"/>
      <c r="E340"/>
      <c r="F340"/>
      <c r="G340"/>
    </row>
    <row r="341" spans="1:7" x14ac:dyDescent="0.2">
      <c r="A341" s="120">
        <f t="shared" si="36"/>
        <v>1.5</v>
      </c>
      <c r="B341" s="125">
        <f t="shared" si="37"/>
        <v>50</v>
      </c>
      <c r="C341"/>
      <c r="D341"/>
      <c r="E341"/>
      <c r="F341"/>
      <c r="G341"/>
    </row>
    <row r="342" spans="1:7" x14ac:dyDescent="0.2">
      <c r="A342" s="120">
        <f t="shared" si="36"/>
        <v>1.76</v>
      </c>
      <c r="B342" s="125">
        <f t="shared" si="37"/>
        <v>50</v>
      </c>
      <c r="C342"/>
      <c r="D342"/>
      <c r="E342"/>
      <c r="F342"/>
      <c r="G342"/>
    </row>
    <row r="343" spans="1:7" x14ac:dyDescent="0.2">
      <c r="A343" s="120">
        <f t="shared" si="36"/>
        <v>1.88</v>
      </c>
      <c r="B343" s="125">
        <f t="shared" si="37"/>
        <v>50</v>
      </c>
      <c r="C343"/>
      <c r="D343"/>
      <c r="E343"/>
      <c r="F343"/>
      <c r="G343"/>
    </row>
    <row r="344" spans="1:7" x14ac:dyDescent="0.2">
      <c r="A344" s="120">
        <f t="shared" si="36"/>
        <v>1.9</v>
      </c>
      <c r="B344" s="125">
        <f t="shared" si="37"/>
        <v>50</v>
      </c>
      <c r="C344"/>
      <c r="D344"/>
      <c r="E344"/>
      <c r="F344"/>
      <c r="G344"/>
    </row>
    <row r="345" spans="1:7" ht="13.5" thickBot="1" x14ac:dyDescent="0.25">
      <c r="A345" s="126">
        <f t="shared" si="36"/>
        <v>2</v>
      </c>
      <c r="B345" s="127">
        <f t="shared" si="37"/>
        <v>50</v>
      </c>
      <c r="C345"/>
      <c r="D345"/>
      <c r="E345"/>
      <c r="F345"/>
      <c r="G345"/>
    </row>
    <row r="346" spans="1:7" x14ac:dyDescent="0.2">
      <c r="A346"/>
      <c r="B346"/>
      <c r="C346"/>
      <c r="D346"/>
      <c r="E346"/>
      <c r="F346"/>
      <c r="G346"/>
    </row>
    <row r="347" spans="1:7" ht="13.5" thickBot="1" x14ac:dyDescent="0.25">
      <c r="A347"/>
      <c r="B347"/>
      <c r="C347"/>
      <c r="D347"/>
      <c r="E347"/>
      <c r="F347"/>
      <c r="G347"/>
    </row>
    <row r="348" spans="1:7" ht="13.5" thickBot="1" x14ac:dyDescent="0.25">
      <c r="A348" s="129" t="s">
        <v>73</v>
      </c>
      <c r="B348" s="25" t="s">
        <v>16</v>
      </c>
      <c r="C348"/>
      <c r="D348"/>
      <c r="E348"/>
      <c r="F348"/>
      <c r="G348"/>
    </row>
    <row r="349" spans="1:7" ht="13.5" thickBot="1" x14ac:dyDescent="0.25">
      <c r="A349" s="311" t="s">
        <v>81</v>
      </c>
      <c r="B349" s="209">
        <v>60</v>
      </c>
      <c r="C349"/>
      <c r="D349"/>
      <c r="E349"/>
      <c r="F349"/>
      <c r="G349"/>
    </row>
    <row r="350" spans="1:7" ht="13.5" thickBot="1" x14ac:dyDescent="0.25">
      <c r="A350"/>
      <c r="B350"/>
      <c r="C350"/>
      <c r="D350"/>
      <c r="E350"/>
      <c r="F350"/>
      <c r="G350"/>
    </row>
    <row r="351" spans="1:7" ht="13.5" thickBot="1" x14ac:dyDescent="0.25">
      <c r="A351" s="116" t="s">
        <v>1</v>
      </c>
      <c r="B351" s="25" t="s">
        <v>14</v>
      </c>
      <c r="C351"/>
      <c r="D351"/>
      <c r="E351"/>
      <c r="F351"/>
      <c r="G351"/>
    </row>
    <row r="352" spans="1:7" x14ac:dyDescent="0.2">
      <c r="A352" s="54">
        <v>0</v>
      </c>
      <c r="B352" s="51">
        <v>20</v>
      </c>
      <c r="C352"/>
      <c r="D352"/>
      <c r="E352"/>
      <c r="F352"/>
      <c r="G352"/>
    </row>
    <row r="353" spans="1:7" x14ac:dyDescent="0.2">
      <c r="A353" s="49">
        <v>10</v>
      </c>
      <c r="B353" s="52">
        <v>20</v>
      </c>
      <c r="C353"/>
      <c r="D353"/>
      <c r="E353"/>
      <c r="F353"/>
      <c r="G353"/>
    </row>
    <row r="354" spans="1:7" x14ac:dyDescent="0.2">
      <c r="A354" s="49">
        <v>50</v>
      </c>
      <c r="B354" s="52">
        <v>20</v>
      </c>
      <c r="C354"/>
      <c r="D354"/>
      <c r="E354"/>
      <c r="F354"/>
      <c r="G354"/>
    </row>
    <row r="355" spans="1:7" x14ac:dyDescent="0.2">
      <c r="A355" s="49">
        <v>75</v>
      </c>
      <c r="B355" s="52">
        <v>20</v>
      </c>
      <c r="C355"/>
      <c r="D355"/>
      <c r="E355"/>
      <c r="F355"/>
      <c r="G355"/>
    </row>
    <row r="356" spans="1:7" x14ac:dyDescent="0.2">
      <c r="A356" s="49">
        <v>88</v>
      </c>
      <c r="B356" s="52">
        <v>20</v>
      </c>
      <c r="C356"/>
      <c r="D356"/>
      <c r="E356"/>
      <c r="F356"/>
      <c r="G356"/>
    </row>
    <row r="357" spans="1:7" x14ac:dyDescent="0.2">
      <c r="A357" s="49">
        <v>94</v>
      </c>
      <c r="B357" s="52">
        <v>20</v>
      </c>
      <c r="C357"/>
      <c r="D357"/>
      <c r="E357"/>
      <c r="F357"/>
      <c r="G357"/>
    </row>
    <row r="358" spans="1:7" x14ac:dyDescent="0.2">
      <c r="A358" s="49">
        <v>95</v>
      </c>
      <c r="B358" s="52">
        <v>20</v>
      </c>
      <c r="C358"/>
      <c r="D358"/>
      <c r="E358"/>
      <c r="F358"/>
      <c r="G358"/>
    </row>
    <row r="359" spans="1:7" ht="13.5" thickBot="1" x14ac:dyDescent="0.25">
      <c r="A359" s="50">
        <v>100</v>
      </c>
      <c r="B359" s="53">
        <v>20</v>
      </c>
      <c r="C359"/>
      <c r="D359"/>
      <c r="E359"/>
      <c r="F359"/>
      <c r="G359"/>
    </row>
    <row r="360" spans="1:7" ht="13.5" thickBot="1" x14ac:dyDescent="0.25">
      <c r="A360" s="134"/>
      <c r="B360" s="134"/>
      <c r="C360"/>
      <c r="D360"/>
      <c r="E360"/>
      <c r="F360"/>
      <c r="G360"/>
    </row>
    <row r="361" spans="1:7" ht="13.5" thickBot="1" x14ac:dyDescent="0.25">
      <c r="A361" s="118" t="s">
        <v>15</v>
      </c>
      <c r="B361" s="119" t="s">
        <v>14</v>
      </c>
      <c r="C361"/>
      <c r="D361"/>
      <c r="E361"/>
      <c r="F361"/>
      <c r="G361"/>
    </row>
    <row r="362" spans="1:7" x14ac:dyDescent="0.2">
      <c r="A362" s="131">
        <f t="shared" ref="A362:A369" si="38">A352*F$4/100</f>
        <v>0</v>
      </c>
      <c r="B362" s="132">
        <f t="shared" ref="B362:B369" si="39">B352</f>
        <v>20</v>
      </c>
      <c r="C362"/>
      <c r="D362"/>
      <c r="E362"/>
      <c r="F362"/>
      <c r="G362"/>
    </row>
    <row r="363" spans="1:7" x14ac:dyDescent="0.2">
      <c r="A363" s="135">
        <f t="shared" si="38"/>
        <v>0.2</v>
      </c>
      <c r="B363" s="136">
        <f t="shared" si="39"/>
        <v>20</v>
      </c>
      <c r="C363"/>
      <c r="D363"/>
      <c r="E363"/>
      <c r="F363"/>
      <c r="G363"/>
    </row>
    <row r="364" spans="1:7" x14ac:dyDescent="0.2">
      <c r="A364" s="135">
        <f t="shared" si="38"/>
        <v>1</v>
      </c>
      <c r="B364" s="136">
        <f t="shared" si="39"/>
        <v>20</v>
      </c>
      <c r="C364"/>
      <c r="D364"/>
      <c r="E364"/>
      <c r="F364"/>
      <c r="G364"/>
    </row>
    <row r="365" spans="1:7" x14ac:dyDescent="0.2">
      <c r="A365" s="135">
        <f t="shared" si="38"/>
        <v>1.5</v>
      </c>
      <c r="B365" s="136">
        <f t="shared" si="39"/>
        <v>20</v>
      </c>
      <c r="C365"/>
      <c r="D365"/>
      <c r="E365"/>
      <c r="F365"/>
      <c r="G365"/>
    </row>
    <row r="366" spans="1:7" x14ac:dyDescent="0.2">
      <c r="A366" s="39">
        <f t="shared" si="38"/>
        <v>1.76</v>
      </c>
      <c r="B366" s="40">
        <f t="shared" si="39"/>
        <v>20</v>
      </c>
      <c r="C366"/>
      <c r="D366"/>
      <c r="E366"/>
      <c r="F366"/>
      <c r="G366"/>
    </row>
    <row r="367" spans="1:7" x14ac:dyDescent="0.2">
      <c r="A367" s="39">
        <f t="shared" si="38"/>
        <v>1.88</v>
      </c>
      <c r="B367" s="40">
        <f t="shared" si="39"/>
        <v>20</v>
      </c>
      <c r="C367"/>
      <c r="D367"/>
      <c r="E367"/>
      <c r="F367"/>
      <c r="G367"/>
    </row>
    <row r="368" spans="1:7" x14ac:dyDescent="0.2">
      <c r="A368" s="39">
        <f t="shared" si="38"/>
        <v>1.9</v>
      </c>
      <c r="B368" s="40">
        <f t="shared" si="39"/>
        <v>20</v>
      </c>
      <c r="C368"/>
      <c r="D368"/>
      <c r="E368"/>
      <c r="F368"/>
      <c r="G368"/>
    </row>
    <row r="369" spans="1:7" ht="13.5" thickBot="1" x14ac:dyDescent="0.25">
      <c r="A369" s="41">
        <f t="shared" si="38"/>
        <v>2</v>
      </c>
      <c r="B369" s="42">
        <f t="shared" si="39"/>
        <v>20</v>
      </c>
      <c r="C369"/>
      <c r="D369"/>
      <c r="E369"/>
      <c r="F369"/>
      <c r="G369"/>
    </row>
    <row r="370" spans="1:7" x14ac:dyDescent="0.2">
      <c r="A370"/>
      <c r="B370"/>
      <c r="C370"/>
      <c r="D370"/>
      <c r="E370"/>
      <c r="F370"/>
      <c r="G370"/>
    </row>
    <row r="371" spans="1:7" ht="13.5" thickBot="1" x14ac:dyDescent="0.25">
      <c r="A371"/>
      <c r="B371"/>
      <c r="C371"/>
      <c r="D371"/>
      <c r="E371"/>
      <c r="F371"/>
      <c r="G371"/>
    </row>
    <row r="372" spans="1:7" ht="13.5" thickBot="1" x14ac:dyDescent="0.25">
      <c r="A372" s="129" t="s">
        <v>73</v>
      </c>
      <c r="B372" s="25" t="s">
        <v>16</v>
      </c>
      <c r="C372"/>
      <c r="D372"/>
      <c r="E372"/>
      <c r="F372"/>
      <c r="G372"/>
    </row>
    <row r="373" spans="1:7" ht="13.5" thickBot="1" x14ac:dyDescent="0.25">
      <c r="A373" s="311" t="s">
        <v>82</v>
      </c>
      <c r="B373" s="209">
        <v>30</v>
      </c>
      <c r="C373" s="117"/>
      <c r="D373" s="117"/>
      <c r="E373" s="117"/>
      <c r="F373" s="117"/>
      <c r="G373" s="117"/>
    </row>
    <row r="374" spans="1:7" ht="13.5" thickBot="1" x14ac:dyDescent="0.25">
      <c r="A374"/>
      <c r="B374"/>
      <c r="C374" s="71"/>
      <c r="D374" s="71"/>
      <c r="E374" s="71"/>
      <c r="F374" s="71"/>
      <c r="G374" s="71"/>
    </row>
    <row r="375" spans="1:7" ht="13.5" thickBot="1" x14ac:dyDescent="0.25">
      <c r="A375" s="116" t="s">
        <v>1</v>
      </c>
      <c r="B375" s="25" t="s">
        <v>14</v>
      </c>
      <c r="C375" s="9"/>
      <c r="D375" s="9"/>
      <c r="E375" s="9"/>
      <c r="F375" s="9"/>
      <c r="G375" s="9"/>
    </row>
    <row r="376" spans="1:7" x14ac:dyDescent="0.2">
      <c r="A376" s="54">
        <v>0</v>
      </c>
      <c r="B376" s="51">
        <v>0</v>
      </c>
      <c r="C376"/>
      <c r="D376"/>
      <c r="E376"/>
      <c r="F376"/>
      <c r="G376"/>
    </row>
    <row r="377" spans="1:7" x14ac:dyDescent="0.2">
      <c r="A377" s="49">
        <v>7.89</v>
      </c>
      <c r="B377" s="52">
        <v>0</v>
      </c>
      <c r="C377" s="112"/>
      <c r="D377" s="112"/>
      <c r="E377"/>
      <c r="F377" s="112"/>
      <c r="G377" s="112"/>
    </row>
    <row r="378" spans="1:7" x14ac:dyDescent="0.2">
      <c r="A378" s="49">
        <v>20</v>
      </c>
      <c r="B378" s="52">
        <v>0</v>
      </c>
      <c r="C378" s="19"/>
      <c r="D378" s="70"/>
      <c r="E378"/>
      <c r="F378" s="113"/>
      <c r="G378" s="70"/>
    </row>
    <row r="379" spans="1:7" x14ac:dyDescent="0.2">
      <c r="A379" s="49">
        <v>55.26</v>
      </c>
      <c r="B379" s="52">
        <v>0</v>
      </c>
      <c r="C379" s="19"/>
      <c r="D379" s="70"/>
      <c r="E379"/>
      <c r="F379" s="113"/>
      <c r="G379" s="70"/>
    </row>
    <row r="380" spans="1:7" x14ac:dyDescent="0.2">
      <c r="A380" s="49">
        <v>60</v>
      </c>
      <c r="B380" s="52">
        <v>0</v>
      </c>
      <c r="C380" s="19"/>
      <c r="D380" s="70"/>
      <c r="E380"/>
      <c r="F380" s="113"/>
      <c r="G380" s="70"/>
    </row>
    <row r="381" spans="1:7" x14ac:dyDescent="0.2">
      <c r="A381" s="49">
        <v>65</v>
      </c>
      <c r="B381" s="52">
        <v>0</v>
      </c>
      <c r="C381" s="19"/>
      <c r="D381" s="70"/>
      <c r="E381"/>
      <c r="F381" s="113"/>
      <c r="G381" s="70"/>
    </row>
    <row r="382" spans="1:7" x14ac:dyDescent="0.2">
      <c r="A382" s="49">
        <v>71.05</v>
      </c>
      <c r="B382" s="52">
        <v>0</v>
      </c>
      <c r="C382" s="19"/>
      <c r="D382" s="70"/>
      <c r="E382"/>
      <c r="F382" s="113"/>
      <c r="G382" s="70"/>
    </row>
    <row r="383" spans="1:7" ht="13.5" thickBot="1" x14ac:dyDescent="0.25">
      <c r="A383" s="50">
        <v>100</v>
      </c>
      <c r="B383" s="53">
        <v>0</v>
      </c>
      <c r="C383" s="19"/>
      <c r="D383" s="70"/>
      <c r="E383"/>
      <c r="F383" s="113"/>
      <c r="G383" s="70"/>
    </row>
    <row r="384" spans="1:7" ht="13.5" thickBot="1" x14ac:dyDescent="0.25">
      <c r="A384" s="134"/>
      <c r="B384" s="134"/>
      <c r="C384" s="19"/>
      <c r="D384" s="70"/>
      <c r="E384"/>
      <c r="F384" s="113"/>
      <c r="G384" s="70"/>
    </row>
    <row r="385" spans="1:7" ht="13.5" thickBot="1" x14ac:dyDescent="0.25">
      <c r="A385" s="118" t="s">
        <v>15</v>
      </c>
      <c r="B385" s="119" t="s">
        <v>14</v>
      </c>
      <c r="C385" s="19"/>
      <c r="D385" s="70"/>
      <c r="E385"/>
      <c r="F385" s="113"/>
      <c r="G385" s="8"/>
    </row>
    <row r="386" spans="1:7" x14ac:dyDescent="0.2">
      <c r="A386" s="37">
        <f t="shared" ref="A386:A393" si="40">A376*F$4/100</f>
        <v>0</v>
      </c>
      <c r="B386" s="38">
        <f t="shared" ref="B386:B393" si="41">B376</f>
        <v>0</v>
      </c>
      <c r="C386"/>
      <c r="D386"/>
      <c r="E386"/>
      <c r="F386"/>
      <c r="G386"/>
    </row>
    <row r="387" spans="1:7" x14ac:dyDescent="0.2">
      <c r="A387" s="39">
        <f t="shared" si="40"/>
        <v>0.1578</v>
      </c>
      <c r="B387" s="40">
        <f t="shared" si="41"/>
        <v>0</v>
      </c>
      <c r="C387" s="28"/>
      <c r="D387" s="28"/>
      <c r="E387" s="28"/>
      <c r="F387" s="28"/>
      <c r="G387" s="28"/>
    </row>
    <row r="388" spans="1:7" x14ac:dyDescent="0.2">
      <c r="A388" s="39">
        <f t="shared" si="40"/>
        <v>0.4</v>
      </c>
      <c r="B388" s="40">
        <f t="shared" si="41"/>
        <v>0</v>
      </c>
      <c r="C388" s="28"/>
      <c r="D388" s="28"/>
      <c r="E388" s="28"/>
      <c r="F388" s="28"/>
      <c r="G388" s="28"/>
    </row>
    <row r="389" spans="1:7" x14ac:dyDescent="0.2">
      <c r="A389" s="39">
        <f t="shared" si="40"/>
        <v>1.1052</v>
      </c>
      <c r="B389" s="40">
        <f t="shared" si="41"/>
        <v>0</v>
      </c>
      <c r="C389" s="28"/>
      <c r="D389" s="28"/>
      <c r="E389" s="28"/>
      <c r="F389" s="28"/>
      <c r="G389" s="28"/>
    </row>
    <row r="390" spans="1:7" x14ac:dyDescent="0.2">
      <c r="A390" s="39">
        <f t="shared" si="40"/>
        <v>1.2</v>
      </c>
      <c r="B390" s="40">
        <f t="shared" si="41"/>
        <v>0</v>
      </c>
      <c r="C390" s="28"/>
      <c r="D390" s="28"/>
      <c r="E390" s="28"/>
      <c r="F390" s="28"/>
      <c r="G390" s="28"/>
    </row>
    <row r="391" spans="1:7" x14ac:dyDescent="0.2">
      <c r="A391" s="39">
        <f t="shared" si="40"/>
        <v>1.3</v>
      </c>
      <c r="B391" s="40">
        <f t="shared" si="41"/>
        <v>0</v>
      </c>
      <c r="C391" s="28"/>
      <c r="D391" s="28"/>
      <c r="E391" s="28"/>
      <c r="F391" s="28"/>
      <c r="G391" s="28"/>
    </row>
    <row r="392" spans="1:7" x14ac:dyDescent="0.2">
      <c r="A392" s="39">
        <f t="shared" si="40"/>
        <v>1.421</v>
      </c>
      <c r="B392" s="40">
        <f t="shared" si="41"/>
        <v>0</v>
      </c>
      <c r="C392" s="28"/>
      <c r="D392" s="28"/>
      <c r="E392" s="28"/>
      <c r="F392" s="28"/>
      <c r="G392" s="28"/>
    </row>
    <row r="393" spans="1:7" ht="13.5" thickBot="1" x14ac:dyDescent="0.25">
      <c r="A393" s="41">
        <f t="shared" si="40"/>
        <v>2</v>
      </c>
      <c r="B393" s="42">
        <f t="shared" si="41"/>
        <v>0</v>
      </c>
      <c r="C393" s="28"/>
      <c r="D393" s="28"/>
      <c r="E393" s="28"/>
      <c r="F393" s="28"/>
      <c r="G393" s="28"/>
    </row>
    <row r="394" spans="1:7" x14ac:dyDescent="0.2">
      <c r="A394" s="68"/>
      <c r="B394" s="66"/>
      <c r="C394" s="28"/>
      <c r="D394" s="28"/>
      <c r="E394" s="28"/>
      <c r="F394" s="28"/>
      <c r="G394" s="28"/>
    </row>
    <row r="395" spans="1:7" ht="13.5" thickBot="1" x14ac:dyDescent="0.25">
      <c r="A395" s="68"/>
      <c r="B395" s="66"/>
      <c r="C395" s="28"/>
      <c r="D395" s="28"/>
      <c r="E395" s="28"/>
      <c r="F395" s="28"/>
      <c r="G395" s="28"/>
    </row>
    <row r="396" spans="1:7" ht="13.5" thickBot="1" x14ac:dyDescent="0.25">
      <c r="A396" s="129" t="s">
        <v>73</v>
      </c>
      <c r="B396" s="25" t="s">
        <v>16</v>
      </c>
      <c r="C396" s="28"/>
      <c r="D396" s="28"/>
      <c r="E396" s="28"/>
      <c r="F396" s="28"/>
      <c r="G396" s="28"/>
    </row>
    <row r="397" spans="1:7" ht="13.5" thickBot="1" x14ac:dyDescent="0.25">
      <c r="A397" s="311" t="s">
        <v>83</v>
      </c>
      <c r="B397" s="209">
        <v>60</v>
      </c>
      <c r="C397" s="28"/>
      <c r="D397" s="28"/>
      <c r="E397" s="28"/>
      <c r="F397" s="28"/>
      <c r="G397" s="28"/>
    </row>
    <row r="398" spans="1:7" ht="13.5" thickBot="1" x14ac:dyDescent="0.25">
      <c r="A398"/>
      <c r="B398"/>
      <c r="C398" s="28"/>
      <c r="D398" s="28"/>
      <c r="E398" s="28"/>
      <c r="F398" s="28"/>
      <c r="G398" s="28"/>
    </row>
    <row r="399" spans="1:7" ht="13.5" thickBot="1" x14ac:dyDescent="0.25">
      <c r="A399" s="116" t="s">
        <v>1</v>
      </c>
      <c r="B399" s="25" t="s">
        <v>14</v>
      </c>
      <c r="C399" s="28"/>
      <c r="D399" s="28"/>
      <c r="E399" s="28"/>
      <c r="F399" s="28"/>
      <c r="G399" s="28"/>
    </row>
    <row r="400" spans="1:7" x14ac:dyDescent="0.2">
      <c r="A400" s="54">
        <v>0</v>
      </c>
      <c r="B400" s="51">
        <v>150</v>
      </c>
      <c r="C400" s="28"/>
      <c r="D400" s="28"/>
      <c r="E400" s="28"/>
      <c r="F400" s="28"/>
      <c r="G400" s="28"/>
    </row>
    <row r="401" spans="1:7" x14ac:dyDescent="0.2">
      <c r="A401" s="49">
        <v>7.89</v>
      </c>
      <c r="B401" s="52">
        <v>150</v>
      </c>
      <c r="C401" s="28"/>
      <c r="D401" s="28"/>
      <c r="E401" s="28"/>
      <c r="F401" s="28"/>
      <c r="G401" s="28"/>
    </row>
    <row r="402" spans="1:7" x14ac:dyDescent="0.2">
      <c r="A402" s="49">
        <v>20</v>
      </c>
      <c r="B402" s="52">
        <v>150</v>
      </c>
      <c r="C402" s="28"/>
      <c r="D402" s="28"/>
      <c r="E402" s="28"/>
      <c r="F402" s="28"/>
      <c r="G402" s="28"/>
    </row>
    <row r="403" spans="1:7" x14ac:dyDescent="0.2">
      <c r="A403" s="49">
        <v>55.26</v>
      </c>
      <c r="B403" s="52">
        <v>150</v>
      </c>
      <c r="C403" s="28"/>
      <c r="D403" s="28"/>
      <c r="E403" s="28"/>
      <c r="F403" s="28"/>
      <c r="G403" s="28"/>
    </row>
    <row r="404" spans="1:7" x14ac:dyDescent="0.2">
      <c r="A404" s="49">
        <v>60</v>
      </c>
      <c r="B404" s="52">
        <v>150</v>
      </c>
      <c r="C404" s="28"/>
      <c r="D404" s="28"/>
      <c r="E404" s="28"/>
      <c r="F404" s="28"/>
      <c r="G404" s="28"/>
    </row>
    <row r="405" spans="1:7" x14ac:dyDescent="0.2">
      <c r="A405" s="49">
        <v>65</v>
      </c>
      <c r="B405" s="52">
        <v>150</v>
      </c>
      <c r="C405" s="28"/>
      <c r="D405" s="28"/>
      <c r="E405" s="28"/>
      <c r="F405" s="28"/>
      <c r="G405" s="28"/>
    </row>
    <row r="406" spans="1:7" x14ac:dyDescent="0.2">
      <c r="A406" s="49">
        <v>71.05</v>
      </c>
      <c r="B406" s="52">
        <v>150</v>
      </c>
      <c r="C406" s="28"/>
      <c r="D406" s="28"/>
      <c r="E406" s="28"/>
      <c r="F406" s="28"/>
      <c r="G406" s="28"/>
    </row>
    <row r="407" spans="1:7" ht="13.5" thickBot="1" x14ac:dyDescent="0.25">
      <c r="A407" s="50">
        <v>100</v>
      </c>
      <c r="B407" s="53">
        <v>150</v>
      </c>
      <c r="C407" s="28"/>
      <c r="D407" s="28"/>
      <c r="E407" s="28"/>
      <c r="F407" s="28"/>
      <c r="G407" s="28"/>
    </row>
    <row r="408" spans="1:7" ht="13.5" thickBot="1" x14ac:dyDescent="0.25">
      <c r="A408"/>
      <c r="B408"/>
      <c r="C408" s="28"/>
      <c r="D408" s="28"/>
      <c r="E408" s="28"/>
      <c r="F408" s="28"/>
      <c r="G408" s="28"/>
    </row>
    <row r="409" spans="1:7" ht="13.5" thickBot="1" x14ac:dyDescent="0.25">
      <c r="A409" s="116" t="s">
        <v>15</v>
      </c>
      <c r="B409" s="25" t="s">
        <v>14</v>
      </c>
      <c r="C409" s="28"/>
      <c r="D409" s="28"/>
      <c r="E409" s="28"/>
      <c r="F409" s="28"/>
      <c r="G409" s="28"/>
    </row>
    <row r="410" spans="1:7" x14ac:dyDescent="0.2">
      <c r="A410" s="37">
        <f t="shared" ref="A410:A417" si="42">A400*F$4/100</f>
        <v>0</v>
      </c>
      <c r="B410" s="38">
        <f t="shared" ref="B410:B417" si="43">B400</f>
        <v>150</v>
      </c>
      <c r="C410" s="28"/>
      <c r="D410" s="28"/>
      <c r="E410" s="28"/>
      <c r="F410" s="28"/>
      <c r="G410" s="28"/>
    </row>
    <row r="411" spans="1:7" x14ac:dyDescent="0.2">
      <c r="A411" s="39">
        <f t="shared" si="42"/>
        <v>0.1578</v>
      </c>
      <c r="B411" s="40">
        <f t="shared" si="43"/>
        <v>150</v>
      </c>
      <c r="C411" s="28"/>
      <c r="D411" s="28"/>
      <c r="E411" s="28"/>
      <c r="F411" s="28"/>
      <c r="G411" s="28"/>
    </row>
    <row r="412" spans="1:7" x14ac:dyDescent="0.2">
      <c r="A412" s="39">
        <f t="shared" si="42"/>
        <v>0.4</v>
      </c>
      <c r="B412" s="40">
        <f t="shared" si="43"/>
        <v>150</v>
      </c>
      <c r="C412" s="28"/>
      <c r="D412" s="28"/>
      <c r="E412" s="28"/>
      <c r="F412" s="28"/>
      <c r="G412" s="28"/>
    </row>
    <row r="413" spans="1:7" x14ac:dyDescent="0.2">
      <c r="A413" s="39">
        <f t="shared" si="42"/>
        <v>1.1052</v>
      </c>
      <c r="B413" s="40">
        <f t="shared" si="43"/>
        <v>150</v>
      </c>
      <c r="C413" s="28"/>
      <c r="D413" s="28"/>
      <c r="E413" s="28"/>
      <c r="F413" s="28"/>
      <c r="G413" s="28"/>
    </row>
    <row r="414" spans="1:7" x14ac:dyDescent="0.2">
      <c r="A414" s="39">
        <f t="shared" si="42"/>
        <v>1.2</v>
      </c>
      <c r="B414" s="40">
        <f t="shared" si="43"/>
        <v>150</v>
      </c>
      <c r="C414" s="28"/>
      <c r="D414" s="28"/>
      <c r="E414" s="28"/>
      <c r="F414" s="28"/>
      <c r="G414" s="28"/>
    </row>
    <row r="415" spans="1:7" x14ac:dyDescent="0.2">
      <c r="A415" s="39">
        <f t="shared" si="42"/>
        <v>1.3</v>
      </c>
      <c r="B415" s="40">
        <f t="shared" si="43"/>
        <v>150</v>
      </c>
      <c r="C415" s="28"/>
      <c r="D415" s="28"/>
      <c r="E415" s="28"/>
      <c r="F415" s="28"/>
      <c r="G415" s="28"/>
    </row>
    <row r="416" spans="1:7" x14ac:dyDescent="0.2">
      <c r="A416" s="39">
        <f t="shared" si="42"/>
        <v>1.421</v>
      </c>
      <c r="B416" s="40">
        <f t="shared" si="43"/>
        <v>150</v>
      </c>
      <c r="C416" s="28"/>
      <c r="D416" s="28"/>
      <c r="E416" s="28"/>
      <c r="F416" s="28"/>
      <c r="G416" s="28"/>
    </row>
    <row r="417" spans="1:7" ht="13.5" thickBot="1" x14ac:dyDescent="0.25">
      <c r="A417" s="41">
        <f t="shared" si="42"/>
        <v>2</v>
      </c>
      <c r="B417" s="138">
        <f t="shared" si="43"/>
        <v>150</v>
      </c>
      <c r="C417" s="28"/>
      <c r="D417" s="28"/>
      <c r="E417" s="28"/>
      <c r="F417" s="28"/>
      <c r="G417" s="28"/>
    </row>
    <row r="418" spans="1:7" x14ac:dyDescent="0.2">
      <c r="A418" s="67"/>
      <c r="B418" s="66"/>
      <c r="C418" s="28"/>
      <c r="D418" s="28"/>
      <c r="E418" s="28"/>
      <c r="F418" s="28"/>
      <c r="G418" s="28"/>
    </row>
    <row r="419" spans="1:7" ht="13.5" thickBot="1" x14ac:dyDescent="0.25">
      <c r="A419" s="64"/>
      <c r="B419" s="64"/>
      <c r="C419" s="28"/>
      <c r="D419" s="28"/>
      <c r="E419" s="28"/>
      <c r="F419" s="28"/>
      <c r="G419" s="28"/>
    </row>
    <row r="420" spans="1:7" ht="13.5" thickBot="1" x14ac:dyDescent="0.25">
      <c r="A420" s="129" t="s">
        <v>73</v>
      </c>
      <c r="B420" s="119" t="s">
        <v>16</v>
      </c>
      <c r="C420" s="28"/>
      <c r="D420" s="28"/>
      <c r="E420" s="28"/>
      <c r="F420" s="28"/>
      <c r="G420" s="28"/>
    </row>
    <row r="421" spans="1:7" ht="13.5" thickBot="1" x14ac:dyDescent="0.25">
      <c r="A421" s="311" t="s">
        <v>84</v>
      </c>
      <c r="B421" s="210">
        <v>60</v>
      </c>
      <c r="C421" s="28"/>
      <c r="D421" s="28"/>
      <c r="E421" s="28"/>
      <c r="F421" s="28"/>
      <c r="G421" s="28"/>
    </row>
    <row r="422" spans="1:7" ht="13.5" thickBot="1" x14ac:dyDescent="0.25">
      <c r="A422" s="134"/>
      <c r="B422" s="134"/>
      <c r="C422" s="28"/>
      <c r="D422" s="28"/>
      <c r="E422" s="28"/>
      <c r="F422" s="28"/>
      <c r="G422" s="28"/>
    </row>
    <row r="423" spans="1:7" ht="13.5" thickBot="1" x14ac:dyDescent="0.25">
      <c r="A423" s="118" t="s">
        <v>1</v>
      </c>
      <c r="B423" s="119" t="s">
        <v>14</v>
      </c>
      <c r="C423" s="28"/>
      <c r="D423" s="28"/>
      <c r="E423" s="28"/>
      <c r="F423" s="28"/>
      <c r="G423" s="28"/>
    </row>
    <row r="424" spans="1:7" x14ac:dyDescent="0.2">
      <c r="A424" s="54">
        <v>0</v>
      </c>
      <c r="B424" s="51">
        <v>0</v>
      </c>
      <c r="C424" s="28"/>
      <c r="D424" s="28"/>
      <c r="E424" s="28"/>
      <c r="F424" s="28"/>
      <c r="G424" s="28"/>
    </row>
    <row r="425" spans="1:7" x14ac:dyDescent="0.2">
      <c r="A425" s="49">
        <v>7.89</v>
      </c>
      <c r="B425" s="52">
        <v>0</v>
      </c>
      <c r="C425" s="28"/>
      <c r="D425" s="28"/>
      <c r="E425" s="28"/>
      <c r="F425" s="28"/>
      <c r="G425" s="28"/>
    </row>
    <row r="426" spans="1:7" x14ac:dyDescent="0.2">
      <c r="A426" s="49">
        <v>20</v>
      </c>
      <c r="B426" s="52">
        <v>0</v>
      </c>
      <c r="C426" s="28"/>
      <c r="D426" s="28"/>
      <c r="E426" s="28"/>
      <c r="F426" s="28"/>
      <c r="G426" s="28"/>
    </row>
    <row r="427" spans="1:7" x14ac:dyDescent="0.2">
      <c r="A427" s="49">
        <v>55.26</v>
      </c>
      <c r="B427" s="52">
        <v>0</v>
      </c>
      <c r="C427" s="28"/>
      <c r="D427" s="28"/>
      <c r="E427" s="28"/>
      <c r="F427" s="28"/>
      <c r="G427" s="28"/>
    </row>
    <row r="428" spans="1:7" x14ac:dyDescent="0.2">
      <c r="A428" s="49">
        <v>60</v>
      </c>
      <c r="B428" s="52">
        <v>0</v>
      </c>
      <c r="C428" s="28"/>
      <c r="D428" s="28"/>
      <c r="E428" s="28"/>
      <c r="F428" s="28"/>
      <c r="G428" s="28"/>
    </row>
    <row r="429" spans="1:7" x14ac:dyDescent="0.2">
      <c r="A429" s="49">
        <v>65</v>
      </c>
      <c r="B429" s="52">
        <v>0</v>
      </c>
      <c r="C429" s="28"/>
      <c r="D429" s="28"/>
      <c r="E429" s="28"/>
      <c r="F429" s="28"/>
      <c r="G429" s="28"/>
    </row>
    <row r="430" spans="1:7" x14ac:dyDescent="0.2">
      <c r="A430" s="49">
        <v>71.05</v>
      </c>
      <c r="B430" s="52">
        <v>0</v>
      </c>
      <c r="C430" s="28"/>
      <c r="D430" s="28"/>
      <c r="E430" s="28"/>
      <c r="F430" s="28"/>
      <c r="G430" s="28"/>
    </row>
    <row r="431" spans="1:7" ht="13.5" thickBot="1" x14ac:dyDescent="0.25">
      <c r="A431" s="50">
        <v>100</v>
      </c>
      <c r="B431" s="53">
        <v>0</v>
      </c>
      <c r="C431" s="28"/>
      <c r="D431" s="28"/>
      <c r="E431" s="28"/>
      <c r="F431" s="28"/>
      <c r="G431" s="28"/>
    </row>
    <row r="432" spans="1:7" ht="13.5" thickBot="1" x14ac:dyDescent="0.25">
      <c r="A432"/>
      <c r="B432"/>
      <c r="C432" s="28"/>
      <c r="D432" s="28"/>
      <c r="E432" s="28"/>
      <c r="F432" s="28"/>
      <c r="G432" s="28"/>
    </row>
    <row r="433" spans="1:7" ht="13.5" thickBot="1" x14ac:dyDescent="0.25">
      <c r="A433" s="116" t="s">
        <v>15</v>
      </c>
      <c r="B433" s="25" t="s">
        <v>14</v>
      </c>
      <c r="C433" s="28"/>
      <c r="D433" s="28"/>
      <c r="E433" s="28"/>
      <c r="F433" s="28"/>
      <c r="G433" s="28"/>
    </row>
    <row r="434" spans="1:7" x14ac:dyDescent="0.2">
      <c r="A434" s="37">
        <f t="shared" ref="A434:A441" si="44">A424*F$4/100</f>
        <v>0</v>
      </c>
      <c r="B434" s="38">
        <f t="shared" ref="B434:B441" si="45">B424</f>
        <v>0</v>
      </c>
      <c r="C434" s="28"/>
      <c r="D434" s="28"/>
      <c r="E434" s="28"/>
      <c r="F434" s="28"/>
      <c r="G434" s="28"/>
    </row>
    <row r="435" spans="1:7" x14ac:dyDescent="0.2">
      <c r="A435" s="39">
        <f t="shared" si="44"/>
        <v>0.1578</v>
      </c>
      <c r="B435" s="40">
        <f t="shared" si="45"/>
        <v>0</v>
      </c>
      <c r="C435" s="28"/>
      <c r="D435" s="28"/>
      <c r="E435" s="28"/>
      <c r="F435" s="28"/>
      <c r="G435" s="28"/>
    </row>
    <row r="436" spans="1:7" x14ac:dyDescent="0.2">
      <c r="A436" s="39">
        <f t="shared" si="44"/>
        <v>0.4</v>
      </c>
      <c r="B436" s="40">
        <f t="shared" si="45"/>
        <v>0</v>
      </c>
      <c r="C436" s="28"/>
      <c r="D436" s="28"/>
      <c r="E436" s="28"/>
      <c r="F436" s="28"/>
      <c r="G436" s="28"/>
    </row>
    <row r="437" spans="1:7" x14ac:dyDescent="0.2">
      <c r="A437" s="39">
        <f t="shared" si="44"/>
        <v>1.1052</v>
      </c>
      <c r="B437" s="40">
        <f t="shared" si="45"/>
        <v>0</v>
      </c>
      <c r="C437" s="28"/>
      <c r="D437" s="28"/>
      <c r="E437" s="28"/>
      <c r="F437" s="28"/>
      <c r="G437" s="28"/>
    </row>
    <row r="438" spans="1:7" x14ac:dyDescent="0.2">
      <c r="A438" s="39">
        <f t="shared" si="44"/>
        <v>1.2</v>
      </c>
      <c r="B438" s="40">
        <f t="shared" si="45"/>
        <v>0</v>
      </c>
      <c r="C438" s="28"/>
      <c r="D438" s="28"/>
      <c r="E438" s="28"/>
      <c r="F438" s="28"/>
      <c r="G438" s="28"/>
    </row>
    <row r="439" spans="1:7" x14ac:dyDescent="0.2">
      <c r="A439" s="39">
        <f t="shared" si="44"/>
        <v>1.3</v>
      </c>
      <c r="B439" s="40">
        <f t="shared" si="45"/>
        <v>0</v>
      </c>
      <c r="C439" s="28"/>
      <c r="D439" s="28"/>
      <c r="E439" s="28"/>
      <c r="F439" s="28"/>
      <c r="G439" s="28"/>
    </row>
    <row r="440" spans="1:7" x14ac:dyDescent="0.2">
      <c r="A440" s="39">
        <f t="shared" si="44"/>
        <v>1.421</v>
      </c>
      <c r="B440" s="40">
        <f t="shared" si="45"/>
        <v>0</v>
      </c>
      <c r="C440" s="28"/>
      <c r="D440" s="28"/>
      <c r="E440" s="28"/>
      <c r="F440" s="28"/>
      <c r="G440" s="28"/>
    </row>
    <row r="441" spans="1:7" ht="13.5" thickBot="1" x14ac:dyDescent="0.25">
      <c r="A441" s="41">
        <f t="shared" si="44"/>
        <v>2</v>
      </c>
      <c r="B441" s="42">
        <f t="shared" si="45"/>
        <v>0</v>
      </c>
      <c r="C441" s="28"/>
      <c r="D441" s="28"/>
      <c r="E441" s="28"/>
      <c r="F441" s="28"/>
      <c r="G441" s="28"/>
    </row>
    <row r="442" spans="1:7" x14ac:dyDescent="0.2">
      <c r="A442" s="20"/>
      <c r="B442" s="21"/>
      <c r="C442" s="28"/>
      <c r="D442" s="28"/>
      <c r="E442" s="28"/>
      <c r="F442" s="28"/>
      <c r="G442" s="28"/>
    </row>
    <row r="443" spans="1:7" ht="13.5" thickBot="1" x14ac:dyDescent="0.25">
      <c r="A443" s="20"/>
      <c r="B443" s="21"/>
      <c r="C443" s="28"/>
      <c r="D443" s="28"/>
      <c r="E443" s="28"/>
      <c r="F443" s="28"/>
      <c r="G443" s="28"/>
    </row>
    <row r="444" spans="1:7" ht="13.5" thickBot="1" x14ac:dyDescent="0.25">
      <c r="A444" s="129" t="s">
        <v>73</v>
      </c>
      <c r="B444" s="25" t="s">
        <v>16</v>
      </c>
      <c r="C444" s="28"/>
      <c r="D444" s="28"/>
      <c r="E444" s="28"/>
      <c r="F444" s="28"/>
      <c r="G444" s="28"/>
    </row>
    <row r="445" spans="1:7" ht="13.5" thickBot="1" x14ac:dyDescent="0.25">
      <c r="A445" s="311" t="s">
        <v>85</v>
      </c>
      <c r="B445" s="209">
        <v>60</v>
      </c>
      <c r="C445" s="28"/>
      <c r="D445" s="28"/>
      <c r="E445" s="28"/>
      <c r="F445" s="28"/>
      <c r="G445" s="28"/>
    </row>
    <row r="446" spans="1:7" ht="13.5" thickBot="1" x14ac:dyDescent="0.25">
      <c r="A446"/>
      <c r="B446"/>
      <c r="C446" s="28"/>
      <c r="D446" s="28"/>
      <c r="E446" s="28"/>
      <c r="F446" s="28"/>
      <c r="G446" s="28"/>
    </row>
    <row r="447" spans="1:7" ht="13.5" thickBot="1" x14ac:dyDescent="0.25">
      <c r="A447" s="116" t="s">
        <v>1</v>
      </c>
      <c r="B447" s="25" t="s">
        <v>14</v>
      </c>
      <c r="C447" s="28"/>
      <c r="D447" s="28"/>
      <c r="E447" s="28"/>
      <c r="F447" s="28"/>
      <c r="G447" s="28"/>
    </row>
    <row r="448" spans="1:7" x14ac:dyDescent="0.2">
      <c r="A448" s="54">
        <v>0</v>
      </c>
      <c r="B448" s="51">
        <v>100</v>
      </c>
      <c r="C448" s="28"/>
      <c r="D448" s="28"/>
      <c r="E448" s="28"/>
      <c r="F448" s="28"/>
      <c r="G448" s="28"/>
    </row>
    <row r="449" spans="1:10" x14ac:dyDescent="0.2">
      <c r="A449" s="49">
        <v>7.89</v>
      </c>
      <c r="B449" s="52">
        <v>100</v>
      </c>
      <c r="C449" s="28"/>
      <c r="D449" s="28"/>
      <c r="E449" s="28"/>
      <c r="F449" s="28"/>
      <c r="G449" s="28"/>
    </row>
    <row r="450" spans="1:10" x14ac:dyDescent="0.2">
      <c r="A450" s="49">
        <v>20</v>
      </c>
      <c r="B450" s="52">
        <v>100</v>
      </c>
      <c r="C450" s="28"/>
      <c r="D450" s="28"/>
      <c r="E450" s="28"/>
      <c r="F450" s="28"/>
      <c r="G450" s="28"/>
    </row>
    <row r="451" spans="1:10" x14ac:dyDescent="0.2">
      <c r="A451" s="49">
        <v>55.26</v>
      </c>
      <c r="B451" s="52">
        <v>100</v>
      </c>
      <c r="C451" s="28"/>
      <c r="D451" s="28"/>
      <c r="E451" s="28"/>
      <c r="F451" s="28"/>
      <c r="G451" s="28"/>
    </row>
    <row r="452" spans="1:10" x14ac:dyDescent="0.2">
      <c r="A452" s="49">
        <v>60</v>
      </c>
      <c r="B452" s="52">
        <v>100</v>
      </c>
      <c r="C452" s="28"/>
      <c r="D452" s="28"/>
      <c r="E452" s="28"/>
      <c r="F452" s="28"/>
      <c r="G452" s="28"/>
    </row>
    <row r="453" spans="1:10" x14ac:dyDescent="0.2">
      <c r="A453" s="49">
        <v>65</v>
      </c>
      <c r="B453" s="52">
        <v>100</v>
      </c>
      <c r="C453" s="28"/>
      <c r="D453" s="28"/>
      <c r="E453" s="28"/>
      <c r="F453" s="28"/>
      <c r="G453" s="28"/>
    </row>
    <row r="454" spans="1:10" x14ac:dyDescent="0.2">
      <c r="A454" s="49">
        <v>71.05</v>
      </c>
      <c r="B454" s="52">
        <v>100</v>
      </c>
      <c r="C454" s="28"/>
      <c r="D454" s="28"/>
      <c r="E454" s="28"/>
      <c r="F454" s="28"/>
      <c r="G454" s="28"/>
    </row>
    <row r="455" spans="1:10" ht="13.5" thickBot="1" x14ac:dyDescent="0.25">
      <c r="A455" s="50">
        <v>100</v>
      </c>
      <c r="B455" s="53">
        <v>100</v>
      </c>
      <c r="C455" s="28"/>
      <c r="D455" s="28"/>
      <c r="E455" s="28"/>
      <c r="F455" s="28"/>
      <c r="G455" s="28"/>
    </row>
    <row r="456" spans="1:10" ht="13.5" thickBot="1" x14ac:dyDescent="0.25">
      <c r="A456"/>
      <c r="B456"/>
      <c r="C456" s="28"/>
      <c r="D456" s="28"/>
      <c r="E456" s="28"/>
      <c r="F456" s="28"/>
      <c r="G456" s="28"/>
    </row>
    <row r="457" spans="1:10" ht="13.5" thickBot="1" x14ac:dyDescent="0.25">
      <c r="A457" s="116" t="s">
        <v>15</v>
      </c>
      <c r="B457" s="25" t="s">
        <v>14</v>
      </c>
      <c r="C457" s="28"/>
      <c r="D457" s="28"/>
      <c r="E457" s="28"/>
      <c r="F457" s="28"/>
      <c r="G457" s="28"/>
    </row>
    <row r="458" spans="1:10" x14ac:dyDescent="0.2">
      <c r="A458" s="37">
        <f t="shared" ref="A458:A465" si="46">A448*F$4/100</f>
        <v>0</v>
      </c>
      <c r="B458" s="38">
        <f t="shared" ref="B458:B465" si="47">B448</f>
        <v>100</v>
      </c>
      <c r="C458" s="28"/>
      <c r="D458" s="28"/>
      <c r="E458" s="28"/>
      <c r="F458" s="28"/>
      <c r="G458" s="28"/>
    </row>
    <row r="459" spans="1:10" x14ac:dyDescent="0.2">
      <c r="A459" s="39">
        <f t="shared" si="46"/>
        <v>0.1578</v>
      </c>
      <c r="B459" s="40">
        <f t="shared" si="47"/>
        <v>100</v>
      </c>
      <c r="C459" s="28"/>
      <c r="D459" s="28"/>
      <c r="E459" s="28"/>
      <c r="F459" s="28"/>
      <c r="G459" s="28"/>
    </row>
    <row r="460" spans="1:10" x14ac:dyDescent="0.2">
      <c r="A460" s="39">
        <f t="shared" si="46"/>
        <v>0.4</v>
      </c>
      <c r="B460" s="40">
        <f t="shared" si="47"/>
        <v>100</v>
      </c>
      <c r="C460" s="28"/>
      <c r="D460" s="28"/>
      <c r="E460" s="28"/>
      <c r="F460" s="28"/>
      <c r="G460" s="28"/>
      <c r="I460" s="82"/>
      <c r="J460" s="82"/>
    </row>
    <row r="461" spans="1:10" x14ac:dyDescent="0.2">
      <c r="A461" s="39">
        <f t="shared" si="46"/>
        <v>1.1052</v>
      </c>
      <c r="B461" s="40">
        <f t="shared" si="47"/>
        <v>100</v>
      </c>
      <c r="C461" s="28"/>
      <c r="D461" s="28"/>
      <c r="E461" s="28"/>
      <c r="F461" s="28"/>
      <c r="G461" s="28"/>
      <c r="I461" s="82"/>
      <c r="J461" s="82"/>
    </row>
    <row r="462" spans="1:10" x14ac:dyDescent="0.2">
      <c r="A462" s="39">
        <f t="shared" si="46"/>
        <v>1.2</v>
      </c>
      <c r="B462" s="40">
        <f t="shared" si="47"/>
        <v>100</v>
      </c>
      <c r="C462" s="28"/>
      <c r="D462" s="28"/>
      <c r="E462" s="28"/>
      <c r="F462" s="28"/>
      <c r="G462" s="28"/>
      <c r="I462" s="82"/>
      <c r="J462" s="82"/>
    </row>
    <row r="463" spans="1:10" x14ac:dyDescent="0.2">
      <c r="A463" s="39">
        <f t="shared" si="46"/>
        <v>1.3</v>
      </c>
      <c r="B463" s="40">
        <f t="shared" si="47"/>
        <v>100</v>
      </c>
      <c r="C463" s="28"/>
      <c r="D463" s="28"/>
      <c r="E463" s="28"/>
      <c r="F463" s="28"/>
      <c r="G463" s="28"/>
      <c r="I463" s="82"/>
      <c r="J463" s="82"/>
    </row>
    <row r="464" spans="1:10" x14ac:dyDescent="0.2">
      <c r="A464" s="39">
        <f t="shared" si="46"/>
        <v>1.421</v>
      </c>
      <c r="B464" s="40">
        <f t="shared" si="47"/>
        <v>100</v>
      </c>
      <c r="C464" s="28"/>
      <c r="D464" s="28"/>
      <c r="E464" s="28"/>
      <c r="F464" s="28"/>
      <c r="G464" s="28"/>
      <c r="I464" s="82"/>
      <c r="J464" s="82"/>
    </row>
    <row r="465" spans="1:10" ht="13.5" thickBot="1" x14ac:dyDescent="0.25">
      <c r="A465" s="41">
        <f t="shared" si="46"/>
        <v>2</v>
      </c>
      <c r="B465" s="42">
        <f t="shared" si="47"/>
        <v>100</v>
      </c>
      <c r="C465" s="28"/>
      <c r="D465" s="28"/>
      <c r="E465" s="28"/>
      <c r="F465" s="28"/>
      <c r="G465" s="28"/>
      <c r="I465" s="82"/>
      <c r="J465" s="82"/>
    </row>
    <row r="466" spans="1:10" x14ac:dyDescent="0.2">
      <c r="A466" s="20"/>
      <c r="B466" s="21"/>
      <c r="C466" s="28"/>
      <c r="D466" s="28"/>
      <c r="E466" s="28"/>
      <c r="F466" s="28"/>
      <c r="G466" s="28"/>
      <c r="I466" s="82"/>
      <c r="J466" s="82"/>
    </row>
    <row r="467" spans="1:10" x14ac:dyDescent="0.2">
      <c r="A467" s="28"/>
      <c r="B467" s="28"/>
      <c r="C467" s="28"/>
      <c r="D467" s="28"/>
      <c r="E467" s="28"/>
      <c r="F467" s="28"/>
      <c r="G467" s="28"/>
      <c r="I467" s="82"/>
      <c r="J467" s="82"/>
    </row>
    <row r="468" spans="1:10" ht="13.5" thickBot="1" x14ac:dyDescent="0.25">
      <c r="A468" s="28"/>
      <c r="B468" s="28"/>
      <c r="C468" s="28"/>
      <c r="D468" s="28"/>
      <c r="E468" s="28"/>
      <c r="F468" s="28"/>
      <c r="G468" s="28"/>
      <c r="I468" s="82"/>
      <c r="J468" s="82"/>
    </row>
    <row r="469" spans="1:10" ht="13.5" thickBot="1" x14ac:dyDescent="0.25">
      <c r="A469" s="129" t="s">
        <v>73</v>
      </c>
      <c r="B469" s="25" t="s">
        <v>16</v>
      </c>
      <c r="C469" s="113"/>
      <c r="D469" s="113"/>
      <c r="E469" s="113"/>
      <c r="F469" s="113"/>
      <c r="G469" s="113"/>
      <c r="I469" s="82"/>
      <c r="J469" s="82"/>
    </row>
    <row r="470" spans="1:10" ht="13.5" thickBot="1" x14ac:dyDescent="0.25">
      <c r="A470" s="311" t="s">
        <v>86</v>
      </c>
      <c r="B470" s="209">
        <v>30</v>
      </c>
      <c r="C470" s="113"/>
      <c r="D470" s="113"/>
      <c r="E470" s="113"/>
      <c r="F470" s="113"/>
      <c r="G470" s="113"/>
      <c r="I470" s="82"/>
      <c r="J470" s="82"/>
    </row>
    <row r="471" spans="1:10" ht="13.5" thickBot="1" x14ac:dyDescent="0.25">
      <c r="A471" s="1"/>
      <c r="B471" s="23"/>
      <c r="C471" s="113"/>
      <c r="D471" s="113"/>
      <c r="E471" s="113"/>
      <c r="F471" s="113"/>
      <c r="G471" s="113"/>
      <c r="I471" s="82"/>
      <c r="J471" s="82"/>
    </row>
    <row r="472" spans="1:10" ht="13.5" thickBot="1" x14ac:dyDescent="0.25">
      <c r="A472" s="116" t="s">
        <v>1</v>
      </c>
      <c r="B472" s="25" t="s">
        <v>14</v>
      </c>
      <c r="C472" s="113"/>
      <c r="D472" s="113"/>
      <c r="E472" s="113"/>
      <c r="F472" s="113"/>
      <c r="G472" s="113"/>
      <c r="I472" s="82"/>
      <c r="J472" s="82"/>
    </row>
    <row r="473" spans="1:10" x14ac:dyDescent="0.2">
      <c r="A473" s="48">
        <v>0</v>
      </c>
      <c r="B473" s="51">
        <v>0</v>
      </c>
      <c r="C473" s="113"/>
      <c r="D473" s="113"/>
      <c r="E473" s="113"/>
      <c r="F473" s="113"/>
      <c r="G473" s="113"/>
      <c r="I473" s="82"/>
      <c r="J473" s="82"/>
    </row>
    <row r="474" spans="1:10" x14ac:dyDescent="0.2">
      <c r="A474" s="49">
        <v>5</v>
      </c>
      <c r="B474" s="52">
        <v>0</v>
      </c>
      <c r="C474" s="113"/>
      <c r="D474" s="113"/>
      <c r="E474" s="113"/>
      <c r="F474" s="113"/>
      <c r="G474" s="113"/>
      <c r="I474" s="82"/>
      <c r="J474" s="82"/>
    </row>
    <row r="475" spans="1:10" x14ac:dyDescent="0.2">
      <c r="A475" s="49">
        <v>10.256410000000001</v>
      </c>
      <c r="B475" s="52">
        <v>0</v>
      </c>
      <c r="C475" s="113"/>
      <c r="D475" s="113"/>
      <c r="E475" s="113"/>
      <c r="F475" s="113"/>
      <c r="G475" s="113"/>
      <c r="I475" s="82"/>
      <c r="J475" s="82"/>
    </row>
    <row r="476" spans="1:10" x14ac:dyDescent="0.2">
      <c r="A476" s="49">
        <v>12.820513</v>
      </c>
      <c r="B476" s="52">
        <v>150</v>
      </c>
      <c r="C476" s="113"/>
      <c r="D476" s="113"/>
      <c r="E476" s="113"/>
      <c r="F476" s="113"/>
      <c r="G476" s="113"/>
      <c r="I476" s="82"/>
      <c r="J476" s="82"/>
    </row>
    <row r="477" spans="1:10" x14ac:dyDescent="0.2">
      <c r="A477" s="49">
        <v>56</v>
      </c>
      <c r="B477" s="52">
        <v>150</v>
      </c>
      <c r="C477" s="113"/>
      <c r="D477" s="113"/>
      <c r="E477" s="113"/>
      <c r="F477" s="113"/>
      <c r="G477" s="113"/>
      <c r="I477" s="82"/>
      <c r="J477" s="82"/>
    </row>
    <row r="478" spans="1:10" x14ac:dyDescent="0.2">
      <c r="A478" s="49">
        <v>78</v>
      </c>
      <c r="B478" s="52">
        <v>150</v>
      </c>
      <c r="C478" s="113"/>
      <c r="D478" s="113"/>
      <c r="E478" s="113"/>
      <c r="F478" s="113"/>
      <c r="G478" s="113"/>
      <c r="I478" s="82"/>
      <c r="J478" s="82"/>
    </row>
    <row r="479" spans="1:10" x14ac:dyDescent="0.2">
      <c r="A479" s="49">
        <v>95</v>
      </c>
      <c r="B479" s="52">
        <v>150</v>
      </c>
      <c r="C479" s="113"/>
      <c r="D479" s="113"/>
      <c r="E479" s="113"/>
      <c r="F479" s="113"/>
      <c r="G479" s="113"/>
      <c r="I479" s="82"/>
      <c r="J479" s="82"/>
    </row>
    <row r="480" spans="1:10" ht="13.5" thickBot="1" x14ac:dyDescent="0.25">
      <c r="A480" s="50">
        <v>100</v>
      </c>
      <c r="B480" s="53">
        <v>150</v>
      </c>
      <c r="C480" s="113"/>
      <c r="D480" s="113"/>
      <c r="E480" s="113"/>
      <c r="F480" s="113"/>
      <c r="G480" s="113"/>
      <c r="I480" s="82"/>
      <c r="J480" s="82"/>
    </row>
    <row r="481" spans="1:10" ht="13.5" thickBot="1" x14ac:dyDescent="0.25">
      <c r="A481" s="113"/>
      <c r="B481" s="113"/>
      <c r="C481" s="113"/>
      <c r="D481" s="113"/>
      <c r="E481" s="113"/>
      <c r="F481" s="113"/>
      <c r="G481" s="113"/>
      <c r="I481" s="82"/>
      <c r="J481" s="82"/>
    </row>
    <row r="482" spans="1:10" ht="13.5" thickBot="1" x14ac:dyDescent="0.25">
      <c r="A482" s="116" t="s">
        <v>15</v>
      </c>
      <c r="B482" s="25" t="s">
        <v>14</v>
      </c>
      <c r="C482" s="113"/>
      <c r="D482" s="113"/>
      <c r="E482" s="113"/>
      <c r="F482" s="113"/>
      <c r="G482" s="113"/>
      <c r="I482" s="82"/>
      <c r="J482" s="82"/>
    </row>
    <row r="483" spans="1:10" x14ac:dyDescent="0.2">
      <c r="A483" s="37">
        <f t="shared" ref="A483:A490" si="48">A473*F$4/100</f>
        <v>0</v>
      </c>
      <c r="B483" s="38">
        <f t="shared" ref="B483:B490" si="49">B473</f>
        <v>0</v>
      </c>
      <c r="C483" s="113"/>
      <c r="D483" s="113"/>
      <c r="E483" s="113"/>
      <c r="F483" s="113"/>
      <c r="G483" s="113"/>
      <c r="I483" s="82"/>
      <c r="J483" s="82"/>
    </row>
    <row r="484" spans="1:10" x14ac:dyDescent="0.2">
      <c r="A484" s="39">
        <f t="shared" si="48"/>
        <v>0.1</v>
      </c>
      <c r="B484" s="40">
        <f t="shared" si="49"/>
        <v>0</v>
      </c>
      <c r="C484" s="113"/>
      <c r="D484" s="113"/>
      <c r="E484" s="113"/>
      <c r="F484" s="113"/>
      <c r="G484" s="113"/>
      <c r="I484" s="82"/>
      <c r="J484" s="82"/>
    </row>
    <row r="485" spans="1:10" x14ac:dyDescent="0.2">
      <c r="A485" s="39">
        <f t="shared" si="48"/>
        <v>0.20512820000000001</v>
      </c>
      <c r="B485" s="40">
        <f t="shared" si="49"/>
        <v>0</v>
      </c>
      <c r="C485" s="113"/>
      <c r="D485" s="113"/>
      <c r="E485" s="113"/>
      <c r="F485" s="113"/>
      <c r="G485" s="113"/>
      <c r="I485" s="82"/>
      <c r="J485" s="82"/>
    </row>
    <row r="486" spans="1:10" x14ac:dyDescent="0.2">
      <c r="A486" s="39">
        <f t="shared" si="48"/>
        <v>0.25641026</v>
      </c>
      <c r="B486" s="40">
        <f t="shared" si="49"/>
        <v>150</v>
      </c>
      <c r="C486" s="113"/>
      <c r="D486" s="113"/>
      <c r="E486" s="113"/>
      <c r="F486" s="113"/>
      <c r="G486" s="113"/>
      <c r="I486" s="82"/>
      <c r="J486" s="82"/>
    </row>
    <row r="487" spans="1:10" x14ac:dyDescent="0.2">
      <c r="A487" s="39">
        <f t="shared" si="48"/>
        <v>1.1200000000000001</v>
      </c>
      <c r="B487" s="40">
        <f t="shared" si="49"/>
        <v>150</v>
      </c>
      <c r="C487" s="113"/>
      <c r="D487" s="113"/>
      <c r="E487" s="113"/>
      <c r="F487" s="113"/>
      <c r="G487" s="113"/>
      <c r="I487" s="82"/>
      <c r="J487" s="82"/>
    </row>
    <row r="488" spans="1:10" x14ac:dyDescent="0.2">
      <c r="A488" s="39">
        <f t="shared" si="48"/>
        <v>1.56</v>
      </c>
      <c r="B488" s="40">
        <f t="shared" si="49"/>
        <v>150</v>
      </c>
      <c r="C488" s="113"/>
      <c r="D488" s="113"/>
      <c r="E488" s="113"/>
      <c r="F488" s="113"/>
      <c r="G488" s="113"/>
      <c r="I488" s="82"/>
      <c r="J488" s="82"/>
    </row>
    <row r="489" spans="1:10" x14ac:dyDescent="0.2">
      <c r="A489" s="39">
        <f t="shared" si="48"/>
        <v>1.9</v>
      </c>
      <c r="B489" s="40">
        <f t="shared" si="49"/>
        <v>150</v>
      </c>
      <c r="C489" s="113"/>
      <c r="D489" s="113"/>
      <c r="E489" s="113"/>
      <c r="F489" s="113"/>
      <c r="G489" s="113"/>
      <c r="I489" s="82"/>
      <c r="J489" s="82"/>
    </row>
    <row r="490" spans="1:10" ht="13.5" thickBot="1" x14ac:dyDescent="0.25">
      <c r="A490" s="41">
        <f t="shared" si="48"/>
        <v>2</v>
      </c>
      <c r="B490" s="42">
        <f t="shared" si="49"/>
        <v>150</v>
      </c>
      <c r="C490" s="113"/>
      <c r="D490" s="113"/>
      <c r="E490" s="113"/>
      <c r="F490" s="113"/>
      <c r="G490" s="113"/>
      <c r="I490" s="82"/>
      <c r="J490" s="82"/>
    </row>
    <row r="491" spans="1:10" x14ac:dyDescent="0.2">
      <c r="A491" s="113"/>
      <c r="B491" s="113"/>
      <c r="C491" s="113"/>
      <c r="D491" s="113"/>
      <c r="E491" s="113"/>
      <c r="F491" s="113"/>
      <c r="G491" s="113"/>
      <c r="I491" s="82"/>
      <c r="J491" s="82"/>
    </row>
    <row r="492" spans="1:10" ht="13.5" thickBot="1" x14ac:dyDescent="0.25">
      <c r="A492" s="113"/>
      <c r="B492" s="113"/>
      <c r="C492" s="113"/>
      <c r="D492" s="113"/>
      <c r="E492" s="113"/>
      <c r="F492" s="113"/>
      <c r="G492" s="113"/>
      <c r="I492" s="82"/>
      <c r="J492" s="82"/>
    </row>
    <row r="493" spans="1:10" ht="13.5" thickBot="1" x14ac:dyDescent="0.25">
      <c r="A493" s="129" t="s">
        <v>73</v>
      </c>
      <c r="B493" s="25" t="s">
        <v>16</v>
      </c>
      <c r="C493" s="113"/>
      <c r="D493" s="113"/>
      <c r="E493" s="113"/>
      <c r="F493" s="113"/>
      <c r="G493" s="113"/>
      <c r="I493" s="82"/>
      <c r="J493" s="82"/>
    </row>
    <row r="494" spans="1:10" ht="13.5" thickBot="1" x14ac:dyDescent="0.25">
      <c r="A494" s="311" t="s">
        <v>87</v>
      </c>
      <c r="B494" s="209">
        <v>60</v>
      </c>
      <c r="C494" s="113"/>
      <c r="D494" s="113"/>
      <c r="E494" s="113"/>
      <c r="F494" s="113"/>
      <c r="G494" s="113"/>
      <c r="I494" s="82"/>
      <c r="J494" s="82"/>
    </row>
    <row r="495" spans="1:10" ht="13.5" thickBot="1" x14ac:dyDescent="0.25">
      <c r="A495" s="113"/>
      <c r="B495" s="113"/>
      <c r="C495" s="113"/>
      <c r="D495" s="113"/>
      <c r="E495" s="113"/>
      <c r="F495" s="113"/>
      <c r="G495" s="113"/>
      <c r="I495" s="82"/>
      <c r="J495" s="82"/>
    </row>
    <row r="496" spans="1:10" ht="13.5" thickBot="1" x14ac:dyDescent="0.25">
      <c r="A496" s="116" t="s">
        <v>1</v>
      </c>
      <c r="B496" s="25" t="s">
        <v>14</v>
      </c>
      <c r="C496" s="113"/>
      <c r="D496" s="113"/>
      <c r="E496" s="113"/>
      <c r="F496" s="113"/>
      <c r="G496" s="113"/>
      <c r="I496" s="82"/>
      <c r="J496" s="82"/>
    </row>
    <row r="497" spans="1:10" x14ac:dyDescent="0.2">
      <c r="A497" s="54">
        <v>0</v>
      </c>
      <c r="B497" s="51">
        <v>0</v>
      </c>
      <c r="C497" s="113"/>
      <c r="D497" s="113"/>
      <c r="E497" s="113"/>
      <c r="F497" s="113"/>
      <c r="G497" s="113"/>
      <c r="I497" s="82"/>
      <c r="J497" s="82"/>
    </row>
    <row r="498" spans="1:10" x14ac:dyDescent="0.2">
      <c r="A498" s="49">
        <v>10</v>
      </c>
      <c r="B498" s="52">
        <v>0</v>
      </c>
      <c r="C498" s="113"/>
      <c r="D498" s="113"/>
      <c r="E498" s="113"/>
      <c r="F498" s="113"/>
      <c r="G498" s="113"/>
      <c r="I498" s="82"/>
      <c r="J498" s="82"/>
    </row>
    <row r="499" spans="1:10" x14ac:dyDescent="0.2">
      <c r="A499" s="49">
        <v>50</v>
      </c>
      <c r="B499" s="52">
        <v>0</v>
      </c>
      <c r="C499" s="113"/>
      <c r="D499" s="113"/>
      <c r="E499" s="113"/>
      <c r="F499" s="113"/>
      <c r="G499" s="113"/>
      <c r="I499" s="82"/>
      <c r="J499" s="82"/>
    </row>
    <row r="500" spans="1:10" x14ac:dyDescent="0.2">
      <c r="A500" s="49">
        <v>75</v>
      </c>
      <c r="B500" s="52">
        <v>0</v>
      </c>
      <c r="C500" s="113"/>
      <c r="D500" s="113"/>
      <c r="E500" s="113"/>
      <c r="F500" s="113"/>
      <c r="G500" s="113"/>
      <c r="I500" s="82"/>
      <c r="J500" s="82"/>
    </row>
    <row r="501" spans="1:10" x14ac:dyDescent="0.2">
      <c r="A501" s="49">
        <v>88</v>
      </c>
      <c r="B501" s="52">
        <v>0</v>
      </c>
      <c r="C501" s="113"/>
      <c r="D501" s="113"/>
      <c r="E501" s="113"/>
      <c r="F501" s="113"/>
      <c r="G501" s="113"/>
      <c r="I501" s="82"/>
      <c r="J501" s="82"/>
    </row>
    <row r="502" spans="1:10" x14ac:dyDescent="0.2">
      <c r="A502" s="49">
        <v>94</v>
      </c>
      <c r="B502" s="52">
        <v>0</v>
      </c>
      <c r="C502" s="113"/>
      <c r="D502" s="113"/>
      <c r="E502" s="113"/>
      <c r="F502" s="113"/>
      <c r="G502" s="113"/>
      <c r="I502" s="82"/>
      <c r="J502" s="82"/>
    </row>
    <row r="503" spans="1:10" x14ac:dyDescent="0.2">
      <c r="A503" s="49">
        <v>95</v>
      </c>
      <c r="B503" s="52">
        <v>0</v>
      </c>
      <c r="C503" s="113"/>
      <c r="D503" s="113"/>
      <c r="E503" s="113"/>
      <c r="F503" s="113"/>
      <c r="G503" s="113"/>
      <c r="I503" s="82"/>
      <c r="J503" s="82"/>
    </row>
    <row r="504" spans="1:10" ht="13.5" thickBot="1" x14ac:dyDescent="0.25">
      <c r="A504" s="50">
        <v>100</v>
      </c>
      <c r="B504" s="53">
        <v>0</v>
      </c>
      <c r="C504" s="113"/>
      <c r="D504" s="113"/>
      <c r="E504" s="113"/>
      <c r="F504" s="113"/>
      <c r="G504" s="113"/>
      <c r="I504" s="82"/>
      <c r="J504" s="82"/>
    </row>
    <row r="505" spans="1:10" ht="13.5" thickBot="1" x14ac:dyDescent="0.25">
      <c r="A505" s="113"/>
      <c r="B505" s="113"/>
      <c r="C505" s="113"/>
      <c r="D505" s="113"/>
      <c r="E505" s="113"/>
      <c r="F505" s="113"/>
      <c r="G505" s="113"/>
      <c r="I505" s="82"/>
      <c r="J505" s="82"/>
    </row>
    <row r="506" spans="1:10" ht="13.5" thickBot="1" x14ac:dyDescent="0.25">
      <c r="A506" s="116" t="s">
        <v>15</v>
      </c>
      <c r="B506" s="25" t="s">
        <v>14</v>
      </c>
      <c r="C506" s="113"/>
      <c r="D506" s="113"/>
      <c r="E506" s="113"/>
      <c r="F506" s="113"/>
      <c r="G506" s="113"/>
      <c r="I506" s="82"/>
      <c r="J506" s="82"/>
    </row>
    <row r="507" spans="1:10" x14ac:dyDescent="0.2">
      <c r="A507" s="37">
        <f t="shared" ref="A507:A514" si="50">A497*F$4/100</f>
        <v>0</v>
      </c>
      <c r="B507" s="38">
        <f t="shared" ref="B507:B514" si="51">B497</f>
        <v>0</v>
      </c>
      <c r="C507" s="113"/>
      <c r="D507" s="113"/>
      <c r="E507" s="113"/>
      <c r="F507" s="113"/>
      <c r="G507" s="113"/>
      <c r="I507" s="82"/>
      <c r="J507" s="82"/>
    </row>
    <row r="508" spans="1:10" x14ac:dyDescent="0.2">
      <c r="A508" s="39">
        <f t="shared" si="50"/>
        <v>0.2</v>
      </c>
      <c r="B508" s="40">
        <f t="shared" si="51"/>
        <v>0</v>
      </c>
      <c r="C508" s="113"/>
      <c r="D508" s="113"/>
      <c r="E508" s="113"/>
      <c r="F508" s="113"/>
      <c r="G508" s="113"/>
      <c r="I508" s="82"/>
      <c r="J508" s="82"/>
    </row>
    <row r="509" spans="1:10" x14ac:dyDescent="0.2">
      <c r="A509" s="39">
        <f t="shared" si="50"/>
        <v>1</v>
      </c>
      <c r="B509" s="40">
        <f t="shared" si="51"/>
        <v>0</v>
      </c>
      <c r="C509" s="113"/>
      <c r="D509" s="113"/>
      <c r="E509" s="113"/>
      <c r="F509" s="113"/>
      <c r="G509" s="113"/>
      <c r="I509" s="82"/>
      <c r="J509" s="82"/>
    </row>
    <row r="510" spans="1:10" x14ac:dyDescent="0.2">
      <c r="A510" s="39">
        <f t="shared" si="50"/>
        <v>1.5</v>
      </c>
      <c r="B510" s="40">
        <f t="shared" si="51"/>
        <v>0</v>
      </c>
      <c r="C510" s="113"/>
      <c r="D510" s="113"/>
      <c r="E510" s="113"/>
      <c r="F510" s="113"/>
      <c r="G510" s="113"/>
      <c r="I510" s="82"/>
      <c r="J510" s="82"/>
    </row>
    <row r="511" spans="1:10" x14ac:dyDescent="0.2">
      <c r="A511" s="39">
        <f t="shared" si="50"/>
        <v>1.76</v>
      </c>
      <c r="B511" s="40">
        <f t="shared" si="51"/>
        <v>0</v>
      </c>
      <c r="C511" s="113"/>
      <c r="D511" s="113"/>
      <c r="E511" s="113"/>
      <c r="F511" s="113"/>
      <c r="G511" s="113"/>
      <c r="I511" s="82"/>
      <c r="J511" s="82"/>
    </row>
    <row r="512" spans="1:10" x14ac:dyDescent="0.2">
      <c r="A512" s="39">
        <f t="shared" si="50"/>
        <v>1.88</v>
      </c>
      <c r="B512" s="40">
        <f t="shared" si="51"/>
        <v>0</v>
      </c>
      <c r="C512" s="113"/>
      <c r="D512" s="113"/>
      <c r="E512" s="113"/>
      <c r="F512" s="113"/>
      <c r="G512" s="113"/>
      <c r="I512" s="82"/>
      <c r="J512" s="82"/>
    </row>
    <row r="513" spans="1:10" x14ac:dyDescent="0.2">
      <c r="A513" s="39">
        <f t="shared" si="50"/>
        <v>1.9</v>
      </c>
      <c r="B513" s="40">
        <f t="shared" si="51"/>
        <v>0</v>
      </c>
      <c r="C513" s="113"/>
      <c r="D513" s="113"/>
      <c r="E513" s="113"/>
      <c r="F513" s="113"/>
      <c r="G513" s="113"/>
      <c r="I513" s="82"/>
      <c r="J513" s="82"/>
    </row>
    <row r="514" spans="1:10" ht="13.5" thickBot="1" x14ac:dyDescent="0.25">
      <c r="A514" s="41">
        <f t="shared" si="50"/>
        <v>2</v>
      </c>
      <c r="B514" s="42">
        <f t="shared" si="51"/>
        <v>0</v>
      </c>
      <c r="C514" s="1"/>
      <c r="D514" s="1"/>
      <c r="E514" s="1"/>
      <c r="F514" s="1"/>
      <c r="G514" s="1"/>
      <c r="I514" s="82"/>
      <c r="J514" s="82"/>
    </row>
    <row r="515" spans="1:10" x14ac:dyDescent="0.2">
      <c r="A515" s="1"/>
      <c r="B515" s="1"/>
      <c r="C515" s="1"/>
      <c r="D515" s="1"/>
      <c r="E515" s="1"/>
      <c r="F515" s="1"/>
      <c r="G515" s="1"/>
      <c r="I515" s="82"/>
      <c r="J515" s="82"/>
    </row>
    <row r="516" spans="1:10" ht="13.5" thickBot="1" x14ac:dyDescent="0.25">
      <c r="A516" s="1"/>
      <c r="B516" s="1"/>
      <c r="C516" s="1"/>
      <c r="D516" s="1"/>
      <c r="E516" s="1"/>
      <c r="F516" s="1"/>
      <c r="G516" s="1"/>
      <c r="I516" s="82"/>
      <c r="J516" s="82"/>
    </row>
    <row r="517" spans="1:10" ht="13.5" thickBot="1" x14ac:dyDescent="0.25">
      <c r="A517" s="129" t="s">
        <v>73</v>
      </c>
      <c r="B517" s="25" t="s">
        <v>16</v>
      </c>
      <c r="C517" s="1"/>
      <c r="D517" s="1"/>
      <c r="E517" s="1"/>
      <c r="F517" s="1"/>
      <c r="G517" s="1"/>
      <c r="I517" s="82"/>
      <c r="J517" s="82"/>
    </row>
    <row r="518" spans="1:10" ht="13.5" thickBot="1" x14ac:dyDescent="0.25">
      <c r="A518" s="311" t="s">
        <v>88</v>
      </c>
      <c r="B518" s="209">
        <v>60</v>
      </c>
      <c r="C518" s="1"/>
      <c r="D518" s="1"/>
      <c r="E518" s="1"/>
      <c r="F518" s="1"/>
      <c r="G518" s="1"/>
      <c r="I518" s="82"/>
      <c r="J518" s="82"/>
    </row>
    <row r="519" spans="1:10" ht="13.5" thickBot="1" x14ac:dyDescent="0.25">
      <c r="A519"/>
      <c r="B519"/>
      <c r="C519"/>
      <c r="D519"/>
      <c r="E519"/>
      <c r="F519"/>
      <c r="G519"/>
      <c r="I519" s="82"/>
      <c r="J519" s="82"/>
    </row>
    <row r="520" spans="1:10" ht="13.5" thickBot="1" x14ac:dyDescent="0.25">
      <c r="A520" s="116" t="s">
        <v>1</v>
      </c>
      <c r="B520" s="25" t="s">
        <v>14</v>
      </c>
      <c r="C520"/>
      <c r="D520"/>
      <c r="E520"/>
      <c r="F520"/>
      <c r="G520"/>
      <c r="I520" s="82"/>
      <c r="J520" s="82"/>
    </row>
    <row r="521" spans="1:10" x14ac:dyDescent="0.2">
      <c r="A521" s="54">
        <v>0</v>
      </c>
      <c r="B521" s="51">
        <v>0</v>
      </c>
      <c r="C521"/>
      <c r="D521"/>
      <c r="E521"/>
      <c r="F521"/>
      <c r="G521"/>
      <c r="I521" s="82"/>
      <c r="J521" s="82"/>
    </row>
    <row r="522" spans="1:10" x14ac:dyDescent="0.2">
      <c r="A522" s="49">
        <v>10.26</v>
      </c>
      <c r="B522" s="52">
        <v>0</v>
      </c>
      <c r="C522"/>
      <c r="D522"/>
      <c r="E522"/>
      <c r="F522"/>
      <c r="G522"/>
      <c r="I522" s="82"/>
      <c r="J522" s="82"/>
    </row>
    <row r="523" spans="1:10" x14ac:dyDescent="0.2">
      <c r="A523" s="49">
        <v>12.82</v>
      </c>
      <c r="B523" s="52">
        <v>150</v>
      </c>
      <c r="C523"/>
      <c r="D523"/>
      <c r="E523"/>
      <c r="F523"/>
      <c r="G523"/>
      <c r="I523" s="82"/>
      <c r="J523" s="82"/>
    </row>
    <row r="524" spans="1:10" x14ac:dyDescent="0.2">
      <c r="A524" s="49">
        <v>56</v>
      </c>
      <c r="B524" s="52">
        <v>150</v>
      </c>
      <c r="C524"/>
      <c r="D524"/>
      <c r="E524"/>
      <c r="F524"/>
      <c r="G524"/>
      <c r="I524" s="82"/>
      <c r="J524" s="82"/>
    </row>
    <row r="525" spans="1:10" x14ac:dyDescent="0.2">
      <c r="A525" s="49">
        <v>78</v>
      </c>
      <c r="B525" s="52">
        <v>150</v>
      </c>
      <c r="C525"/>
      <c r="D525"/>
      <c r="E525"/>
      <c r="F525"/>
      <c r="G525"/>
      <c r="I525" s="82"/>
      <c r="J525" s="82"/>
    </row>
    <row r="526" spans="1:10" x14ac:dyDescent="0.2">
      <c r="A526" s="49">
        <v>89</v>
      </c>
      <c r="B526" s="52">
        <v>150</v>
      </c>
      <c r="C526"/>
      <c r="D526"/>
      <c r="E526"/>
      <c r="F526"/>
      <c r="G526"/>
      <c r="I526" s="82"/>
      <c r="J526" s="82"/>
    </row>
    <row r="527" spans="1:10" x14ac:dyDescent="0.2">
      <c r="A527" s="49">
        <v>95</v>
      </c>
      <c r="B527" s="52">
        <v>150</v>
      </c>
      <c r="C527"/>
      <c r="D527"/>
      <c r="E527"/>
      <c r="F527"/>
      <c r="G527"/>
      <c r="I527" s="82"/>
      <c r="J527" s="82"/>
    </row>
    <row r="528" spans="1:10" ht="13.5" thickBot="1" x14ac:dyDescent="0.25">
      <c r="A528" s="50">
        <v>100</v>
      </c>
      <c r="B528" s="53">
        <v>150</v>
      </c>
      <c r="C528"/>
      <c r="D528"/>
      <c r="E528"/>
      <c r="F528"/>
      <c r="G528"/>
      <c r="I528" s="82"/>
      <c r="J528" s="82"/>
    </row>
    <row r="529" spans="1:7" ht="13.5" thickBot="1" x14ac:dyDescent="0.25">
      <c r="A529"/>
      <c r="B529"/>
      <c r="C529"/>
      <c r="D529"/>
      <c r="E529"/>
      <c r="F529"/>
      <c r="G529"/>
    </row>
    <row r="530" spans="1:7" ht="13.5" thickBot="1" x14ac:dyDescent="0.25">
      <c r="A530" s="116" t="s">
        <v>15</v>
      </c>
      <c r="B530" s="25" t="s">
        <v>14</v>
      </c>
      <c r="C530"/>
      <c r="D530"/>
      <c r="E530"/>
      <c r="F530"/>
      <c r="G530"/>
    </row>
    <row r="531" spans="1:7" x14ac:dyDescent="0.2">
      <c r="A531" s="37">
        <f t="shared" ref="A531:A538" si="52">A521*F$4/100</f>
        <v>0</v>
      </c>
      <c r="B531" s="38">
        <f t="shared" ref="B531:B538" si="53">B521</f>
        <v>0</v>
      </c>
      <c r="C531"/>
      <c r="D531"/>
      <c r="E531"/>
      <c r="F531"/>
      <c r="G531"/>
    </row>
    <row r="532" spans="1:7" x14ac:dyDescent="0.2">
      <c r="A532" s="39">
        <f t="shared" si="52"/>
        <v>0.20519999999999999</v>
      </c>
      <c r="B532" s="40">
        <f t="shared" si="53"/>
        <v>0</v>
      </c>
      <c r="C532"/>
      <c r="D532"/>
      <c r="E532"/>
      <c r="F532"/>
      <c r="G532"/>
    </row>
    <row r="533" spans="1:7" x14ac:dyDescent="0.2">
      <c r="A533" s="39">
        <f t="shared" si="52"/>
        <v>0.25640000000000002</v>
      </c>
      <c r="B533" s="40">
        <f t="shared" si="53"/>
        <v>150</v>
      </c>
      <c r="C533"/>
      <c r="D533"/>
      <c r="E533"/>
      <c r="F533"/>
      <c r="G533"/>
    </row>
    <row r="534" spans="1:7" x14ac:dyDescent="0.2">
      <c r="A534" s="39">
        <f t="shared" si="52"/>
        <v>1.1200000000000001</v>
      </c>
      <c r="B534" s="40">
        <f t="shared" si="53"/>
        <v>150</v>
      </c>
      <c r="C534"/>
      <c r="D534"/>
      <c r="E534"/>
      <c r="F534"/>
      <c r="G534"/>
    </row>
    <row r="535" spans="1:7" x14ac:dyDescent="0.2">
      <c r="A535" s="39">
        <f t="shared" si="52"/>
        <v>1.56</v>
      </c>
      <c r="B535" s="40">
        <f t="shared" si="53"/>
        <v>150</v>
      </c>
      <c r="C535"/>
      <c r="D535"/>
      <c r="E535"/>
      <c r="F535"/>
      <c r="G535"/>
    </row>
    <row r="536" spans="1:7" x14ac:dyDescent="0.2">
      <c r="A536" s="39">
        <f t="shared" si="52"/>
        <v>1.78</v>
      </c>
      <c r="B536" s="40">
        <f t="shared" si="53"/>
        <v>150</v>
      </c>
      <c r="C536"/>
      <c r="D536"/>
      <c r="E536"/>
      <c r="F536"/>
      <c r="G536"/>
    </row>
    <row r="537" spans="1:7" x14ac:dyDescent="0.2">
      <c r="A537" s="39">
        <f t="shared" si="52"/>
        <v>1.9</v>
      </c>
      <c r="B537" s="40">
        <f t="shared" si="53"/>
        <v>150</v>
      </c>
      <c r="C537"/>
      <c r="D537"/>
      <c r="E537"/>
      <c r="F537"/>
      <c r="G537"/>
    </row>
    <row r="538" spans="1:7" ht="13.5" thickBot="1" x14ac:dyDescent="0.25">
      <c r="A538" s="41">
        <f t="shared" si="52"/>
        <v>2</v>
      </c>
      <c r="B538" s="42">
        <f t="shared" si="53"/>
        <v>150</v>
      </c>
      <c r="C538"/>
      <c r="D538"/>
      <c r="E538"/>
      <c r="F538"/>
      <c r="G538"/>
    </row>
    <row r="539" spans="1:7" x14ac:dyDescent="0.2">
      <c r="A539"/>
      <c r="B539"/>
      <c r="C539"/>
      <c r="D539"/>
      <c r="E539"/>
      <c r="F539"/>
      <c r="G539"/>
    </row>
    <row r="540" spans="1:7" ht="13.5" thickBot="1" x14ac:dyDescent="0.25">
      <c r="A540"/>
      <c r="B540"/>
      <c r="C540"/>
      <c r="D540"/>
      <c r="E540"/>
      <c r="F540"/>
      <c r="G540"/>
    </row>
    <row r="541" spans="1:7" ht="13.5" thickBot="1" x14ac:dyDescent="0.25">
      <c r="A541" s="129" t="s">
        <v>73</v>
      </c>
      <c r="B541" s="25" t="s">
        <v>16</v>
      </c>
      <c r="C541"/>
      <c r="D541"/>
      <c r="E541"/>
      <c r="F541"/>
      <c r="G541"/>
    </row>
    <row r="542" spans="1:7" ht="13.5" thickBot="1" x14ac:dyDescent="0.25">
      <c r="A542" s="311" t="s">
        <v>89</v>
      </c>
      <c r="B542" s="209">
        <v>60</v>
      </c>
      <c r="C542"/>
      <c r="D542"/>
      <c r="E542"/>
      <c r="F542"/>
      <c r="G542"/>
    </row>
    <row r="543" spans="1:7" ht="13.5" thickBot="1" x14ac:dyDescent="0.25">
      <c r="A543"/>
      <c r="B543"/>
      <c r="C543"/>
      <c r="D543"/>
      <c r="E543"/>
      <c r="F543"/>
      <c r="G543"/>
    </row>
    <row r="544" spans="1:7" ht="13.5" thickBot="1" x14ac:dyDescent="0.25">
      <c r="A544" s="116" t="s">
        <v>1</v>
      </c>
      <c r="B544" s="25" t="s">
        <v>14</v>
      </c>
      <c r="C544"/>
      <c r="D544"/>
      <c r="E544"/>
      <c r="F544"/>
      <c r="G544"/>
    </row>
    <row r="545" spans="1:7" x14ac:dyDescent="0.2">
      <c r="A545" s="54">
        <v>0</v>
      </c>
      <c r="B545" s="51">
        <v>0</v>
      </c>
      <c r="C545"/>
      <c r="D545"/>
      <c r="E545"/>
      <c r="F545"/>
      <c r="G545"/>
    </row>
    <row r="546" spans="1:7" x14ac:dyDescent="0.2">
      <c r="A546" s="49">
        <v>10.26</v>
      </c>
      <c r="B546" s="52">
        <v>0</v>
      </c>
      <c r="C546"/>
      <c r="D546"/>
      <c r="E546"/>
      <c r="F546"/>
      <c r="G546"/>
    </row>
    <row r="547" spans="1:7" x14ac:dyDescent="0.2">
      <c r="A547" s="49">
        <v>12.82</v>
      </c>
      <c r="B547" s="52">
        <v>150</v>
      </c>
      <c r="C547"/>
      <c r="D547"/>
      <c r="E547"/>
      <c r="F547"/>
      <c r="G547"/>
    </row>
    <row r="548" spans="1:7" x14ac:dyDescent="0.2">
      <c r="A548" s="49">
        <v>56</v>
      </c>
      <c r="B548" s="52">
        <v>150</v>
      </c>
      <c r="C548"/>
      <c r="D548"/>
      <c r="E548"/>
      <c r="F548"/>
      <c r="G548"/>
    </row>
    <row r="549" spans="1:7" x14ac:dyDescent="0.2">
      <c r="A549" s="49">
        <v>78</v>
      </c>
      <c r="B549" s="52">
        <v>150</v>
      </c>
      <c r="C549"/>
      <c r="D549"/>
      <c r="E549"/>
      <c r="F549"/>
      <c r="G549"/>
    </row>
    <row r="550" spans="1:7" x14ac:dyDescent="0.2">
      <c r="A550" s="49">
        <v>89</v>
      </c>
      <c r="B550" s="52">
        <v>150</v>
      </c>
      <c r="C550"/>
      <c r="D550"/>
      <c r="E550"/>
      <c r="F550"/>
      <c r="G550"/>
    </row>
    <row r="551" spans="1:7" x14ac:dyDescent="0.2">
      <c r="A551" s="49">
        <v>95</v>
      </c>
      <c r="B551" s="52">
        <v>150</v>
      </c>
      <c r="C551"/>
      <c r="D551"/>
      <c r="E551"/>
      <c r="F551"/>
      <c r="G551"/>
    </row>
    <row r="552" spans="1:7" ht="13.5" thickBot="1" x14ac:dyDescent="0.25">
      <c r="A552" s="50">
        <v>100</v>
      </c>
      <c r="B552" s="53">
        <v>150</v>
      </c>
      <c r="C552"/>
      <c r="D552"/>
      <c r="E552"/>
      <c r="F552"/>
      <c r="G552"/>
    </row>
    <row r="553" spans="1:7" ht="13.5" thickBot="1" x14ac:dyDescent="0.25">
      <c r="A553"/>
      <c r="B553"/>
      <c r="C553"/>
      <c r="D553"/>
      <c r="E553"/>
      <c r="F553"/>
      <c r="G553"/>
    </row>
    <row r="554" spans="1:7" ht="13.5" thickBot="1" x14ac:dyDescent="0.25">
      <c r="A554" s="116" t="s">
        <v>15</v>
      </c>
      <c r="B554" s="25" t="s">
        <v>14</v>
      </c>
      <c r="C554"/>
      <c r="D554"/>
      <c r="E554"/>
      <c r="F554"/>
      <c r="G554"/>
    </row>
    <row r="555" spans="1:7" x14ac:dyDescent="0.2">
      <c r="A555" s="37">
        <f t="shared" ref="A555:A562" si="54">A545*F$4/100</f>
        <v>0</v>
      </c>
      <c r="B555" s="38">
        <f t="shared" ref="B555:B562" si="55">B545</f>
        <v>0</v>
      </c>
      <c r="C555"/>
      <c r="D555"/>
      <c r="E555"/>
      <c r="F555"/>
      <c r="G555"/>
    </row>
    <row r="556" spans="1:7" x14ac:dyDescent="0.2">
      <c r="A556" s="39">
        <f t="shared" si="54"/>
        <v>0.20519999999999999</v>
      </c>
      <c r="B556" s="40">
        <f t="shared" si="55"/>
        <v>0</v>
      </c>
      <c r="C556"/>
      <c r="D556"/>
      <c r="E556"/>
      <c r="F556"/>
      <c r="G556"/>
    </row>
    <row r="557" spans="1:7" x14ac:dyDescent="0.2">
      <c r="A557" s="39">
        <f t="shared" si="54"/>
        <v>0.25640000000000002</v>
      </c>
      <c r="B557" s="40">
        <f t="shared" si="55"/>
        <v>150</v>
      </c>
      <c r="C557"/>
      <c r="D557"/>
      <c r="E557"/>
      <c r="F557"/>
      <c r="G557"/>
    </row>
    <row r="558" spans="1:7" x14ac:dyDescent="0.2">
      <c r="A558" s="39">
        <f t="shared" si="54"/>
        <v>1.1200000000000001</v>
      </c>
      <c r="B558" s="40">
        <f t="shared" si="55"/>
        <v>150</v>
      </c>
      <c r="C558"/>
      <c r="D558"/>
      <c r="E558"/>
      <c r="F558"/>
      <c r="G558"/>
    </row>
    <row r="559" spans="1:7" x14ac:dyDescent="0.2">
      <c r="A559" s="39">
        <f t="shared" si="54"/>
        <v>1.56</v>
      </c>
      <c r="B559" s="40">
        <f t="shared" si="55"/>
        <v>150</v>
      </c>
      <c r="C559"/>
      <c r="D559"/>
      <c r="E559"/>
      <c r="F559"/>
      <c r="G559"/>
    </row>
    <row r="560" spans="1:7" x14ac:dyDescent="0.2">
      <c r="A560" s="39">
        <f t="shared" si="54"/>
        <v>1.78</v>
      </c>
      <c r="B560" s="40">
        <f t="shared" si="55"/>
        <v>150</v>
      </c>
      <c r="C560"/>
      <c r="D560"/>
      <c r="E560"/>
      <c r="F560"/>
      <c r="G560"/>
    </row>
    <row r="561" spans="1:7" x14ac:dyDescent="0.2">
      <c r="A561" s="39">
        <f t="shared" si="54"/>
        <v>1.9</v>
      </c>
      <c r="B561" s="40">
        <f t="shared" si="55"/>
        <v>150</v>
      </c>
      <c r="C561"/>
      <c r="D561"/>
      <c r="E561"/>
      <c r="F561"/>
      <c r="G561"/>
    </row>
    <row r="562" spans="1:7" ht="13.5" thickBot="1" x14ac:dyDescent="0.25">
      <c r="A562" s="41">
        <f t="shared" si="54"/>
        <v>2</v>
      </c>
      <c r="B562" s="42">
        <f t="shared" si="55"/>
        <v>150</v>
      </c>
      <c r="C562"/>
      <c r="D562"/>
      <c r="E562"/>
      <c r="F562"/>
      <c r="G562"/>
    </row>
    <row r="563" spans="1:7" x14ac:dyDescent="0.2">
      <c r="A563"/>
      <c r="B563"/>
      <c r="C563"/>
      <c r="D563"/>
      <c r="E563"/>
      <c r="F563"/>
      <c r="G563"/>
    </row>
    <row r="564" spans="1:7" ht="13.5" thickBot="1" x14ac:dyDescent="0.25">
      <c r="A564"/>
      <c r="B564"/>
      <c r="C564"/>
      <c r="D564"/>
      <c r="E564"/>
      <c r="F564"/>
      <c r="G564"/>
    </row>
    <row r="565" spans="1:7" ht="13.5" thickBot="1" x14ac:dyDescent="0.25">
      <c r="A565" s="129" t="s">
        <v>73</v>
      </c>
      <c r="B565" s="25" t="s">
        <v>16</v>
      </c>
      <c r="C565"/>
      <c r="D565"/>
      <c r="E565"/>
      <c r="F565"/>
      <c r="G565"/>
    </row>
    <row r="566" spans="1:7" ht="13.5" thickBot="1" x14ac:dyDescent="0.25">
      <c r="A566" s="347" t="s">
        <v>91</v>
      </c>
      <c r="B566" s="209">
        <v>30</v>
      </c>
      <c r="C566"/>
      <c r="D566"/>
      <c r="E566"/>
      <c r="F566"/>
      <c r="G566"/>
    </row>
    <row r="567" spans="1:7" ht="13.5" thickBot="1" x14ac:dyDescent="0.25">
      <c r="A567"/>
      <c r="B567"/>
      <c r="C567"/>
      <c r="D567"/>
      <c r="E567"/>
      <c r="F567"/>
      <c r="G567"/>
    </row>
    <row r="568" spans="1:7" ht="13.5" thickBot="1" x14ac:dyDescent="0.25">
      <c r="A568" s="116" t="s">
        <v>1</v>
      </c>
      <c r="B568" s="25" t="s">
        <v>14</v>
      </c>
      <c r="C568"/>
      <c r="D568"/>
      <c r="E568"/>
      <c r="F568"/>
      <c r="G568"/>
    </row>
    <row r="569" spans="1:7" x14ac:dyDescent="0.2">
      <c r="A569" s="54">
        <v>0</v>
      </c>
      <c r="B569" s="51">
        <v>0</v>
      </c>
      <c r="C569"/>
      <c r="D569"/>
      <c r="E569"/>
      <c r="F569"/>
      <c r="G569"/>
    </row>
    <row r="570" spans="1:7" x14ac:dyDescent="0.2">
      <c r="A570" s="49">
        <v>5</v>
      </c>
      <c r="B570" s="52">
        <v>0</v>
      </c>
      <c r="C570"/>
      <c r="D570"/>
      <c r="E570"/>
      <c r="F570"/>
      <c r="G570"/>
    </row>
    <row r="571" spans="1:7" x14ac:dyDescent="0.2">
      <c r="A571" s="49">
        <v>10.26</v>
      </c>
      <c r="B571" s="52">
        <v>0</v>
      </c>
      <c r="C571"/>
      <c r="D571"/>
      <c r="E571"/>
      <c r="F571"/>
      <c r="G571"/>
    </row>
    <row r="572" spans="1:7" x14ac:dyDescent="0.2">
      <c r="A572" s="49">
        <v>12.82</v>
      </c>
      <c r="B572" s="52">
        <v>25</v>
      </c>
      <c r="C572"/>
      <c r="D572"/>
      <c r="E572"/>
      <c r="F572"/>
      <c r="G572"/>
    </row>
    <row r="573" spans="1:7" x14ac:dyDescent="0.2">
      <c r="A573" s="49">
        <v>56</v>
      </c>
      <c r="B573" s="52">
        <v>25</v>
      </c>
      <c r="C573"/>
      <c r="D573"/>
      <c r="E573"/>
      <c r="F573"/>
      <c r="G573"/>
    </row>
    <row r="574" spans="1:7" x14ac:dyDescent="0.2">
      <c r="A574" s="49">
        <v>78</v>
      </c>
      <c r="B574" s="52">
        <v>25</v>
      </c>
      <c r="C574"/>
      <c r="D574"/>
      <c r="E574"/>
      <c r="F574"/>
      <c r="G574"/>
    </row>
    <row r="575" spans="1:7" x14ac:dyDescent="0.2">
      <c r="A575" s="49">
        <v>95</v>
      </c>
      <c r="B575" s="52">
        <v>25</v>
      </c>
      <c r="C575"/>
      <c r="D575"/>
      <c r="E575"/>
      <c r="F575"/>
      <c r="G575"/>
    </row>
    <row r="576" spans="1:7" ht="13.5" thickBot="1" x14ac:dyDescent="0.25">
      <c r="A576" s="50">
        <v>100</v>
      </c>
      <c r="B576" s="53">
        <v>25</v>
      </c>
      <c r="C576"/>
      <c r="D576"/>
      <c r="E576"/>
      <c r="F576"/>
      <c r="G576"/>
    </row>
    <row r="577" spans="1:7" ht="13.5" thickBot="1" x14ac:dyDescent="0.25">
      <c r="A577"/>
      <c r="B577"/>
      <c r="C577"/>
      <c r="D577"/>
      <c r="E577"/>
      <c r="F577"/>
      <c r="G577"/>
    </row>
    <row r="578" spans="1:7" ht="13.5" thickBot="1" x14ac:dyDescent="0.25">
      <c r="A578" s="116" t="s">
        <v>15</v>
      </c>
      <c r="B578" s="25" t="s">
        <v>14</v>
      </c>
      <c r="C578"/>
      <c r="D578"/>
      <c r="E578"/>
      <c r="F578"/>
      <c r="G578"/>
    </row>
    <row r="579" spans="1:7" x14ac:dyDescent="0.2">
      <c r="A579" s="37">
        <f t="shared" ref="A579:A586" si="56">A569*F$4/100</f>
        <v>0</v>
      </c>
      <c r="B579" s="38">
        <f t="shared" ref="B579:B586" si="57">B569</f>
        <v>0</v>
      </c>
      <c r="C579"/>
      <c r="D579"/>
      <c r="E579"/>
      <c r="F579"/>
      <c r="G579"/>
    </row>
    <row r="580" spans="1:7" x14ac:dyDescent="0.2">
      <c r="A580" s="39">
        <f t="shared" si="56"/>
        <v>0.1</v>
      </c>
      <c r="B580" s="40">
        <f t="shared" si="57"/>
        <v>0</v>
      </c>
      <c r="C580"/>
      <c r="D580"/>
      <c r="E580"/>
      <c r="F580"/>
      <c r="G580"/>
    </row>
    <row r="581" spans="1:7" x14ac:dyDescent="0.2">
      <c r="A581" s="39">
        <f t="shared" si="56"/>
        <v>0.20519999999999999</v>
      </c>
      <c r="B581" s="40">
        <f t="shared" si="57"/>
        <v>0</v>
      </c>
      <c r="C581"/>
      <c r="D581"/>
      <c r="E581"/>
      <c r="F581"/>
      <c r="G581"/>
    </row>
    <row r="582" spans="1:7" x14ac:dyDescent="0.2">
      <c r="A582" s="39">
        <f t="shared" si="56"/>
        <v>0.25640000000000002</v>
      </c>
      <c r="B582" s="40">
        <f t="shared" si="57"/>
        <v>25</v>
      </c>
      <c r="C582"/>
      <c r="D582"/>
      <c r="E582"/>
      <c r="F582"/>
      <c r="G582"/>
    </row>
    <row r="583" spans="1:7" x14ac:dyDescent="0.2">
      <c r="A583" s="39">
        <f t="shared" si="56"/>
        <v>1.1200000000000001</v>
      </c>
      <c r="B583" s="40">
        <f t="shared" si="57"/>
        <v>25</v>
      </c>
      <c r="C583"/>
      <c r="D583"/>
      <c r="E583"/>
      <c r="F583"/>
      <c r="G583"/>
    </row>
    <row r="584" spans="1:7" x14ac:dyDescent="0.2">
      <c r="A584" s="39">
        <f t="shared" si="56"/>
        <v>1.56</v>
      </c>
      <c r="B584" s="40">
        <f t="shared" si="57"/>
        <v>25</v>
      </c>
      <c r="C584"/>
      <c r="D584"/>
      <c r="E584"/>
      <c r="F584"/>
      <c r="G584"/>
    </row>
    <row r="585" spans="1:7" x14ac:dyDescent="0.2">
      <c r="A585" s="39">
        <f t="shared" si="56"/>
        <v>1.9</v>
      </c>
      <c r="B585" s="40">
        <f t="shared" si="57"/>
        <v>25</v>
      </c>
      <c r="C585"/>
      <c r="D585"/>
      <c r="E585"/>
      <c r="F585"/>
      <c r="G585"/>
    </row>
    <row r="586" spans="1:7" ht="13.5" thickBot="1" x14ac:dyDescent="0.25">
      <c r="A586" s="41">
        <f t="shared" si="56"/>
        <v>2</v>
      </c>
      <c r="B586" s="42">
        <f t="shared" si="57"/>
        <v>25</v>
      </c>
      <c r="C586"/>
      <c r="D586"/>
      <c r="E586"/>
      <c r="F586"/>
      <c r="G586"/>
    </row>
    <row r="587" spans="1:7" x14ac:dyDescent="0.2">
      <c r="A587"/>
      <c r="B587"/>
      <c r="C587"/>
      <c r="D587"/>
      <c r="E587"/>
      <c r="F587"/>
      <c r="G587"/>
    </row>
    <row r="588" spans="1:7" ht="13.5" thickBot="1" x14ac:dyDescent="0.25">
      <c r="A588"/>
      <c r="B588"/>
      <c r="C588"/>
      <c r="D588"/>
      <c r="E588"/>
      <c r="F588"/>
      <c r="G588"/>
    </row>
    <row r="589" spans="1:7" ht="13.5" thickBot="1" x14ac:dyDescent="0.25">
      <c r="A589" s="129" t="s">
        <v>73</v>
      </c>
      <c r="B589" s="25" t="s">
        <v>16</v>
      </c>
      <c r="C589"/>
      <c r="D589"/>
      <c r="E589"/>
      <c r="F589"/>
      <c r="G589"/>
    </row>
    <row r="590" spans="1:7" ht="13.5" thickBot="1" x14ac:dyDescent="0.25">
      <c r="A590" s="347" t="s">
        <v>92</v>
      </c>
      <c r="B590" s="209">
        <v>60</v>
      </c>
      <c r="C590"/>
      <c r="D590"/>
      <c r="E590"/>
      <c r="F590"/>
      <c r="G590"/>
    </row>
    <row r="591" spans="1:7" ht="13.5" thickBot="1" x14ac:dyDescent="0.25">
      <c r="A591"/>
      <c r="B591"/>
      <c r="C591"/>
      <c r="D591"/>
      <c r="E591"/>
      <c r="F591"/>
      <c r="G591"/>
    </row>
    <row r="592" spans="1:7" ht="13.5" thickBot="1" x14ac:dyDescent="0.25">
      <c r="A592" s="116" t="s">
        <v>1</v>
      </c>
      <c r="B592" s="25" t="s">
        <v>14</v>
      </c>
      <c r="C592"/>
      <c r="D592"/>
      <c r="E592"/>
      <c r="F592"/>
      <c r="G592"/>
    </row>
    <row r="593" spans="1:7" x14ac:dyDescent="0.2">
      <c r="A593" s="54">
        <v>0</v>
      </c>
      <c r="B593" s="51">
        <v>0</v>
      </c>
      <c r="C593"/>
      <c r="D593"/>
      <c r="E593"/>
      <c r="F593"/>
      <c r="G593"/>
    </row>
    <row r="594" spans="1:7" x14ac:dyDescent="0.2">
      <c r="A594" s="49">
        <v>10</v>
      </c>
      <c r="B594" s="52">
        <v>0</v>
      </c>
      <c r="C594"/>
      <c r="D594"/>
      <c r="E594"/>
      <c r="F594"/>
      <c r="G594"/>
    </row>
    <row r="595" spans="1:7" x14ac:dyDescent="0.2">
      <c r="A595" s="49">
        <v>50</v>
      </c>
      <c r="B595" s="52">
        <v>0</v>
      </c>
      <c r="C595"/>
      <c r="D595"/>
      <c r="E595"/>
      <c r="F595"/>
      <c r="G595"/>
    </row>
    <row r="596" spans="1:7" x14ac:dyDescent="0.2">
      <c r="A596" s="49">
        <v>75</v>
      </c>
      <c r="B596" s="52">
        <v>0</v>
      </c>
      <c r="C596"/>
      <c r="D596"/>
      <c r="E596"/>
      <c r="F596"/>
      <c r="G596"/>
    </row>
    <row r="597" spans="1:7" x14ac:dyDescent="0.2">
      <c r="A597" s="49">
        <v>88</v>
      </c>
      <c r="B597" s="52">
        <v>0</v>
      </c>
      <c r="C597"/>
      <c r="D597"/>
      <c r="E597"/>
      <c r="F597"/>
      <c r="G597"/>
    </row>
    <row r="598" spans="1:7" x14ac:dyDescent="0.2">
      <c r="A598" s="49">
        <v>94</v>
      </c>
      <c r="B598" s="52">
        <v>0</v>
      </c>
      <c r="C598"/>
      <c r="D598"/>
      <c r="E598"/>
      <c r="F598"/>
      <c r="G598"/>
    </row>
    <row r="599" spans="1:7" x14ac:dyDescent="0.2">
      <c r="A599" s="49">
        <v>95</v>
      </c>
      <c r="B599" s="52">
        <v>0</v>
      </c>
      <c r="C599"/>
      <c r="D599"/>
      <c r="E599"/>
      <c r="F599"/>
      <c r="G599"/>
    </row>
    <row r="600" spans="1:7" ht="13.5" thickBot="1" x14ac:dyDescent="0.25">
      <c r="A600" s="50">
        <v>100</v>
      </c>
      <c r="B600" s="53">
        <v>0</v>
      </c>
      <c r="C600"/>
      <c r="D600"/>
      <c r="E600"/>
      <c r="F600"/>
      <c r="G600"/>
    </row>
    <row r="601" spans="1:7" ht="13.5" thickBot="1" x14ac:dyDescent="0.25">
      <c r="A601"/>
      <c r="B601"/>
      <c r="C601"/>
      <c r="D601"/>
      <c r="E601"/>
      <c r="F601"/>
      <c r="G601"/>
    </row>
    <row r="602" spans="1:7" ht="13.5" thickBot="1" x14ac:dyDescent="0.25">
      <c r="A602" s="116" t="s">
        <v>15</v>
      </c>
      <c r="B602" s="25" t="s">
        <v>14</v>
      </c>
      <c r="C602"/>
      <c r="D602"/>
      <c r="E602"/>
      <c r="F602"/>
      <c r="G602"/>
    </row>
    <row r="603" spans="1:7" x14ac:dyDescent="0.2">
      <c r="A603" s="37">
        <f t="shared" ref="A603:A610" si="58">A593*F$4/100</f>
        <v>0</v>
      </c>
      <c r="B603" s="38">
        <f t="shared" ref="B603:B610" si="59">B593</f>
        <v>0</v>
      </c>
      <c r="C603"/>
      <c r="D603"/>
      <c r="E603"/>
      <c r="F603"/>
      <c r="G603"/>
    </row>
    <row r="604" spans="1:7" x14ac:dyDescent="0.2">
      <c r="A604" s="39">
        <f t="shared" si="58"/>
        <v>0.2</v>
      </c>
      <c r="B604" s="40">
        <f t="shared" si="59"/>
        <v>0</v>
      </c>
      <c r="C604"/>
      <c r="D604"/>
      <c r="E604"/>
      <c r="F604"/>
      <c r="G604"/>
    </row>
    <row r="605" spans="1:7" x14ac:dyDescent="0.2">
      <c r="A605" s="39">
        <f t="shared" si="58"/>
        <v>1</v>
      </c>
      <c r="B605" s="40">
        <f t="shared" si="59"/>
        <v>0</v>
      </c>
      <c r="C605"/>
      <c r="D605"/>
      <c r="E605"/>
      <c r="F605"/>
      <c r="G605"/>
    </row>
    <row r="606" spans="1:7" x14ac:dyDescent="0.2">
      <c r="A606" s="39">
        <f t="shared" si="58"/>
        <v>1.5</v>
      </c>
      <c r="B606" s="40">
        <f t="shared" si="59"/>
        <v>0</v>
      </c>
      <c r="C606"/>
      <c r="D606"/>
      <c r="E606"/>
      <c r="F606"/>
      <c r="G606"/>
    </row>
    <row r="607" spans="1:7" x14ac:dyDescent="0.2">
      <c r="A607" s="39">
        <f t="shared" si="58"/>
        <v>1.76</v>
      </c>
      <c r="B607" s="40">
        <f t="shared" si="59"/>
        <v>0</v>
      </c>
      <c r="C607"/>
      <c r="D607"/>
      <c r="E607"/>
      <c r="F607"/>
      <c r="G607"/>
    </row>
    <row r="608" spans="1:7" x14ac:dyDescent="0.2">
      <c r="A608" s="39">
        <f t="shared" si="58"/>
        <v>1.88</v>
      </c>
      <c r="B608" s="40">
        <f t="shared" si="59"/>
        <v>0</v>
      </c>
      <c r="C608"/>
      <c r="D608"/>
      <c r="E608"/>
      <c r="F608"/>
      <c r="G608"/>
    </row>
    <row r="609" spans="1:7" x14ac:dyDescent="0.2">
      <c r="A609" s="39">
        <f t="shared" si="58"/>
        <v>1.9</v>
      </c>
      <c r="B609" s="40">
        <f t="shared" si="59"/>
        <v>0</v>
      </c>
      <c r="C609"/>
      <c r="D609"/>
      <c r="E609"/>
      <c r="F609"/>
      <c r="G609"/>
    </row>
    <row r="610" spans="1:7" ht="13.5" thickBot="1" x14ac:dyDescent="0.25">
      <c r="A610" s="41">
        <f t="shared" si="58"/>
        <v>2</v>
      </c>
      <c r="B610" s="42">
        <f t="shared" si="59"/>
        <v>0</v>
      </c>
      <c r="C610"/>
      <c r="D610"/>
      <c r="E610"/>
      <c r="F610"/>
      <c r="G610"/>
    </row>
    <row r="611" spans="1:7" x14ac:dyDescent="0.2">
      <c r="A611"/>
      <c r="B611"/>
      <c r="C611"/>
      <c r="D611"/>
      <c r="E611"/>
      <c r="F611"/>
      <c r="G611"/>
    </row>
    <row r="612" spans="1:7" ht="13.5" thickBot="1" x14ac:dyDescent="0.25">
      <c r="A612"/>
      <c r="B612"/>
      <c r="C612"/>
      <c r="D612"/>
      <c r="E612"/>
      <c r="F612"/>
      <c r="G612"/>
    </row>
    <row r="613" spans="1:7" ht="13.5" thickBot="1" x14ac:dyDescent="0.25">
      <c r="A613" s="129" t="s">
        <v>73</v>
      </c>
      <c r="B613" s="25" t="s">
        <v>16</v>
      </c>
      <c r="C613"/>
      <c r="D613"/>
      <c r="E613"/>
      <c r="F613"/>
      <c r="G613"/>
    </row>
    <row r="614" spans="1:7" ht="13.5" thickBot="1" x14ac:dyDescent="0.25">
      <c r="A614" s="347" t="s">
        <v>93</v>
      </c>
      <c r="B614" s="209">
        <v>30</v>
      </c>
      <c r="C614"/>
      <c r="D614"/>
      <c r="E614"/>
      <c r="F614"/>
      <c r="G614"/>
    </row>
    <row r="615" spans="1:7" ht="13.5" thickBot="1" x14ac:dyDescent="0.25">
      <c r="A615"/>
      <c r="B615"/>
      <c r="C615"/>
      <c r="D615"/>
      <c r="E615"/>
      <c r="F615"/>
      <c r="G615"/>
    </row>
    <row r="616" spans="1:7" ht="13.5" thickBot="1" x14ac:dyDescent="0.25">
      <c r="A616" s="116" t="s">
        <v>1</v>
      </c>
      <c r="B616" s="25" t="s">
        <v>14</v>
      </c>
      <c r="C616"/>
      <c r="D616"/>
      <c r="E616"/>
      <c r="F616"/>
      <c r="G616"/>
    </row>
    <row r="617" spans="1:7" x14ac:dyDescent="0.2">
      <c r="A617" s="54">
        <v>0</v>
      </c>
      <c r="B617" s="51">
        <v>100</v>
      </c>
      <c r="C617"/>
      <c r="D617"/>
      <c r="E617"/>
      <c r="F617"/>
      <c r="G617"/>
    </row>
    <row r="618" spans="1:7" x14ac:dyDescent="0.2">
      <c r="A618" s="49">
        <v>10</v>
      </c>
      <c r="B618" s="52">
        <v>100</v>
      </c>
      <c r="C618"/>
      <c r="D618"/>
      <c r="E618"/>
      <c r="F618"/>
      <c r="G618"/>
    </row>
    <row r="619" spans="1:7" x14ac:dyDescent="0.2">
      <c r="A619" s="49">
        <v>50</v>
      </c>
      <c r="B619" s="52">
        <v>100</v>
      </c>
      <c r="C619"/>
      <c r="D619"/>
      <c r="E619"/>
      <c r="F619"/>
      <c r="G619"/>
    </row>
    <row r="620" spans="1:7" x14ac:dyDescent="0.2">
      <c r="A620" s="49">
        <v>75</v>
      </c>
      <c r="B620" s="52">
        <v>100</v>
      </c>
      <c r="C620"/>
      <c r="D620"/>
      <c r="E620"/>
      <c r="F620"/>
      <c r="G620"/>
    </row>
    <row r="621" spans="1:7" x14ac:dyDescent="0.2">
      <c r="A621" s="49">
        <v>88</v>
      </c>
      <c r="B621" s="52">
        <v>100</v>
      </c>
      <c r="C621"/>
      <c r="D621"/>
      <c r="E621"/>
      <c r="F621"/>
      <c r="G621"/>
    </row>
    <row r="622" spans="1:7" x14ac:dyDescent="0.2">
      <c r="A622" s="49">
        <v>94</v>
      </c>
      <c r="B622" s="52">
        <v>100</v>
      </c>
      <c r="C622"/>
      <c r="D622"/>
      <c r="E622"/>
      <c r="F622"/>
      <c r="G622"/>
    </row>
    <row r="623" spans="1:7" x14ac:dyDescent="0.2">
      <c r="A623" s="49">
        <v>95</v>
      </c>
      <c r="B623" s="52">
        <v>100</v>
      </c>
      <c r="C623"/>
      <c r="D623"/>
      <c r="E623"/>
      <c r="F623"/>
      <c r="G623"/>
    </row>
    <row r="624" spans="1:7" ht="13.5" thickBot="1" x14ac:dyDescent="0.25">
      <c r="A624" s="50">
        <v>100</v>
      </c>
      <c r="B624" s="53">
        <v>100</v>
      </c>
      <c r="C624"/>
      <c r="D624"/>
      <c r="E624"/>
      <c r="F624"/>
      <c r="G624"/>
    </row>
    <row r="625" spans="1:7" ht="13.5" thickBot="1" x14ac:dyDescent="0.25">
      <c r="A625"/>
      <c r="B625"/>
      <c r="C625"/>
      <c r="D625"/>
      <c r="E625"/>
      <c r="F625"/>
      <c r="G625"/>
    </row>
    <row r="626" spans="1:7" ht="13.5" thickBot="1" x14ac:dyDescent="0.25">
      <c r="A626" s="116" t="s">
        <v>15</v>
      </c>
      <c r="B626" s="25" t="s">
        <v>14</v>
      </c>
      <c r="C626"/>
      <c r="D626"/>
      <c r="E626"/>
      <c r="F626"/>
      <c r="G626"/>
    </row>
    <row r="627" spans="1:7" x14ac:dyDescent="0.2">
      <c r="A627" s="37">
        <f t="shared" ref="A627:A634" si="60">A617*F$4/100</f>
        <v>0</v>
      </c>
      <c r="B627" s="38">
        <f t="shared" ref="B627:B634" si="61">B617</f>
        <v>100</v>
      </c>
      <c r="C627"/>
      <c r="D627"/>
      <c r="E627"/>
      <c r="F627"/>
      <c r="G627"/>
    </row>
    <row r="628" spans="1:7" x14ac:dyDescent="0.2">
      <c r="A628" s="39">
        <f t="shared" si="60"/>
        <v>0.2</v>
      </c>
      <c r="B628" s="40">
        <f t="shared" si="61"/>
        <v>100</v>
      </c>
      <c r="C628"/>
      <c r="D628"/>
      <c r="E628"/>
      <c r="F628"/>
      <c r="G628"/>
    </row>
    <row r="629" spans="1:7" x14ac:dyDescent="0.2">
      <c r="A629" s="39">
        <f t="shared" si="60"/>
        <v>1</v>
      </c>
      <c r="B629" s="40">
        <f t="shared" si="61"/>
        <v>100</v>
      </c>
      <c r="C629"/>
      <c r="D629"/>
      <c r="E629"/>
      <c r="F629"/>
      <c r="G629"/>
    </row>
    <row r="630" spans="1:7" x14ac:dyDescent="0.2">
      <c r="A630" s="39">
        <f t="shared" si="60"/>
        <v>1.5</v>
      </c>
      <c r="B630" s="40">
        <f t="shared" si="61"/>
        <v>100</v>
      </c>
      <c r="C630"/>
      <c r="D630"/>
      <c r="E630"/>
      <c r="F630"/>
      <c r="G630"/>
    </row>
    <row r="631" spans="1:7" x14ac:dyDescent="0.2">
      <c r="A631" s="39">
        <f t="shared" si="60"/>
        <v>1.76</v>
      </c>
      <c r="B631" s="40">
        <f t="shared" si="61"/>
        <v>100</v>
      </c>
      <c r="C631"/>
      <c r="D631"/>
      <c r="E631"/>
      <c r="F631"/>
      <c r="G631"/>
    </row>
    <row r="632" spans="1:7" x14ac:dyDescent="0.2">
      <c r="A632" s="39">
        <f t="shared" si="60"/>
        <v>1.88</v>
      </c>
      <c r="B632" s="40">
        <f t="shared" si="61"/>
        <v>100</v>
      </c>
      <c r="C632"/>
      <c r="D632"/>
      <c r="E632"/>
      <c r="F632"/>
      <c r="G632"/>
    </row>
    <row r="633" spans="1:7" x14ac:dyDescent="0.2">
      <c r="A633" s="39">
        <f t="shared" si="60"/>
        <v>1.9</v>
      </c>
      <c r="B633" s="40">
        <f t="shared" si="61"/>
        <v>100</v>
      </c>
      <c r="C633"/>
      <c r="D633"/>
      <c r="E633"/>
      <c r="F633"/>
      <c r="G633"/>
    </row>
    <row r="634" spans="1:7" ht="13.5" thickBot="1" x14ac:dyDescent="0.25">
      <c r="A634" s="41">
        <f t="shared" si="60"/>
        <v>2</v>
      </c>
      <c r="B634" s="42">
        <f t="shared" si="61"/>
        <v>100</v>
      </c>
      <c r="C634"/>
      <c r="D634"/>
      <c r="E634"/>
      <c r="F634"/>
      <c r="G634"/>
    </row>
    <row r="635" spans="1:7" x14ac:dyDescent="0.2">
      <c r="A635"/>
      <c r="B635"/>
      <c r="C635"/>
      <c r="D635"/>
      <c r="E635"/>
      <c r="F635"/>
      <c r="G635"/>
    </row>
    <row r="636" spans="1:7" ht="13.5" thickBot="1" x14ac:dyDescent="0.25">
      <c r="A636"/>
      <c r="B636"/>
      <c r="C636"/>
      <c r="D636"/>
      <c r="E636"/>
      <c r="F636"/>
      <c r="G636"/>
    </row>
    <row r="637" spans="1:7" ht="13.5" thickBot="1" x14ac:dyDescent="0.25">
      <c r="A637" s="129" t="s">
        <v>73</v>
      </c>
      <c r="B637" s="25" t="s">
        <v>16</v>
      </c>
      <c r="C637"/>
      <c r="D637"/>
      <c r="E637"/>
      <c r="F637"/>
      <c r="G637"/>
    </row>
    <row r="638" spans="1:7" ht="13.5" thickBot="1" x14ac:dyDescent="0.25">
      <c r="A638" s="347" t="s">
        <v>94</v>
      </c>
      <c r="B638" s="209">
        <v>60</v>
      </c>
      <c r="C638"/>
      <c r="D638"/>
      <c r="E638"/>
      <c r="F638"/>
      <c r="G638"/>
    </row>
    <row r="639" spans="1:7" ht="13.5" thickBot="1" x14ac:dyDescent="0.25">
      <c r="A639"/>
      <c r="B639"/>
      <c r="C639"/>
      <c r="D639"/>
      <c r="E639"/>
      <c r="F639"/>
      <c r="G639"/>
    </row>
    <row r="640" spans="1:7" ht="13.5" thickBot="1" x14ac:dyDescent="0.25">
      <c r="A640" s="116" t="s">
        <v>1</v>
      </c>
      <c r="B640" s="25" t="s">
        <v>14</v>
      </c>
      <c r="C640"/>
      <c r="D640"/>
      <c r="E640"/>
      <c r="F640"/>
      <c r="G640"/>
    </row>
    <row r="641" spans="1:7" x14ac:dyDescent="0.2">
      <c r="A641" s="54">
        <v>0</v>
      </c>
      <c r="B641" s="51">
        <v>50</v>
      </c>
      <c r="C641"/>
      <c r="D641"/>
      <c r="E641"/>
      <c r="F641"/>
      <c r="G641"/>
    </row>
    <row r="642" spans="1:7" x14ac:dyDescent="0.2">
      <c r="A642" s="49">
        <v>10</v>
      </c>
      <c r="B642" s="52">
        <v>50</v>
      </c>
      <c r="C642"/>
      <c r="D642"/>
      <c r="E642"/>
      <c r="F642"/>
      <c r="G642"/>
    </row>
    <row r="643" spans="1:7" x14ac:dyDescent="0.2">
      <c r="A643" s="49">
        <v>50</v>
      </c>
      <c r="B643" s="52">
        <v>50</v>
      </c>
      <c r="C643"/>
      <c r="D643"/>
      <c r="E643"/>
      <c r="F643"/>
      <c r="G643"/>
    </row>
    <row r="644" spans="1:7" x14ac:dyDescent="0.2">
      <c r="A644" s="49">
        <v>75</v>
      </c>
      <c r="B644" s="52">
        <v>50</v>
      </c>
      <c r="C644"/>
      <c r="D644"/>
      <c r="E644"/>
      <c r="F644"/>
      <c r="G644"/>
    </row>
    <row r="645" spans="1:7" x14ac:dyDescent="0.2">
      <c r="A645" s="49">
        <v>88</v>
      </c>
      <c r="B645" s="52">
        <v>50</v>
      </c>
      <c r="C645"/>
      <c r="D645"/>
      <c r="E645"/>
      <c r="F645"/>
      <c r="G645"/>
    </row>
    <row r="646" spans="1:7" x14ac:dyDescent="0.2">
      <c r="A646" s="49">
        <v>94</v>
      </c>
      <c r="B646" s="52">
        <v>50</v>
      </c>
      <c r="C646"/>
      <c r="D646"/>
      <c r="E646"/>
      <c r="F646"/>
      <c r="G646"/>
    </row>
    <row r="647" spans="1:7" x14ac:dyDescent="0.2">
      <c r="A647" s="49">
        <v>95</v>
      </c>
      <c r="B647" s="52">
        <v>50</v>
      </c>
      <c r="C647"/>
      <c r="D647"/>
      <c r="E647"/>
      <c r="F647"/>
      <c r="G647"/>
    </row>
    <row r="648" spans="1:7" ht="13.5" thickBot="1" x14ac:dyDescent="0.25">
      <c r="A648" s="50">
        <v>100</v>
      </c>
      <c r="B648" s="53">
        <v>50</v>
      </c>
      <c r="C648"/>
      <c r="D648"/>
      <c r="E648"/>
      <c r="F648"/>
      <c r="G648"/>
    </row>
    <row r="649" spans="1:7" ht="13.5" thickBot="1" x14ac:dyDescent="0.25">
      <c r="A649"/>
      <c r="B649"/>
      <c r="C649"/>
      <c r="D649"/>
      <c r="E649"/>
      <c r="F649"/>
      <c r="G649"/>
    </row>
    <row r="650" spans="1:7" ht="13.5" thickBot="1" x14ac:dyDescent="0.25">
      <c r="A650" s="116" t="s">
        <v>15</v>
      </c>
      <c r="B650" s="25" t="s">
        <v>14</v>
      </c>
      <c r="C650"/>
      <c r="D650"/>
      <c r="E650"/>
      <c r="F650"/>
      <c r="G650"/>
    </row>
    <row r="651" spans="1:7" x14ac:dyDescent="0.2">
      <c r="A651" s="37">
        <f t="shared" ref="A651:A658" si="62">A641*F$4/100</f>
        <v>0</v>
      </c>
      <c r="B651" s="38">
        <f t="shared" ref="B651:B658" si="63">B641</f>
        <v>50</v>
      </c>
      <c r="C651"/>
      <c r="D651"/>
      <c r="E651"/>
      <c r="F651"/>
      <c r="G651"/>
    </row>
    <row r="652" spans="1:7" x14ac:dyDescent="0.2">
      <c r="A652" s="39">
        <f t="shared" si="62"/>
        <v>0.2</v>
      </c>
      <c r="B652" s="40">
        <f t="shared" si="63"/>
        <v>50</v>
      </c>
      <c r="C652"/>
      <c r="D652"/>
      <c r="E652"/>
      <c r="F652"/>
      <c r="G652"/>
    </row>
    <row r="653" spans="1:7" x14ac:dyDescent="0.2">
      <c r="A653" s="39">
        <f t="shared" si="62"/>
        <v>1</v>
      </c>
      <c r="B653" s="40">
        <f t="shared" si="63"/>
        <v>50</v>
      </c>
      <c r="C653"/>
      <c r="D653"/>
      <c r="E653"/>
      <c r="F653"/>
      <c r="G653"/>
    </row>
    <row r="654" spans="1:7" x14ac:dyDescent="0.2">
      <c r="A654" s="39">
        <f t="shared" si="62"/>
        <v>1.5</v>
      </c>
      <c r="B654" s="40">
        <f t="shared" si="63"/>
        <v>50</v>
      </c>
      <c r="C654"/>
      <c r="D654"/>
      <c r="E654"/>
      <c r="F654"/>
      <c r="G654"/>
    </row>
    <row r="655" spans="1:7" x14ac:dyDescent="0.2">
      <c r="A655" s="39">
        <f t="shared" si="62"/>
        <v>1.76</v>
      </c>
      <c r="B655" s="40">
        <f t="shared" si="63"/>
        <v>50</v>
      </c>
      <c r="C655"/>
      <c r="D655"/>
      <c r="E655"/>
      <c r="F655"/>
      <c r="G655"/>
    </row>
    <row r="656" spans="1:7" x14ac:dyDescent="0.2">
      <c r="A656" s="39">
        <f t="shared" si="62"/>
        <v>1.88</v>
      </c>
      <c r="B656" s="40">
        <f t="shared" si="63"/>
        <v>50</v>
      </c>
      <c r="C656"/>
      <c r="D656"/>
      <c r="E656"/>
      <c r="F656"/>
      <c r="G656"/>
    </row>
    <row r="657" spans="1:7" x14ac:dyDescent="0.2">
      <c r="A657" s="39">
        <f t="shared" si="62"/>
        <v>1.9</v>
      </c>
      <c r="B657" s="40">
        <f t="shared" si="63"/>
        <v>50</v>
      </c>
      <c r="C657"/>
      <c r="D657"/>
      <c r="E657"/>
      <c r="F657"/>
      <c r="G657"/>
    </row>
    <row r="658" spans="1:7" ht="13.5" thickBot="1" x14ac:dyDescent="0.25">
      <c r="A658" s="41">
        <f t="shared" si="62"/>
        <v>2</v>
      </c>
      <c r="B658" s="42">
        <f t="shared" si="63"/>
        <v>50</v>
      </c>
      <c r="C658"/>
      <c r="D658"/>
      <c r="E658"/>
      <c r="F658"/>
      <c r="G658"/>
    </row>
    <row r="659" spans="1:7" x14ac:dyDescent="0.2">
      <c r="A659"/>
      <c r="B659"/>
      <c r="C659"/>
      <c r="D659"/>
      <c r="E659"/>
      <c r="F659"/>
      <c r="G659"/>
    </row>
    <row r="660" spans="1:7" ht="13.5" thickBot="1" x14ac:dyDescent="0.25">
      <c r="A660"/>
      <c r="B660"/>
      <c r="C660"/>
      <c r="D660"/>
      <c r="E660"/>
      <c r="F660"/>
      <c r="G660"/>
    </row>
    <row r="661" spans="1:7" ht="13.5" thickBot="1" x14ac:dyDescent="0.25">
      <c r="A661" s="129" t="s">
        <v>73</v>
      </c>
      <c r="B661" s="25" t="s">
        <v>16</v>
      </c>
      <c r="C661"/>
      <c r="D661"/>
      <c r="E661"/>
      <c r="F661"/>
      <c r="G661"/>
    </row>
    <row r="662" spans="1:7" ht="13.5" thickBot="1" x14ac:dyDescent="0.25">
      <c r="A662" s="347" t="s">
        <v>95</v>
      </c>
      <c r="B662" s="209">
        <v>60</v>
      </c>
      <c r="C662" s="117"/>
      <c r="D662" s="117"/>
      <c r="E662" s="117"/>
      <c r="F662" s="117"/>
      <c r="G662" s="117"/>
    </row>
    <row r="663" spans="1:7" ht="13.5" thickBot="1" x14ac:dyDescent="0.25">
      <c r="A663"/>
      <c r="B663"/>
      <c r="C663" s="71"/>
      <c r="D663" s="71"/>
      <c r="E663" s="71"/>
      <c r="F663" s="71"/>
      <c r="G663" s="71"/>
    </row>
    <row r="664" spans="1:7" ht="13.5" thickBot="1" x14ac:dyDescent="0.25">
      <c r="A664" s="116" t="s">
        <v>1</v>
      </c>
      <c r="B664" s="25" t="s">
        <v>14</v>
      </c>
      <c r="C664" s="9"/>
      <c r="D664" s="9"/>
      <c r="E664" s="9"/>
      <c r="F664" s="9"/>
      <c r="G664" s="9"/>
    </row>
    <row r="665" spans="1:7" x14ac:dyDescent="0.2">
      <c r="A665" s="54">
        <v>0</v>
      </c>
      <c r="B665" s="51">
        <v>200</v>
      </c>
      <c r="C665"/>
      <c r="D665"/>
      <c r="E665"/>
      <c r="F665"/>
      <c r="G665"/>
    </row>
    <row r="666" spans="1:7" x14ac:dyDescent="0.2">
      <c r="A666" s="49">
        <v>7.89</v>
      </c>
      <c r="B666" s="52">
        <v>200</v>
      </c>
      <c r="C666" s="112"/>
      <c r="D666" s="112"/>
      <c r="E666"/>
      <c r="F666" s="112"/>
      <c r="G666" s="112"/>
    </row>
    <row r="667" spans="1:7" x14ac:dyDescent="0.2">
      <c r="A667" s="49">
        <v>20</v>
      </c>
      <c r="B667" s="52">
        <v>200</v>
      </c>
      <c r="C667" s="19"/>
      <c r="D667" s="70"/>
      <c r="E667"/>
      <c r="F667" s="113"/>
      <c r="G667" s="70"/>
    </row>
    <row r="668" spans="1:7" x14ac:dyDescent="0.2">
      <c r="A668" s="49">
        <v>55.26</v>
      </c>
      <c r="B668" s="52">
        <v>200</v>
      </c>
      <c r="C668" s="19"/>
      <c r="D668" s="70"/>
      <c r="E668"/>
      <c r="F668" s="113"/>
      <c r="G668" s="70"/>
    </row>
    <row r="669" spans="1:7" x14ac:dyDescent="0.2">
      <c r="A669" s="49">
        <v>60</v>
      </c>
      <c r="B669" s="52">
        <v>200</v>
      </c>
      <c r="C669" s="19"/>
      <c r="D669" s="70"/>
      <c r="E669"/>
      <c r="F669" s="113"/>
      <c r="G669" s="70"/>
    </row>
    <row r="670" spans="1:7" x14ac:dyDescent="0.2">
      <c r="A670" s="49">
        <v>65</v>
      </c>
      <c r="B670" s="52">
        <v>200</v>
      </c>
      <c r="C670" s="19"/>
      <c r="D670" s="70"/>
      <c r="E670"/>
      <c r="F670" s="113"/>
      <c r="G670" s="70"/>
    </row>
    <row r="671" spans="1:7" x14ac:dyDescent="0.2">
      <c r="A671" s="49">
        <v>71.05</v>
      </c>
      <c r="B671" s="52">
        <v>200</v>
      </c>
      <c r="C671" s="19"/>
      <c r="D671" s="70"/>
      <c r="E671"/>
      <c r="F671" s="113"/>
      <c r="G671" s="70"/>
    </row>
    <row r="672" spans="1:7" ht="13.5" thickBot="1" x14ac:dyDescent="0.25">
      <c r="A672" s="50">
        <v>100</v>
      </c>
      <c r="B672" s="53">
        <v>200</v>
      </c>
      <c r="C672" s="19"/>
      <c r="D672" s="70"/>
      <c r="E672"/>
      <c r="F672" s="113"/>
      <c r="G672" s="70"/>
    </row>
    <row r="673" spans="1:7" ht="13.5" thickBot="1" x14ac:dyDescent="0.25">
      <c r="A673"/>
      <c r="B673"/>
      <c r="C673" s="19"/>
      <c r="D673" s="70"/>
      <c r="E673"/>
      <c r="F673" s="113"/>
      <c r="G673" s="70"/>
    </row>
    <row r="674" spans="1:7" ht="13.5" thickBot="1" x14ac:dyDescent="0.25">
      <c r="A674" s="116" t="s">
        <v>15</v>
      </c>
      <c r="B674" s="25" t="s">
        <v>14</v>
      </c>
      <c r="C674" s="19"/>
      <c r="D674" s="70"/>
      <c r="E674"/>
      <c r="F674" s="113"/>
      <c r="G674" s="8"/>
    </row>
    <row r="675" spans="1:7" x14ac:dyDescent="0.2">
      <c r="A675" s="37">
        <f t="shared" ref="A675:A682" si="64">A665*F$4/100</f>
        <v>0</v>
      </c>
      <c r="B675" s="38">
        <f t="shared" ref="B675:B682" si="65">B665</f>
        <v>200</v>
      </c>
      <c r="C675"/>
      <c r="D675"/>
      <c r="E675"/>
      <c r="F675"/>
      <c r="G675"/>
    </row>
    <row r="676" spans="1:7" x14ac:dyDescent="0.2">
      <c r="A676" s="39">
        <f t="shared" si="64"/>
        <v>0.1578</v>
      </c>
      <c r="B676" s="40">
        <f t="shared" si="65"/>
        <v>200</v>
      </c>
      <c r="C676" s="28"/>
      <c r="D676" s="28"/>
      <c r="E676" s="28"/>
      <c r="F676" s="28"/>
      <c r="G676" s="28"/>
    </row>
    <row r="677" spans="1:7" x14ac:dyDescent="0.2">
      <c r="A677" s="39">
        <f t="shared" si="64"/>
        <v>0.4</v>
      </c>
      <c r="B677" s="40">
        <f t="shared" si="65"/>
        <v>200</v>
      </c>
      <c r="C677" s="28"/>
      <c r="D677" s="28"/>
      <c r="E677" s="28"/>
      <c r="F677" s="28"/>
      <c r="G677" s="28"/>
    </row>
    <row r="678" spans="1:7" x14ac:dyDescent="0.2">
      <c r="A678" s="39">
        <f t="shared" si="64"/>
        <v>1.1052</v>
      </c>
      <c r="B678" s="40">
        <f t="shared" si="65"/>
        <v>200</v>
      </c>
      <c r="C678" s="28"/>
      <c r="D678" s="28"/>
      <c r="E678" s="28"/>
      <c r="F678" s="28"/>
      <c r="G678" s="28"/>
    </row>
    <row r="679" spans="1:7" x14ac:dyDescent="0.2">
      <c r="A679" s="39">
        <f t="shared" si="64"/>
        <v>1.2</v>
      </c>
      <c r="B679" s="40">
        <f t="shared" si="65"/>
        <v>200</v>
      </c>
      <c r="C679" s="28"/>
      <c r="D679" s="28"/>
      <c r="E679" s="28"/>
      <c r="F679" s="28"/>
      <c r="G679" s="28"/>
    </row>
    <row r="680" spans="1:7" x14ac:dyDescent="0.2">
      <c r="A680" s="39">
        <f t="shared" si="64"/>
        <v>1.3</v>
      </c>
      <c r="B680" s="40">
        <f t="shared" si="65"/>
        <v>200</v>
      </c>
      <c r="C680" s="28"/>
      <c r="D680" s="28"/>
      <c r="E680" s="28"/>
      <c r="F680" s="28"/>
      <c r="G680" s="28"/>
    </row>
    <row r="681" spans="1:7" x14ac:dyDescent="0.2">
      <c r="A681" s="39">
        <f t="shared" si="64"/>
        <v>1.421</v>
      </c>
      <c r="B681" s="40">
        <f t="shared" si="65"/>
        <v>200</v>
      </c>
      <c r="C681" s="28"/>
      <c r="D681" s="28"/>
      <c r="E681" s="28"/>
      <c r="F681" s="28"/>
      <c r="G681" s="28"/>
    </row>
    <row r="682" spans="1:7" ht="13.5" thickBot="1" x14ac:dyDescent="0.25">
      <c r="A682" s="41">
        <f t="shared" si="64"/>
        <v>2</v>
      </c>
      <c r="B682" s="42">
        <f t="shared" si="65"/>
        <v>200</v>
      </c>
      <c r="C682" s="28"/>
      <c r="D682" s="28"/>
      <c r="E682" s="28"/>
      <c r="F682" s="28"/>
      <c r="G682" s="28"/>
    </row>
    <row r="683" spans="1:7" x14ac:dyDescent="0.2">
      <c r="A683" s="68"/>
      <c r="B683" s="66"/>
      <c r="C683" s="28"/>
      <c r="D683" s="28"/>
      <c r="E683" s="28"/>
      <c r="F683" s="28"/>
      <c r="G683" s="28"/>
    </row>
    <row r="684" spans="1:7" ht="13.5" thickBot="1" x14ac:dyDescent="0.25">
      <c r="A684" s="68"/>
      <c r="B684" s="66"/>
      <c r="C684" s="28"/>
      <c r="D684" s="28"/>
      <c r="E684" s="28"/>
      <c r="F684" s="28"/>
      <c r="G684" s="28"/>
    </row>
    <row r="685" spans="1:7" ht="13.5" thickBot="1" x14ac:dyDescent="0.25">
      <c r="A685" s="129" t="s">
        <v>73</v>
      </c>
      <c r="B685" s="25" t="s">
        <v>16</v>
      </c>
      <c r="C685" s="28"/>
      <c r="D685" s="28"/>
      <c r="E685" s="28"/>
      <c r="F685" s="28"/>
      <c r="G685" s="28"/>
    </row>
    <row r="686" spans="1:7" ht="13.5" thickBot="1" x14ac:dyDescent="0.25">
      <c r="A686" s="347" t="s">
        <v>96</v>
      </c>
      <c r="B686" s="209">
        <v>60</v>
      </c>
      <c r="C686" s="28"/>
      <c r="D686" s="28"/>
      <c r="E686" s="28"/>
      <c r="F686" s="28"/>
      <c r="G686" s="28"/>
    </row>
    <row r="687" spans="1:7" ht="13.5" thickBot="1" x14ac:dyDescent="0.25">
      <c r="A687"/>
      <c r="B687"/>
      <c r="C687" s="28"/>
      <c r="D687" s="28"/>
      <c r="E687" s="28"/>
      <c r="F687" s="28"/>
      <c r="G687" s="28"/>
    </row>
    <row r="688" spans="1:7" ht="13.5" thickBot="1" x14ac:dyDescent="0.25">
      <c r="A688" s="116" t="s">
        <v>1</v>
      </c>
      <c r="B688" s="25" t="s">
        <v>14</v>
      </c>
      <c r="C688" s="28"/>
      <c r="D688" s="28"/>
      <c r="E688" s="28"/>
      <c r="F688" s="28"/>
      <c r="G688" s="28"/>
    </row>
    <row r="689" spans="1:7" x14ac:dyDescent="0.2">
      <c r="A689" s="54">
        <v>0</v>
      </c>
      <c r="B689" s="51">
        <v>0</v>
      </c>
      <c r="C689" s="28"/>
      <c r="D689" s="28"/>
      <c r="E689" s="28"/>
      <c r="F689" s="28"/>
      <c r="G689" s="28"/>
    </row>
    <row r="690" spans="1:7" x14ac:dyDescent="0.2">
      <c r="A690" s="49">
        <v>7.89</v>
      </c>
      <c r="B690" s="52">
        <v>0</v>
      </c>
      <c r="C690" s="28"/>
      <c r="D690" s="28"/>
      <c r="E690" s="28"/>
      <c r="F690" s="28"/>
      <c r="G690" s="28"/>
    </row>
    <row r="691" spans="1:7" x14ac:dyDescent="0.2">
      <c r="A691" s="49">
        <v>20</v>
      </c>
      <c r="B691" s="52">
        <v>0</v>
      </c>
      <c r="C691" s="28"/>
      <c r="D691" s="28"/>
      <c r="E691" s="28"/>
      <c r="F691" s="28"/>
      <c r="G691" s="28"/>
    </row>
    <row r="692" spans="1:7" x14ac:dyDescent="0.2">
      <c r="A692" s="49">
        <v>55.26</v>
      </c>
      <c r="B692" s="52">
        <v>0</v>
      </c>
      <c r="C692" s="28"/>
      <c r="D692" s="28"/>
      <c r="E692" s="28"/>
      <c r="F692" s="28"/>
      <c r="G692" s="28"/>
    </row>
    <row r="693" spans="1:7" x14ac:dyDescent="0.2">
      <c r="A693" s="49">
        <v>60</v>
      </c>
      <c r="B693" s="52">
        <v>0</v>
      </c>
      <c r="C693" s="28"/>
      <c r="D693" s="28"/>
      <c r="E693" s="28"/>
      <c r="F693" s="28"/>
      <c r="G693" s="28"/>
    </row>
    <row r="694" spans="1:7" x14ac:dyDescent="0.2">
      <c r="A694" s="49">
        <v>65</v>
      </c>
      <c r="B694" s="52">
        <v>0</v>
      </c>
      <c r="C694" s="28"/>
      <c r="D694" s="28"/>
      <c r="E694" s="28"/>
      <c r="F694" s="28"/>
      <c r="G694" s="28"/>
    </row>
    <row r="695" spans="1:7" x14ac:dyDescent="0.2">
      <c r="A695" s="49">
        <v>71.05</v>
      </c>
      <c r="B695" s="52">
        <v>0</v>
      </c>
      <c r="C695" s="28"/>
      <c r="D695" s="28"/>
      <c r="E695" s="28"/>
      <c r="F695" s="28"/>
      <c r="G695" s="28"/>
    </row>
    <row r="696" spans="1:7" ht="13.5" thickBot="1" x14ac:dyDescent="0.25">
      <c r="A696" s="50">
        <v>100</v>
      </c>
      <c r="B696" s="53">
        <v>0</v>
      </c>
      <c r="C696" s="28"/>
      <c r="D696" s="28"/>
      <c r="E696" s="28"/>
      <c r="F696" s="28"/>
      <c r="G696" s="28"/>
    </row>
    <row r="697" spans="1:7" ht="13.5" thickBot="1" x14ac:dyDescent="0.25">
      <c r="A697"/>
      <c r="B697"/>
      <c r="C697" s="28"/>
      <c r="D697" s="28"/>
      <c r="E697" s="28"/>
      <c r="F697" s="28"/>
      <c r="G697" s="28"/>
    </row>
    <row r="698" spans="1:7" ht="13.5" thickBot="1" x14ac:dyDescent="0.25">
      <c r="A698" s="116" t="s">
        <v>15</v>
      </c>
      <c r="B698" s="25" t="s">
        <v>14</v>
      </c>
      <c r="C698" s="28"/>
      <c r="D698" s="28"/>
      <c r="E698" s="28"/>
      <c r="F698" s="28"/>
      <c r="G698" s="28"/>
    </row>
    <row r="699" spans="1:7" x14ac:dyDescent="0.2">
      <c r="A699" s="37">
        <f t="shared" ref="A699:A706" si="66">A689*F$4/100</f>
        <v>0</v>
      </c>
      <c r="B699" s="38">
        <f t="shared" ref="B699:B706" si="67">B689</f>
        <v>0</v>
      </c>
      <c r="C699" s="28"/>
      <c r="D699" s="28"/>
      <c r="E699" s="28"/>
      <c r="F699" s="28"/>
      <c r="G699" s="28"/>
    </row>
    <row r="700" spans="1:7" x14ac:dyDescent="0.2">
      <c r="A700" s="39">
        <f t="shared" si="66"/>
        <v>0.1578</v>
      </c>
      <c r="B700" s="40">
        <f t="shared" si="67"/>
        <v>0</v>
      </c>
      <c r="C700" s="28"/>
      <c r="D700" s="28"/>
      <c r="E700" s="28"/>
      <c r="F700" s="28"/>
      <c r="G700" s="28"/>
    </row>
    <row r="701" spans="1:7" x14ac:dyDescent="0.2">
      <c r="A701" s="39">
        <f t="shared" si="66"/>
        <v>0.4</v>
      </c>
      <c r="B701" s="40">
        <f t="shared" si="67"/>
        <v>0</v>
      </c>
      <c r="C701" s="28"/>
      <c r="D701" s="28"/>
      <c r="E701" s="28"/>
      <c r="F701" s="28"/>
      <c r="G701" s="28"/>
    </row>
    <row r="702" spans="1:7" x14ac:dyDescent="0.2">
      <c r="A702" s="39">
        <f t="shared" si="66"/>
        <v>1.1052</v>
      </c>
      <c r="B702" s="40">
        <f t="shared" si="67"/>
        <v>0</v>
      </c>
      <c r="C702" s="28"/>
      <c r="D702" s="28"/>
      <c r="E702" s="28"/>
      <c r="F702" s="28"/>
      <c r="G702" s="28"/>
    </row>
    <row r="703" spans="1:7" x14ac:dyDescent="0.2">
      <c r="A703" s="39">
        <f t="shared" si="66"/>
        <v>1.2</v>
      </c>
      <c r="B703" s="40">
        <f t="shared" si="67"/>
        <v>0</v>
      </c>
      <c r="C703" s="28"/>
      <c r="D703" s="28"/>
      <c r="E703" s="28"/>
      <c r="F703" s="28"/>
      <c r="G703" s="28"/>
    </row>
    <row r="704" spans="1:7" x14ac:dyDescent="0.2">
      <c r="A704" s="39">
        <f t="shared" si="66"/>
        <v>1.3</v>
      </c>
      <c r="B704" s="40">
        <f t="shared" si="67"/>
        <v>0</v>
      </c>
      <c r="C704" s="28"/>
      <c r="D704" s="28"/>
      <c r="E704" s="28"/>
      <c r="F704" s="28"/>
      <c r="G704" s="28"/>
    </row>
    <row r="705" spans="1:7" x14ac:dyDescent="0.2">
      <c r="A705" s="39">
        <f t="shared" si="66"/>
        <v>1.421</v>
      </c>
      <c r="B705" s="40">
        <f t="shared" si="67"/>
        <v>0</v>
      </c>
      <c r="C705" s="28"/>
      <c r="D705" s="28"/>
      <c r="E705" s="28"/>
      <c r="F705" s="28"/>
      <c r="G705" s="28"/>
    </row>
    <row r="706" spans="1:7" ht="13.5" thickBot="1" x14ac:dyDescent="0.25">
      <c r="A706" s="41">
        <f t="shared" si="66"/>
        <v>2</v>
      </c>
      <c r="B706" s="42">
        <f t="shared" si="67"/>
        <v>0</v>
      </c>
      <c r="C706" s="28"/>
      <c r="D706" s="28"/>
      <c r="E706" s="28"/>
      <c r="F706" s="28"/>
      <c r="G706" s="28"/>
    </row>
    <row r="707" spans="1:7" x14ac:dyDescent="0.2">
      <c r="A707" s="67"/>
      <c r="B707" s="66"/>
      <c r="C707" s="28"/>
      <c r="D707" s="28"/>
      <c r="E707" s="28"/>
      <c r="F707" s="28"/>
      <c r="G707" s="28"/>
    </row>
    <row r="708" spans="1:7" ht="13.5" thickBot="1" x14ac:dyDescent="0.25">
      <c r="A708" s="64"/>
      <c r="B708" s="64"/>
      <c r="C708" s="28"/>
      <c r="D708" s="28"/>
      <c r="E708" s="28"/>
      <c r="F708" s="28"/>
      <c r="G708" s="28"/>
    </row>
    <row r="709" spans="1:7" ht="13.5" thickBot="1" x14ac:dyDescent="0.25">
      <c r="A709" s="129" t="s">
        <v>73</v>
      </c>
      <c r="B709" s="25" t="s">
        <v>16</v>
      </c>
      <c r="C709" s="28"/>
      <c r="D709" s="28"/>
      <c r="E709" s="28"/>
      <c r="F709" s="28"/>
      <c r="G709" s="28"/>
    </row>
    <row r="710" spans="1:7" ht="13.5" thickBot="1" x14ac:dyDescent="0.25">
      <c r="A710" s="347" t="s">
        <v>97</v>
      </c>
      <c r="B710" s="209">
        <v>60</v>
      </c>
      <c r="C710" s="28"/>
      <c r="D710" s="28"/>
      <c r="E710" s="28"/>
      <c r="F710" s="28"/>
      <c r="G710" s="28"/>
    </row>
    <row r="711" spans="1:7" ht="13.5" thickBot="1" x14ac:dyDescent="0.25">
      <c r="A711"/>
      <c r="B711"/>
      <c r="C711" s="28"/>
      <c r="D711" s="28"/>
      <c r="E711" s="28"/>
      <c r="F711" s="28"/>
      <c r="G711" s="28"/>
    </row>
    <row r="712" spans="1:7" ht="13.5" thickBot="1" x14ac:dyDescent="0.25">
      <c r="A712" s="116" t="s">
        <v>1</v>
      </c>
      <c r="B712" s="25" t="s">
        <v>14</v>
      </c>
      <c r="C712" s="28"/>
      <c r="D712" s="28"/>
      <c r="E712" s="28"/>
      <c r="F712" s="28"/>
      <c r="G712" s="28"/>
    </row>
    <row r="713" spans="1:7" x14ac:dyDescent="0.2">
      <c r="A713" s="54">
        <v>0</v>
      </c>
      <c r="B713" s="51">
        <v>80</v>
      </c>
      <c r="C713" s="28"/>
      <c r="D713" s="28"/>
      <c r="E713" s="28"/>
      <c r="F713" s="28"/>
      <c r="G713" s="28"/>
    </row>
    <row r="714" spans="1:7" x14ac:dyDescent="0.2">
      <c r="A714" s="49">
        <v>7.89</v>
      </c>
      <c r="B714" s="52">
        <v>80</v>
      </c>
      <c r="C714" s="28"/>
      <c r="D714" s="28"/>
      <c r="E714" s="28"/>
      <c r="F714" s="28"/>
      <c r="G714" s="28"/>
    </row>
    <row r="715" spans="1:7" x14ac:dyDescent="0.2">
      <c r="A715" s="49">
        <v>20</v>
      </c>
      <c r="B715" s="52">
        <v>80</v>
      </c>
      <c r="C715" s="28"/>
      <c r="D715" s="28"/>
      <c r="E715" s="28"/>
      <c r="F715" s="28"/>
      <c r="G715" s="28"/>
    </row>
    <row r="716" spans="1:7" x14ac:dyDescent="0.2">
      <c r="A716" s="49">
        <v>55.26</v>
      </c>
      <c r="B716" s="52">
        <v>80</v>
      </c>
      <c r="C716" s="28"/>
      <c r="D716" s="28"/>
      <c r="E716" s="28"/>
      <c r="F716" s="28"/>
      <c r="G716" s="28"/>
    </row>
    <row r="717" spans="1:7" x14ac:dyDescent="0.2">
      <c r="A717" s="49">
        <v>60</v>
      </c>
      <c r="B717" s="52">
        <v>80</v>
      </c>
      <c r="C717" s="28"/>
      <c r="D717" s="28"/>
      <c r="E717" s="28"/>
      <c r="F717" s="28"/>
      <c r="G717" s="28"/>
    </row>
    <row r="718" spans="1:7" x14ac:dyDescent="0.2">
      <c r="A718" s="49">
        <v>65</v>
      </c>
      <c r="B718" s="52">
        <v>80</v>
      </c>
      <c r="C718" s="28"/>
      <c r="D718" s="28"/>
      <c r="E718" s="28"/>
      <c r="F718" s="28"/>
      <c r="G718" s="28"/>
    </row>
    <row r="719" spans="1:7" x14ac:dyDescent="0.2">
      <c r="A719" s="49">
        <v>71.05</v>
      </c>
      <c r="B719" s="52">
        <v>80</v>
      </c>
      <c r="C719" s="28"/>
      <c r="D719" s="28"/>
      <c r="E719" s="28"/>
      <c r="F719" s="28"/>
      <c r="G719" s="28"/>
    </row>
    <row r="720" spans="1:7" ht="13.5" thickBot="1" x14ac:dyDescent="0.25">
      <c r="A720" s="50">
        <v>100</v>
      </c>
      <c r="B720" s="53">
        <v>80</v>
      </c>
      <c r="C720" s="28"/>
      <c r="D720" s="28"/>
      <c r="E720" s="28"/>
      <c r="F720" s="28"/>
      <c r="G720" s="28"/>
    </row>
    <row r="721" spans="1:7" ht="13.5" thickBot="1" x14ac:dyDescent="0.25">
      <c r="A721"/>
      <c r="B721"/>
      <c r="C721" s="28"/>
      <c r="D721" s="28"/>
      <c r="E721" s="28"/>
      <c r="F721" s="28"/>
      <c r="G721" s="28"/>
    </row>
    <row r="722" spans="1:7" ht="13.5" thickBot="1" x14ac:dyDescent="0.25">
      <c r="A722" s="116" t="s">
        <v>15</v>
      </c>
      <c r="B722" s="25" t="s">
        <v>14</v>
      </c>
      <c r="C722" s="28"/>
      <c r="D722" s="28"/>
      <c r="E722" s="28"/>
      <c r="F722" s="28"/>
      <c r="G722" s="28"/>
    </row>
    <row r="723" spans="1:7" x14ac:dyDescent="0.2">
      <c r="A723" s="37">
        <f t="shared" ref="A723:A730" si="68">A713*F$4/100</f>
        <v>0</v>
      </c>
      <c r="B723" s="38">
        <f t="shared" ref="B723:B730" si="69">B713</f>
        <v>80</v>
      </c>
      <c r="C723" s="28"/>
      <c r="D723" s="28"/>
      <c r="E723" s="28"/>
      <c r="F723" s="28"/>
      <c r="G723" s="28"/>
    </row>
    <row r="724" spans="1:7" x14ac:dyDescent="0.2">
      <c r="A724" s="39">
        <f t="shared" si="68"/>
        <v>0.1578</v>
      </c>
      <c r="B724" s="40">
        <f t="shared" si="69"/>
        <v>80</v>
      </c>
      <c r="C724" s="28"/>
      <c r="D724" s="28"/>
      <c r="E724" s="28"/>
      <c r="F724" s="28"/>
      <c r="G724" s="28"/>
    </row>
    <row r="725" spans="1:7" x14ac:dyDescent="0.2">
      <c r="A725" s="39">
        <f t="shared" si="68"/>
        <v>0.4</v>
      </c>
      <c r="B725" s="40">
        <f t="shared" si="69"/>
        <v>80</v>
      </c>
      <c r="C725" s="28"/>
      <c r="D725" s="28"/>
      <c r="E725" s="28"/>
      <c r="F725" s="28"/>
      <c r="G725" s="28"/>
    </row>
    <row r="726" spans="1:7" x14ac:dyDescent="0.2">
      <c r="A726" s="39">
        <f t="shared" si="68"/>
        <v>1.1052</v>
      </c>
      <c r="B726" s="40">
        <f t="shared" si="69"/>
        <v>80</v>
      </c>
      <c r="C726" s="28"/>
      <c r="D726" s="28"/>
      <c r="E726" s="28"/>
      <c r="F726" s="28"/>
      <c r="G726" s="28"/>
    </row>
    <row r="727" spans="1:7" x14ac:dyDescent="0.2">
      <c r="A727" s="39">
        <f t="shared" si="68"/>
        <v>1.2</v>
      </c>
      <c r="B727" s="40">
        <f t="shared" si="69"/>
        <v>80</v>
      </c>
      <c r="C727" s="28"/>
      <c r="D727" s="28"/>
      <c r="E727" s="28"/>
      <c r="F727" s="28"/>
      <c r="G727" s="28"/>
    </row>
    <row r="728" spans="1:7" x14ac:dyDescent="0.2">
      <c r="A728" s="39">
        <f t="shared" si="68"/>
        <v>1.3</v>
      </c>
      <c r="B728" s="40">
        <f t="shared" si="69"/>
        <v>80</v>
      </c>
      <c r="C728" s="28"/>
      <c r="D728" s="28"/>
      <c r="E728" s="28"/>
      <c r="F728" s="28"/>
      <c r="G728" s="28"/>
    </row>
    <row r="729" spans="1:7" x14ac:dyDescent="0.2">
      <c r="A729" s="39">
        <f t="shared" si="68"/>
        <v>1.421</v>
      </c>
      <c r="B729" s="40">
        <f t="shared" si="69"/>
        <v>80</v>
      </c>
      <c r="C729" s="28"/>
      <c r="D729" s="28"/>
      <c r="E729" s="28"/>
      <c r="F729" s="28"/>
      <c r="G729" s="28"/>
    </row>
    <row r="730" spans="1:7" ht="13.5" thickBot="1" x14ac:dyDescent="0.25">
      <c r="A730" s="41">
        <f t="shared" si="68"/>
        <v>2</v>
      </c>
      <c r="B730" s="42">
        <f t="shared" si="69"/>
        <v>80</v>
      </c>
      <c r="C730" s="28"/>
      <c r="D730" s="28"/>
      <c r="E730" s="28"/>
      <c r="F730" s="28"/>
      <c r="G730" s="28"/>
    </row>
    <row r="731" spans="1:7" x14ac:dyDescent="0.2">
      <c r="A731" s="20"/>
      <c r="B731" s="21"/>
      <c r="C731" s="28"/>
      <c r="D731" s="28"/>
      <c r="E731" s="28"/>
      <c r="F731" s="28"/>
      <c r="G731" s="28"/>
    </row>
    <row r="732" spans="1:7" ht="13.5" thickBot="1" x14ac:dyDescent="0.25">
      <c r="A732" s="20"/>
      <c r="B732" s="21"/>
      <c r="C732" s="28"/>
      <c r="D732" s="28"/>
      <c r="E732" s="28"/>
      <c r="F732" s="28"/>
      <c r="G732" s="28"/>
    </row>
    <row r="733" spans="1:7" ht="13.5" thickBot="1" x14ac:dyDescent="0.25">
      <c r="A733" s="129" t="s">
        <v>73</v>
      </c>
      <c r="B733" s="25" t="s">
        <v>16</v>
      </c>
      <c r="C733" s="28"/>
      <c r="D733" s="28"/>
      <c r="E733" s="28"/>
      <c r="F733" s="28"/>
      <c r="G733" s="28"/>
    </row>
    <row r="734" spans="1:7" ht="13.5" thickBot="1" x14ac:dyDescent="0.25">
      <c r="A734" s="347" t="s">
        <v>98</v>
      </c>
      <c r="B734" s="209">
        <v>30</v>
      </c>
      <c r="C734" s="28"/>
      <c r="D734" s="28"/>
      <c r="E734" s="28"/>
      <c r="F734" s="28"/>
      <c r="G734" s="28"/>
    </row>
    <row r="735" spans="1:7" ht="13.5" thickBot="1" x14ac:dyDescent="0.25">
      <c r="A735"/>
      <c r="B735"/>
      <c r="C735" s="28"/>
      <c r="D735" s="28"/>
      <c r="E735" s="28"/>
      <c r="F735" s="28"/>
      <c r="G735" s="28"/>
    </row>
    <row r="736" spans="1:7" ht="13.5" thickBot="1" x14ac:dyDescent="0.25">
      <c r="A736" s="116" t="s">
        <v>1</v>
      </c>
      <c r="B736" s="25" t="s">
        <v>14</v>
      </c>
      <c r="C736" s="28"/>
      <c r="D736" s="28"/>
      <c r="E736" s="28"/>
      <c r="F736" s="28"/>
      <c r="G736" s="28"/>
    </row>
    <row r="737" spans="1:7" x14ac:dyDescent="0.2">
      <c r="A737" s="54">
        <v>0</v>
      </c>
      <c r="B737" s="51">
        <v>0</v>
      </c>
      <c r="C737" s="28"/>
      <c r="D737" s="28"/>
      <c r="E737" s="28"/>
      <c r="F737" s="28"/>
      <c r="G737" s="28"/>
    </row>
    <row r="738" spans="1:7" x14ac:dyDescent="0.2">
      <c r="A738" s="49">
        <v>7.89</v>
      </c>
      <c r="B738" s="52">
        <v>0</v>
      </c>
      <c r="C738" s="28"/>
      <c r="D738" s="28"/>
      <c r="E738" s="28"/>
      <c r="F738" s="28"/>
      <c r="G738" s="28"/>
    </row>
    <row r="739" spans="1:7" x14ac:dyDescent="0.2">
      <c r="A739" s="49">
        <v>20</v>
      </c>
      <c r="B739" s="52">
        <v>0</v>
      </c>
      <c r="C739" s="28"/>
      <c r="D739" s="28"/>
      <c r="E739" s="28"/>
      <c r="F739" s="28"/>
      <c r="G739" s="28"/>
    </row>
    <row r="740" spans="1:7" x14ac:dyDescent="0.2">
      <c r="A740" s="49">
        <v>55.26</v>
      </c>
      <c r="B740" s="52">
        <v>0</v>
      </c>
      <c r="C740" s="28"/>
      <c r="D740" s="28"/>
      <c r="E740" s="28"/>
      <c r="F740" s="28"/>
      <c r="G740" s="28"/>
    </row>
    <row r="741" spans="1:7" x14ac:dyDescent="0.2">
      <c r="A741" s="49">
        <v>60</v>
      </c>
      <c r="B741" s="52">
        <v>0</v>
      </c>
      <c r="C741" s="28"/>
      <c r="D741" s="28"/>
      <c r="E741" s="28"/>
      <c r="F741" s="28"/>
      <c r="G741" s="28"/>
    </row>
    <row r="742" spans="1:7" x14ac:dyDescent="0.2">
      <c r="A742" s="49">
        <v>65</v>
      </c>
      <c r="B742" s="52">
        <v>0</v>
      </c>
      <c r="C742" s="28"/>
      <c r="D742" s="28"/>
      <c r="E742" s="28"/>
      <c r="F742" s="28"/>
      <c r="G742" s="28"/>
    </row>
    <row r="743" spans="1:7" x14ac:dyDescent="0.2">
      <c r="A743" s="49">
        <v>71.05</v>
      </c>
      <c r="B743" s="52">
        <v>0</v>
      </c>
      <c r="C743" s="28"/>
      <c r="D743" s="28"/>
      <c r="E743" s="28"/>
      <c r="F743" s="28"/>
      <c r="G743" s="28"/>
    </row>
    <row r="744" spans="1:7" ht="13.5" thickBot="1" x14ac:dyDescent="0.25">
      <c r="A744" s="50">
        <v>100</v>
      </c>
      <c r="B744" s="53">
        <v>0</v>
      </c>
      <c r="C744" s="28"/>
      <c r="D744" s="28"/>
      <c r="E744" s="28"/>
      <c r="F744" s="28"/>
      <c r="G744" s="28"/>
    </row>
    <row r="745" spans="1:7" ht="13.5" thickBot="1" x14ac:dyDescent="0.25">
      <c r="A745"/>
      <c r="B745"/>
      <c r="C745" s="28"/>
      <c r="D745" s="28"/>
      <c r="E745" s="28"/>
      <c r="F745" s="28"/>
      <c r="G745" s="28"/>
    </row>
    <row r="746" spans="1:7" ht="13.5" thickBot="1" x14ac:dyDescent="0.25">
      <c r="A746" s="116" t="s">
        <v>15</v>
      </c>
      <c r="B746" s="25" t="s">
        <v>14</v>
      </c>
      <c r="C746" s="28"/>
      <c r="D746" s="28"/>
      <c r="E746" s="28"/>
      <c r="F746" s="28"/>
      <c r="G746" s="28"/>
    </row>
    <row r="747" spans="1:7" x14ac:dyDescent="0.2">
      <c r="A747" s="37">
        <f t="shared" ref="A747:A754" si="70">A737*F$4/100</f>
        <v>0</v>
      </c>
      <c r="B747" s="38">
        <f t="shared" ref="B747:B754" si="71">B737</f>
        <v>0</v>
      </c>
      <c r="C747" s="28"/>
      <c r="D747" s="28"/>
      <c r="E747" s="28"/>
      <c r="F747" s="28"/>
      <c r="G747" s="28"/>
    </row>
    <row r="748" spans="1:7" x14ac:dyDescent="0.2">
      <c r="A748" s="39">
        <f t="shared" si="70"/>
        <v>0.1578</v>
      </c>
      <c r="B748" s="40">
        <f t="shared" si="71"/>
        <v>0</v>
      </c>
      <c r="C748" s="28"/>
      <c r="D748" s="28"/>
      <c r="E748" s="28"/>
      <c r="F748" s="28"/>
      <c r="G748" s="28"/>
    </row>
    <row r="749" spans="1:7" x14ac:dyDescent="0.2">
      <c r="A749" s="39">
        <f t="shared" si="70"/>
        <v>0.4</v>
      </c>
      <c r="B749" s="40">
        <f t="shared" si="71"/>
        <v>0</v>
      </c>
      <c r="C749" s="28"/>
      <c r="D749" s="28"/>
      <c r="E749" s="28"/>
      <c r="F749" s="28"/>
      <c r="G749" s="28"/>
    </row>
    <row r="750" spans="1:7" x14ac:dyDescent="0.2">
      <c r="A750" s="39">
        <f t="shared" si="70"/>
        <v>1.1052</v>
      </c>
      <c r="B750" s="40">
        <f t="shared" si="71"/>
        <v>0</v>
      </c>
      <c r="C750" s="28"/>
      <c r="D750" s="28"/>
      <c r="E750" s="28"/>
      <c r="F750" s="28"/>
      <c r="G750" s="28"/>
    </row>
    <row r="751" spans="1:7" x14ac:dyDescent="0.2">
      <c r="A751" s="39">
        <f t="shared" si="70"/>
        <v>1.2</v>
      </c>
      <c r="B751" s="40">
        <f t="shared" si="71"/>
        <v>0</v>
      </c>
      <c r="C751" s="28"/>
      <c r="D751" s="28"/>
      <c r="E751" s="28"/>
      <c r="F751" s="28"/>
      <c r="G751" s="28"/>
    </row>
    <row r="752" spans="1:7" x14ac:dyDescent="0.2">
      <c r="A752" s="39">
        <f t="shared" si="70"/>
        <v>1.3</v>
      </c>
      <c r="B752" s="40">
        <f t="shared" si="71"/>
        <v>0</v>
      </c>
      <c r="C752" s="28"/>
      <c r="D752" s="28"/>
      <c r="E752" s="28"/>
      <c r="F752" s="28"/>
      <c r="G752" s="28"/>
    </row>
    <row r="753" spans="1:7" x14ac:dyDescent="0.2">
      <c r="A753" s="39">
        <f t="shared" si="70"/>
        <v>1.421</v>
      </c>
      <c r="B753" s="40">
        <f t="shared" si="71"/>
        <v>0</v>
      </c>
      <c r="C753" s="28"/>
      <c r="D753" s="28"/>
      <c r="E753" s="28"/>
      <c r="F753" s="28"/>
      <c r="G753" s="28"/>
    </row>
    <row r="754" spans="1:7" ht="13.5" thickBot="1" x14ac:dyDescent="0.25">
      <c r="A754" s="41">
        <f t="shared" si="70"/>
        <v>2</v>
      </c>
      <c r="B754" s="42">
        <f t="shared" si="71"/>
        <v>0</v>
      </c>
      <c r="C754" s="28"/>
      <c r="D754" s="28"/>
      <c r="E754" s="28"/>
      <c r="F754" s="28"/>
      <c r="G754" s="28"/>
    </row>
    <row r="755" spans="1:7" x14ac:dyDescent="0.2">
      <c r="A755" s="20"/>
      <c r="B755" s="21"/>
      <c r="C755" s="28"/>
      <c r="D755" s="28"/>
      <c r="E755" s="28"/>
      <c r="F755" s="28"/>
      <c r="G755" s="28"/>
    </row>
    <row r="756" spans="1:7" x14ac:dyDescent="0.2">
      <c r="A756"/>
      <c r="B756"/>
      <c r="C756"/>
      <c r="D756"/>
      <c r="E756"/>
      <c r="F756"/>
      <c r="G756"/>
    </row>
  </sheetData>
  <sheetProtection sheet="1" objects="1" scenarios="1" formatCells="0" selectLockedCells="1"/>
  <mergeCells count="77">
    <mergeCell ref="K43:M43"/>
    <mergeCell ref="D176:F177"/>
    <mergeCell ref="F23:G23"/>
    <mergeCell ref="F24:G24"/>
    <mergeCell ref="F27:G27"/>
    <mergeCell ref="B35:G35"/>
    <mergeCell ref="B36:G36"/>
    <mergeCell ref="B23:D23"/>
    <mergeCell ref="G50:H50"/>
    <mergeCell ref="F29:G29"/>
    <mergeCell ref="L42:M42"/>
    <mergeCell ref="L40:M40"/>
    <mergeCell ref="L41:M41"/>
    <mergeCell ref="B29:D29"/>
    <mergeCell ref="F28:G28"/>
    <mergeCell ref="F18:G18"/>
    <mergeCell ref="F19:G19"/>
    <mergeCell ref="F20:G20"/>
    <mergeCell ref="F21:G21"/>
    <mergeCell ref="F22:G22"/>
    <mergeCell ref="F16:G16"/>
    <mergeCell ref="F17:G17"/>
    <mergeCell ref="B19:D19"/>
    <mergeCell ref="F10:G10"/>
    <mergeCell ref="F11:G11"/>
    <mergeCell ref="F12:G12"/>
    <mergeCell ref="F13:G13"/>
    <mergeCell ref="F14:G14"/>
    <mergeCell ref="F15:G15"/>
    <mergeCell ref="B13:D13"/>
    <mergeCell ref="B14:D14"/>
    <mergeCell ref="B15:D15"/>
    <mergeCell ref="B16:D16"/>
    <mergeCell ref="B10:D10"/>
    <mergeCell ref="B11:D11"/>
    <mergeCell ref="B12:D12"/>
    <mergeCell ref="C1:E1"/>
    <mergeCell ref="B18:D18"/>
    <mergeCell ref="B20:D20"/>
    <mergeCell ref="B22:D22"/>
    <mergeCell ref="B5:D5"/>
    <mergeCell ref="B21:D21"/>
    <mergeCell ref="B7:D7"/>
    <mergeCell ref="B8:D8"/>
    <mergeCell ref="B9:D9"/>
    <mergeCell ref="F3:G3"/>
    <mergeCell ref="C2:E2"/>
    <mergeCell ref="B17:D17"/>
    <mergeCell ref="A39:B39"/>
    <mergeCell ref="F5:G5"/>
    <mergeCell ref="B6:D6"/>
    <mergeCell ref="F6:G6"/>
    <mergeCell ref="B24:D24"/>
    <mergeCell ref="B25:D25"/>
    <mergeCell ref="B26:D26"/>
    <mergeCell ref="B27:D27"/>
    <mergeCell ref="B3:D3"/>
    <mergeCell ref="B4:D4"/>
    <mergeCell ref="F7:G7"/>
    <mergeCell ref="F8:G8"/>
    <mergeCell ref="F9:G9"/>
    <mergeCell ref="A175:D175"/>
    <mergeCell ref="F25:G25"/>
    <mergeCell ref="F26:G26"/>
    <mergeCell ref="F39:G39"/>
    <mergeCell ref="B28:D28"/>
    <mergeCell ref="C43:E43"/>
    <mergeCell ref="B30:D30"/>
    <mergeCell ref="B31:D31"/>
    <mergeCell ref="B32:D32"/>
    <mergeCell ref="B33:D33"/>
    <mergeCell ref="B34:D34"/>
    <mergeCell ref="F30:G30"/>
    <mergeCell ref="F31:G31"/>
    <mergeCell ref="F32:G32"/>
    <mergeCell ref="F33:G33"/>
    <mergeCell ref="F34:G34"/>
  </mergeCells>
  <phoneticPr fontId="0" type="noConversion"/>
  <dataValidations count="8">
    <dataValidation type="decimal" showErrorMessage="1" error="Invalid Entry" sqref="F4">
      <formula1>0.01</formula1>
      <formula2>10</formula2>
    </dataValidation>
    <dataValidation type="whole" showErrorMessage="1" error="Invalid Entry" sqref="B177:B179 B184:B191 B208:B215 B232:B239 B256:B263 B280:B287 B304:B311 B328:B335 B352:B359 B394:B395 B737:B744 B418 B376:B383 B400:B407 B424:B431 B448:B455 B473:B480 B497:B504 B521:B528 B545:B552 B569:B576 B593:B600 B617:B624 B641:B648 B683:B684 B707 B665:B672 B689:B696 B713:B720">
      <formula1>0</formula1>
      <formula2>250</formula2>
    </dataValidation>
    <dataValidation type="decimal" showErrorMessage="1" error="Invalid Entry" sqref="A178:A179 A185:A190 A257:A262 A281:A286 A305:A310 A449:A454 A425:A430 A401:A406 A377:A382 A394:A395 A353:A358 A329:A334 A209:A214 A233:A238 A474:A479 A546:A551 A570:A575 A594:A599 A738:A743 A714:A719 A690:A695 A666:A671 A683:A684 A642:A647 A618:A623 A498:A503 A522:A527">
      <formula1>0</formula1>
      <formula2>100</formula2>
    </dataValidation>
    <dataValidation type="decimal" operator="equal" showErrorMessage="1" error="Invalid Entry" sqref="A177 A184 A304 A280 A256 A448 A424 A400 A232 A376 A208 A352 A328 A473 A593 A569 A545 A737 A713 A689 A521 A665 A497 A641 A617">
      <formula1>0</formula1>
    </dataValidation>
    <dataValidation type="decimal" operator="equal" showErrorMessage="1" error="Invalid Entry" sqref="A191 A455 A431 A383 A407 A418 A215 A239 A263 A287 A311 A335 A359 A480 A744 A720 A672 A696 A707 A504 A528 A552 A576 A600 A624 A648">
      <formula1>100</formula1>
    </dataValidation>
    <dataValidation operator="equal" error="Invalid Entry" sqref="C46:C174 K46:K109"/>
    <dataValidation error="Invalid Entry" sqref="D46:D174 L46:L109"/>
    <dataValidation type="list" showErrorMessage="1" error="Invalid Entry" sqref="B734 B181 B205 B229 B253 B277 B301 B325 B349 B373 B397 B421 B445 B470 B494 B518 B542 B566 B590 B614 B638 B662 B686 B710">
      <formula1>"30, 50, 60"</formula1>
    </dataValidation>
  </dataValidations>
  <pageMargins left="0.75" right="0.75" top="1" bottom="1" header="0.5" footer="0.5"/>
  <pageSetup scale="6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ValidateStand_Click">
                <anchor moveWithCells="1" sizeWithCells="1">
                  <from>
                    <xdr:col>2</xdr:col>
                    <xdr:colOff>942975</xdr:colOff>
                    <xdr:row>36</xdr:row>
                    <xdr:rowOff>152400</xdr:rowOff>
                  </from>
                  <to>
                    <xdr:col>3</xdr:col>
                    <xdr:colOff>1295400</xdr:colOff>
                    <xdr:row>40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S755"/>
  <sheetViews>
    <sheetView zoomScale="80" zoomScaleNormal="80" workbookViewId="0">
      <selection activeCell="A740" sqref="A740"/>
    </sheetView>
  </sheetViews>
  <sheetFormatPr defaultRowHeight="12.75" x14ac:dyDescent="0.2"/>
  <cols>
    <col min="1" max="1" width="11.42578125" customWidth="1"/>
    <col min="2" max="2" width="13.28515625" customWidth="1"/>
    <col min="3" max="3" width="18.85546875" customWidth="1"/>
    <col min="4" max="4" width="19.7109375" customWidth="1"/>
    <col min="5" max="5" width="15.7109375" customWidth="1"/>
    <col min="6" max="6" width="17.85546875" customWidth="1"/>
    <col min="7" max="7" width="44.42578125" customWidth="1"/>
    <col min="9" max="9" width="11" customWidth="1"/>
    <col min="10" max="10" width="14.7109375" customWidth="1"/>
    <col min="11" max="11" width="12.7109375" customWidth="1"/>
    <col min="12" max="12" width="18.5703125" customWidth="1"/>
    <col min="13" max="13" width="17.7109375" customWidth="1"/>
    <col min="14" max="14" width="9.5703125" customWidth="1"/>
  </cols>
  <sheetData>
    <row r="1" spans="1:16" x14ac:dyDescent="0.2">
      <c r="B1" s="5"/>
      <c r="C1" s="385" t="s">
        <v>42</v>
      </c>
      <c r="D1" s="385"/>
      <c r="E1" s="385"/>
      <c r="F1" s="15"/>
      <c r="G1" s="5"/>
      <c r="I1" s="45"/>
      <c r="J1" s="45"/>
      <c r="K1" s="45"/>
      <c r="L1" s="45"/>
      <c r="M1" s="45"/>
    </row>
    <row r="2" spans="1:16" ht="13.5" thickBot="1" x14ac:dyDescent="0.25">
      <c r="B2" s="6"/>
      <c r="C2" s="383" t="s">
        <v>20</v>
      </c>
      <c r="D2" s="383"/>
      <c r="E2" s="383"/>
      <c r="F2" s="6"/>
      <c r="G2" s="6"/>
      <c r="I2" s="45"/>
      <c r="J2" s="45"/>
      <c r="K2" s="45"/>
      <c r="L2" s="45"/>
      <c r="M2" s="45"/>
    </row>
    <row r="3" spans="1:16" ht="13.5" thickBot="1" x14ac:dyDescent="0.25">
      <c r="B3" s="438" t="s">
        <v>5</v>
      </c>
      <c r="C3" s="439"/>
      <c r="D3" s="439"/>
      <c r="E3" s="18" t="s">
        <v>6</v>
      </c>
      <c r="F3" s="436" t="s">
        <v>7</v>
      </c>
      <c r="G3" s="437"/>
      <c r="I3" s="45"/>
      <c r="J3" s="45"/>
      <c r="K3" s="45"/>
      <c r="L3" s="45"/>
      <c r="M3" s="45"/>
    </row>
    <row r="4" spans="1:16" ht="13.5" thickBot="1" x14ac:dyDescent="0.25">
      <c r="B4" s="440" t="s">
        <v>21</v>
      </c>
      <c r="C4" s="441"/>
      <c r="D4" s="441"/>
      <c r="E4" s="195" t="s">
        <v>12</v>
      </c>
      <c r="F4" s="57">
        <v>1.45</v>
      </c>
      <c r="G4" s="36"/>
      <c r="I4" s="45"/>
      <c r="J4" s="45"/>
      <c r="K4" s="45"/>
      <c r="L4" s="45"/>
      <c r="M4" s="45"/>
    </row>
    <row r="5" spans="1:16" x14ac:dyDescent="0.2">
      <c r="B5" s="380" t="s">
        <v>39</v>
      </c>
      <c r="C5" s="384"/>
      <c r="D5" s="384"/>
      <c r="E5" s="352" t="s">
        <v>60</v>
      </c>
      <c r="F5" s="405" t="s">
        <v>115</v>
      </c>
      <c r="G5" s="406"/>
      <c r="I5" s="45"/>
      <c r="J5" s="45"/>
      <c r="K5" s="45"/>
      <c r="L5" s="45"/>
      <c r="M5" s="45"/>
    </row>
    <row r="6" spans="1:16" x14ac:dyDescent="0.2">
      <c r="B6" s="374" t="s">
        <v>40</v>
      </c>
      <c r="C6" s="375"/>
      <c r="D6" s="375"/>
      <c r="E6" s="256" t="s">
        <v>62</v>
      </c>
      <c r="F6" s="393" t="s">
        <v>116</v>
      </c>
      <c r="G6" s="394"/>
      <c r="I6" s="45"/>
      <c r="J6" s="45"/>
      <c r="K6" s="45"/>
      <c r="L6" s="45"/>
      <c r="M6" s="45"/>
    </row>
    <row r="7" spans="1:16" x14ac:dyDescent="0.2">
      <c r="B7" s="374" t="s">
        <v>41</v>
      </c>
      <c r="C7" s="375"/>
      <c r="D7" s="375"/>
      <c r="E7" s="256" t="s">
        <v>62</v>
      </c>
      <c r="F7" s="393" t="s">
        <v>117</v>
      </c>
      <c r="G7" s="394"/>
      <c r="I7" s="45"/>
      <c r="J7" s="45"/>
      <c r="K7" s="45"/>
      <c r="L7" s="45"/>
      <c r="M7" s="45"/>
    </row>
    <row r="8" spans="1:16" x14ac:dyDescent="0.2">
      <c r="B8" s="374" t="s">
        <v>43</v>
      </c>
      <c r="C8" s="375"/>
      <c r="D8" s="375"/>
      <c r="E8" s="256" t="s">
        <v>62</v>
      </c>
      <c r="F8" s="393" t="s">
        <v>118</v>
      </c>
      <c r="G8" s="394"/>
      <c r="I8" s="45"/>
      <c r="J8" s="45"/>
      <c r="K8" s="45"/>
      <c r="L8" s="45"/>
      <c r="M8" s="45"/>
    </row>
    <row r="9" spans="1:16" x14ac:dyDescent="0.2">
      <c r="B9" s="374" t="s">
        <v>44</v>
      </c>
      <c r="C9" s="375"/>
      <c r="D9" s="375"/>
      <c r="E9" s="256" t="s">
        <v>62</v>
      </c>
      <c r="F9" s="393" t="s">
        <v>119</v>
      </c>
      <c r="G9" s="394"/>
      <c r="H9" s="5"/>
      <c r="I9" s="43"/>
      <c r="J9" s="43"/>
      <c r="K9" s="43"/>
      <c r="L9" s="43"/>
      <c r="M9" s="43"/>
      <c r="N9" s="5"/>
      <c r="O9" s="5"/>
      <c r="P9" s="5"/>
    </row>
    <row r="10" spans="1:16" x14ac:dyDescent="0.2">
      <c r="A10" s="6"/>
      <c r="B10" s="374" t="s">
        <v>45</v>
      </c>
      <c r="C10" s="375"/>
      <c r="D10" s="375"/>
      <c r="E10" s="256" t="s">
        <v>62</v>
      </c>
      <c r="F10" s="393" t="s">
        <v>120</v>
      </c>
      <c r="G10" s="394"/>
      <c r="H10" s="6"/>
      <c r="I10" s="33"/>
      <c r="J10" s="33"/>
      <c r="K10" s="46"/>
      <c r="L10" s="46"/>
      <c r="M10" s="46"/>
      <c r="N10" s="5"/>
      <c r="O10" s="5"/>
      <c r="P10" s="5"/>
    </row>
    <row r="11" spans="1:16" x14ac:dyDescent="0.2">
      <c r="A11" s="9"/>
      <c r="B11" s="374" t="s">
        <v>46</v>
      </c>
      <c r="C11" s="375"/>
      <c r="D11" s="375"/>
      <c r="E11" s="256" t="s">
        <v>62</v>
      </c>
      <c r="F11" s="393" t="s">
        <v>121</v>
      </c>
      <c r="G11" s="394"/>
      <c r="H11" s="6"/>
      <c r="I11" s="33"/>
      <c r="J11" s="33"/>
      <c r="K11" s="46"/>
      <c r="L11" s="46"/>
      <c r="M11" s="46"/>
      <c r="N11" s="5"/>
      <c r="O11" s="5"/>
      <c r="P11" s="5"/>
    </row>
    <row r="12" spans="1:16" x14ac:dyDescent="0.2">
      <c r="A12" s="9"/>
      <c r="B12" s="374" t="s">
        <v>47</v>
      </c>
      <c r="C12" s="375"/>
      <c r="D12" s="375"/>
      <c r="E12" s="256" t="s">
        <v>62</v>
      </c>
      <c r="F12" s="393" t="s">
        <v>122</v>
      </c>
      <c r="G12" s="394"/>
      <c r="H12" s="189"/>
      <c r="I12" s="33"/>
      <c r="J12" s="33"/>
      <c r="K12" s="46"/>
      <c r="L12" s="46"/>
      <c r="M12" s="46"/>
      <c r="N12" s="5"/>
      <c r="O12" s="5"/>
      <c r="P12" s="5"/>
    </row>
    <row r="13" spans="1:16" x14ac:dyDescent="0.2">
      <c r="A13" s="9"/>
      <c r="B13" s="374" t="s">
        <v>48</v>
      </c>
      <c r="C13" s="375"/>
      <c r="D13" s="375"/>
      <c r="E13" s="256" t="s">
        <v>62</v>
      </c>
      <c r="F13" s="393" t="s">
        <v>123</v>
      </c>
      <c r="G13" s="394"/>
      <c r="H13" s="189"/>
      <c r="I13" s="33"/>
      <c r="J13" s="33"/>
      <c r="K13" s="46"/>
      <c r="L13" s="46"/>
      <c r="M13" s="46"/>
      <c r="N13" s="5"/>
      <c r="O13" s="5"/>
      <c r="P13" s="5"/>
    </row>
    <row r="14" spans="1:16" x14ac:dyDescent="0.2">
      <c r="A14" s="9"/>
      <c r="B14" s="374" t="s">
        <v>49</v>
      </c>
      <c r="C14" s="375"/>
      <c r="D14" s="375"/>
      <c r="E14" s="256" t="s">
        <v>62</v>
      </c>
      <c r="F14" s="393" t="s">
        <v>124</v>
      </c>
      <c r="G14" s="394"/>
      <c r="H14" s="189"/>
      <c r="I14" s="33"/>
      <c r="J14" s="33"/>
      <c r="K14" s="46"/>
      <c r="L14" s="46"/>
      <c r="M14" s="46"/>
      <c r="N14" s="5"/>
      <c r="O14" s="5"/>
      <c r="P14" s="5"/>
    </row>
    <row r="15" spans="1:16" x14ac:dyDescent="0.2">
      <c r="A15" s="9"/>
      <c r="B15" s="374" t="s">
        <v>50</v>
      </c>
      <c r="C15" s="375"/>
      <c r="D15" s="375"/>
      <c r="E15" s="256" t="s">
        <v>62</v>
      </c>
      <c r="F15" s="393" t="s">
        <v>130</v>
      </c>
      <c r="G15" s="394"/>
      <c r="H15" s="189"/>
      <c r="I15" s="33"/>
      <c r="J15" s="33"/>
      <c r="K15" s="46"/>
      <c r="L15" s="46"/>
      <c r="M15" s="46"/>
      <c r="N15" s="5"/>
      <c r="O15" s="5"/>
      <c r="P15" s="5"/>
    </row>
    <row r="16" spans="1:16" x14ac:dyDescent="0.2">
      <c r="A16" s="9"/>
      <c r="B16" s="374" t="s">
        <v>51</v>
      </c>
      <c r="C16" s="375"/>
      <c r="D16" s="375"/>
      <c r="E16" s="256" t="s">
        <v>62</v>
      </c>
      <c r="F16" s="393" t="s">
        <v>125</v>
      </c>
      <c r="G16" s="394"/>
      <c r="H16" s="189"/>
      <c r="I16" s="33"/>
      <c r="J16" s="33"/>
      <c r="K16" s="46"/>
      <c r="L16" s="46"/>
      <c r="M16" s="46"/>
      <c r="N16" s="5"/>
      <c r="O16" s="5"/>
      <c r="P16" s="5"/>
    </row>
    <row r="17" spans="1:16" x14ac:dyDescent="0.2">
      <c r="A17" s="9"/>
      <c r="B17" s="374" t="s">
        <v>52</v>
      </c>
      <c r="C17" s="375"/>
      <c r="D17" s="375"/>
      <c r="E17" s="256" t="s">
        <v>62</v>
      </c>
      <c r="F17" s="418" t="s">
        <v>126</v>
      </c>
      <c r="G17" s="419"/>
      <c r="H17" s="189"/>
      <c r="I17" s="33"/>
      <c r="J17" s="33"/>
      <c r="K17" s="46"/>
      <c r="L17" s="46"/>
      <c r="M17" s="46"/>
      <c r="N17" s="5"/>
      <c r="O17" s="5"/>
      <c r="P17" s="5"/>
    </row>
    <row r="18" spans="1:16" x14ac:dyDescent="0.2">
      <c r="A18" s="9"/>
      <c r="B18" s="374" t="s">
        <v>53</v>
      </c>
      <c r="C18" s="375"/>
      <c r="D18" s="375"/>
      <c r="E18" s="256" t="s">
        <v>62</v>
      </c>
      <c r="F18" s="393" t="s">
        <v>127</v>
      </c>
      <c r="G18" s="394"/>
      <c r="H18" s="189"/>
      <c r="I18" s="33"/>
      <c r="J18" s="33"/>
      <c r="K18" s="46"/>
      <c r="L18" s="46"/>
      <c r="M18" s="46"/>
      <c r="N18" s="5"/>
      <c r="O18" s="5"/>
      <c r="P18" s="5"/>
    </row>
    <row r="19" spans="1:16" x14ac:dyDescent="0.2">
      <c r="A19" s="9"/>
      <c r="B19" s="374" t="s">
        <v>54</v>
      </c>
      <c r="C19" s="375"/>
      <c r="D19" s="375"/>
      <c r="E19" s="256" t="s">
        <v>62</v>
      </c>
      <c r="F19" s="393" t="s">
        <v>128</v>
      </c>
      <c r="G19" s="394"/>
      <c r="H19" s="189"/>
      <c r="I19" s="33"/>
      <c r="J19" s="33"/>
      <c r="K19" s="46"/>
      <c r="L19" s="46"/>
      <c r="M19" s="46"/>
      <c r="N19" s="5"/>
      <c r="O19" s="5"/>
      <c r="P19" s="5"/>
    </row>
    <row r="20" spans="1:16" ht="13.5" thickBot="1" x14ac:dyDescent="0.25">
      <c r="A20" s="9"/>
      <c r="B20" s="382" t="s">
        <v>55</v>
      </c>
      <c r="C20" s="383"/>
      <c r="D20" s="383"/>
      <c r="E20" s="353" t="s">
        <v>62</v>
      </c>
      <c r="F20" s="420" t="s">
        <v>129</v>
      </c>
      <c r="G20" s="421"/>
      <c r="H20" s="189"/>
      <c r="I20" s="33"/>
      <c r="J20" s="33"/>
      <c r="K20" s="46"/>
      <c r="L20" s="46"/>
      <c r="M20" s="46"/>
      <c r="N20" s="5"/>
      <c r="O20" s="5"/>
      <c r="P20" s="5"/>
    </row>
    <row r="21" spans="1:16" x14ac:dyDescent="0.2">
      <c r="A21" s="9"/>
      <c r="B21" s="380" t="s">
        <v>56</v>
      </c>
      <c r="C21" s="384"/>
      <c r="D21" s="384"/>
      <c r="E21" s="290" t="s">
        <v>61</v>
      </c>
      <c r="F21" s="418" t="s">
        <v>131</v>
      </c>
      <c r="G21" s="419"/>
      <c r="H21" s="189"/>
      <c r="I21" s="33"/>
      <c r="J21" s="33"/>
      <c r="K21" s="46"/>
      <c r="L21" s="46"/>
      <c r="M21" s="46"/>
      <c r="N21" s="5"/>
      <c r="O21" s="5"/>
      <c r="P21" s="5"/>
    </row>
    <row r="22" spans="1:16" x14ac:dyDescent="0.2">
      <c r="A22" s="9"/>
      <c r="B22" s="374" t="s">
        <v>57</v>
      </c>
      <c r="C22" s="375"/>
      <c r="D22" s="375"/>
      <c r="E22" s="31" t="s">
        <v>63</v>
      </c>
      <c r="F22" s="393" t="s">
        <v>132</v>
      </c>
      <c r="G22" s="394"/>
      <c r="H22" s="189"/>
      <c r="I22" s="33"/>
      <c r="J22" s="33"/>
      <c r="K22" s="46"/>
      <c r="L22" s="46"/>
      <c r="M22" s="46"/>
      <c r="N22" s="5"/>
      <c r="O22" s="5"/>
      <c r="P22" s="5"/>
    </row>
    <row r="23" spans="1:16" x14ac:dyDescent="0.2">
      <c r="A23" s="9"/>
      <c r="B23" s="374" t="s">
        <v>64</v>
      </c>
      <c r="C23" s="375"/>
      <c r="D23" s="375"/>
      <c r="E23" s="31" t="s">
        <v>63</v>
      </c>
      <c r="F23" s="393" t="s">
        <v>133</v>
      </c>
      <c r="G23" s="394"/>
      <c r="H23" s="189"/>
      <c r="I23" s="33"/>
      <c r="J23" s="33"/>
      <c r="K23" s="46"/>
      <c r="L23" s="46"/>
      <c r="M23" s="46"/>
      <c r="N23" s="5"/>
      <c r="O23" s="5"/>
      <c r="P23" s="5"/>
    </row>
    <row r="24" spans="1:16" x14ac:dyDescent="0.2">
      <c r="A24" s="9"/>
      <c r="B24" s="374" t="s">
        <v>65</v>
      </c>
      <c r="C24" s="375"/>
      <c r="D24" s="375"/>
      <c r="E24" s="31" t="s">
        <v>63</v>
      </c>
      <c r="F24" s="393" t="s">
        <v>134</v>
      </c>
      <c r="G24" s="394"/>
      <c r="H24" s="189"/>
      <c r="I24" s="33"/>
      <c r="J24" s="33"/>
      <c r="K24" s="46"/>
      <c r="L24" s="46"/>
      <c r="M24" s="46"/>
      <c r="N24" s="5"/>
      <c r="O24" s="5"/>
      <c r="P24" s="5"/>
    </row>
    <row r="25" spans="1:16" x14ac:dyDescent="0.2">
      <c r="A25" s="9"/>
      <c r="B25" s="374" t="s">
        <v>66</v>
      </c>
      <c r="C25" s="375"/>
      <c r="D25" s="375"/>
      <c r="E25" s="31" t="s">
        <v>63</v>
      </c>
      <c r="F25" s="393" t="s">
        <v>135</v>
      </c>
      <c r="G25" s="394"/>
      <c r="H25" s="189"/>
      <c r="I25" s="33"/>
      <c r="J25" s="33"/>
      <c r="K25" s="46"/>
      <c r="L25" s="46"/>
      <c r="M25" s="46"/>
      <c r="N25" s="5"/>
      <c r="O25" s="5"/>
      <c r="P25" s="5"/>
    </row>
    <row r="26" spans="1:16" x14ac:dyDescent="0.2">
      <c r="A26" s="9"/>
      <c r="B26" s="374" t="s">
        <v>67</v>
      </c>
      <c r="C26" s="375"/>
      <c r="D26" s="375"/>
      <c r="E26" s="31" t="s">
        <v>63</v>
      </c>
      <c r="F26" s="393" t="s">
        <v>136</v>
      </c>
      <c r="G26" s="394"/>
      <c r="H26" s="189"/>
      <c r="I26" s="33"/>
      <c r="J26" s="33"/>
      <c r="K26" s="46"/>
      <c r="L26" s="46"/>
      <c r="M26" s="46"/>
      <c r="N26" s="5"/>
      <c r="O26" s="5"/>
      <c r="P26" s="5"/>
    </row>
    <row r="27" spans="1:16" x14ac:dyDescent="0.2">
      <c r="A27" s="9"/>
      <c r="B27" s="374" t="s">
        <v>68</v>
      </c>
      <c r="C27" s="375"/>
      <c r="D27" s="375"/>
      <c r="E27" s="31" t="s">
        <v>63</v>
      </c>
      <c r="F27" s="393" t="s">
        <v>137</v>
      </c>
      <c r="G27" s="394"/>
      <c r="H27" s="189"/>
      <c r="I27" s="33"/>
      <c r="J27" s="33"/>
      <c r="K27" s="46"/>
      <c r="L27" s="46"/>
      <c r="M27" s="46"/>
      <c r="N27" s="5"/>
      <c r="O27" s="5"/>
      <c r="P27" s="5"/>
    </row>
    <row r="28" spans="1:16" ht="13.5" thickBot="1" x14ac:dyDescent="0.25">
      <c r="A28" s="9"/>
      <c r="B28" s="396" t="s">
        <v>69</v>
      </c>
      <c r="C28" s="376"/>
      <c r="D28" s="376"/>
      <c r="E28" s="206" t="s">
        <v>63</v>
      </c>
      <c r="F28" s="428" t="s">
        <v>138</v>
      </c>
      <c r="G28" s="429"/>
      <c r="H28" s="189"/>
      <c r="I28" s="33"/>
      <c r="J28" s="33"/>
      <c r="K28" s="46"/>
      <c r="L28" s="46"/>
      <c r="M28" s="46"/>
      <c r="N28" s="5"/>
      <c r="O28" s="5"/>
      <c r="P28" s="5"/>
    </row>
    <row r="29" spans="1:16" x14ac:dyDescent="0.2">
      <c r="A29" s="9"/>
      <c r="B29" s="380" t="s">
        <v>70</v>
      </c>
      <c r="C29" s="381"/>
      <c r="D29" s="391"/>
      <c r="E29" s="290" t="s">
        <v>71</v>
      </c>
      <c r="F29" s="405" t="s">
        <v>139</v>
      </c>
      <c r="G29" s="406"/>
      <c r="H29" s="189"/>
      <c r="I29" s="33"/>
      <c r="J29" s="33"/>
      <c r="K29" s="46"/>
      <c r="L29" s="46"/>
      <c r="M29" s="46"/>
      <c r="N29" s="5"/>
      <c r="O29" s="5"/>
      <c r="P29" s="5"/>
    </row>
    <row r="30" spans="1:16" ht="13.5" thickBot="1" x14ac:dyDescent="0.25">
      <c r="A30" s="9"/>
      <c r="B30" s="372" t="s">
        <v>72</v>
      </c>
      <c r="C30" s="373"/>
      <c r="D30" s="392"/>
      <c r="E30" s="293" t="s">
        <v>71</v>
      </c>
      <c r="F30" s="403" t="s">
        <v>140</v>
      </c>
      <c r="G30" s="404"/>
      <c r="H30" s="348"/>
      <c r="I30" s="33"/>
      <c r="J30" s="33"/>
      <c r="K30" s="46"/>
      <c r="L30" s="46"/>
      <c r="M30" s="46"/>
      <c r="N30" s="5"/>
      <c r="O30" s="5"/>
      <c r="P30" s="5"/>
    </row>
    <row r="31" spans="1:16" x14ac:dyDescent="0.2">
      <c r="A31" s="9"/>
      <c r="B31" s="374" t="s">
        <v>111</v>
      </c>
      <c r="C31" s="398"/>
      <c r="D31" s="399"/>
      <c r="E31" s="31" t="s">
        <v>113</v>
      </c>
      <c r="F31" s="405" t="s">
        <v>141</v>
      </c>
      <c r="G31" s="406"/>
      <c r="H31" s="348"/>
      <c r="I31" s="33"/>
      <c r="J31" s="33"/>
      <c r="K31" s="46"/>
      <c r="L31" s="46"/>
      <c r="M31" s="46"/>
      <c r="N31" s="5"/>
      <c r="O31" s="5"/>
      <c r="P31" s="5"/>
    </row>
    <row r="32" spans="1:16" ht="13.5" thickBot="1" x14ac:dyDescent="0.25">
      <c r="A32" s="9"/>
      <c r="B32" s="400" t="s">
        <v>112</v>
      </c>
      <c r="C32" s="401"/>
      <c r="D32" s="402"/>
      <c r="E32" s="206" t="s">
        <v>113</v>
      </c>
      <c r="F32" s="407" t="s">
        <v>142</v>
      </c>
      <c r="G32" s="408"/>
      <c r="H32" s="348"/>
      <c r="I32" s="33"/>
      <c r="J32" s="33"/>
      <c r="K32" s="46"/>
      <c r="L32" s="46"/>
      <c r="M32" s="46"/>
      <c r="N32" s="5"/>
      <c r="O32" s="5"/>
      <c r="P32" s="5"/>
    </row>
    <row r="33" spans="1:19" x14ac:dyDescent="0.2">
      <c r="A33" s="9"/>
      <c r="B33" s="380" t="s">
        <v>107</v>
      </c>
      <c r="C33" s="381"/>
      <c r="D33" s="381"/>
      <c r="E33" s="290" t="s">
        <v>10</v>
      </c>
      <c r="F33" s="377" t="s">
        <v>110</v>
      </c>
      <c r="G33" s="378"/>
      <c r="H33" s="348"/>
      <c r="I33" s="33"/>
      <c r="J33" s="33"/>
      <c r="K33" s="46"/>
      <c r="L33" s="46"/>
      <c r="M33" s="46"/>
      <c r="N33" s="5"/>
      <c r="O33" s="5"/>
      <c r="P33" s="5"/>
    </row>
    <row r="34" spans="1:19" ht="13.5" thickBot="1" x14ac:dyDescent="0.25">
      <c r="A34" s="9"/>
      <c r="B34" s="382" t="s">
        <v>108</v>
      </c>
      <c r="C34" s="388"/>
      <c r="D34" s="388"/>
      <c r="E34" s="293" t="s">
        <v>10</v>
      </c>
      <c r="F34" s="389" t="s">
        <v>109</v>
      </c>
      <c r="G34" s="390"/>
      <c r="H34" s="189"/>
      <c r="I34" s="33"/>
      <c r="J34" s="33"/>
      <c r="K34" s="46"/>
      <c r="L34" s="46"/>
      <c r="M34" s="46"/>
      <c r="N34" s="5"/>
      <c r="O34" s="5"/>
      <c r="P34" s="5"/>
    </row>
    <row r="35" spans="1:19" x14ac:dyDescent="0.2">
      <c r="A35" s="9"/>
      <c r="B35" s="379" t="s">
        <v>58</v>
      </c>
      <c r="C35" s="379"/>
      <c r="D35" s="379"/>
      <c r="E35" s="379"/>
      <c r="F35" s="423"/>
      <c r="G35" s="379"/>
      <c r="H35" s="189"/>
      <c r="I35" s="33"/>
      <c r="J35" s="33"/>
      <c r="K35" s="46"/>
      <c r="L35" s="46"/>
      <c r="M35" s="46"/>
      <c r="N35" s="5"/>
      <c r="O35" s="5"/>
      <c r="P35" s="5"/>
    </row>
    <row r="36" spans="1:19" x14ac:dyDescent="0.2">
      <c r="A36" s="9"/>
      <c r="B36" s="379" t="s">
        <v>59</v>
      </c>
      <c r="C36" s="379"/>
      <c r="D36" s="379"/>
      <c r="E36" s="379"/>
      <c r="F36" s="423"/>
      <c r="G36" s="379"/>
      <c r="H36" s="189"/>
      <c r="I36" s="33"/>
      <c r="J36" s="33"/>
      <c r="K36" s="46"/>
      <c r="L36" s="46"/>
      <c r="M36" s="46"/>
      <c r="N36" s="5"/>
      <c r="O36" s="5"/>
      <c r="P36" s="5"/>
    </row>
    <row r="37" spans="1:19" x14ac:dyDescent="0.2">
      <c r="A37" s="9"/>
      <c r="B37" s="190"/>
      <c r="C37" s="190"/>
      <c r="D37" s="190"/>
      <c r="E37" s="190"/>
      <c r="F37" s="351"/>
      <c r="G37" s="190"/>
      <c r="H37" s="190"/>
      <c r="I37" s="202"/>
      <c r="J37" s="202"/>
      <c r="K37" s="196"/>
      <c r="L37" s="196"/>
      <c r="M37" s="196"/>
      <c r="N37" s="9"/>
      <c r="O37" s="9"/>
      <c r="P37" s="9"/>
      <c r="Q37" s="4"/>
      <c r="R37" s="4"/>
      <c r="S37" s="4"/>
    </row>
    <row r="38" spans="1:19" x14ac:dyDescent="0.2">
      <c r="A38" s="190"/>
      <c r="B38" s="190"/>
      <c r="C38" s="190"/>
      <c r="D38" s="190"/>
      <c r="E38" s="192"/>
      <c r="F38" s="351"/>
      <c r="G38" s="190"/>
      <c r="H38" s="190"/>
      <c r="I38" s="203"/>
      <c r="J38" s="203"/>
      <c r="K38" s="196"/>
      <c r="L38" s="196"/>
      <c r="M38" s="196"/>
      <c r="N38" s="9"/>
      <c r="O38" s="9"/>
      <c r="P38" s="9"/>
      <c r="Q38" s="4"/>
      <c r="R38" s="4"/>
      <c r="S38" s="4"/>
    </row>
    <row r="39" spans="1:19" ht="18" x14ac:dyDescent="0.25">
      <c r="A39" s="366"/>
      <c r="B39" s="366"/>
      <c r="C39" s="19"/>
      <c r="D39" s="8"/>
      <c r="E39" s="28"/>
      <c r="F39" s="364" t="s">
        <v>114</v>
      </c>
      <c r="G39" s="395"/>
      <c r="H39" s="4"/>
      <c r="I39" s="202"/>
      <c r="J39" s="202"/>
      <c r="K39" s="44"/>
      <c r="L39" s="197"/>
      <c r="M39" s="197"/>
      <c r="N39" s="4"/>
      <c r="O39" s="4"/>
      <c r="P39" s="4"/>
      <c r="Q39" s="4"/>
      <c r="R39" s="4"/>
      <c r="S39" s="4"/>
    </row>
    <row r="40" spans="1:19" x14ac:dyDescent="0.2">
      <c r="A40" s="9"/>
      <c r="B40" s="9"/>
      <c r="C40" s="4"/>
      <c r="D40" s="13"/>
      <c r="E40" s="30"/>
      <c r="F40" s="205"/>
      <c r="G40" s="9"/>
      <c r="H40" s="4"/>
      <c r="I40" s="202"/>
      <c r="J40" s="202"/>
      <c r="K40" s="47"/>
      <c r="L40" s="431"/>
      <c r="M40" s="432"/>
      <c r="N40" s="9"/>
      <c r="O40" s="9"/>
      <c r="P40" s="9"/>
      <c r="Q40" s="4"/>
      <c r="R40" s="4"/>
      <c r="S40" s="4"/>
    </row>
    <row r="41" spans="1:19" x14ac:dyDescent="0.2">
      <c r="A41" s="4"/>
      <c r="B41" s="4"/>
      <c r="C41" s="4"/>
      <c r="D41" s="4"/>
      <c r="E41" s="4"/>
      <c r="F41" s="205"/>
      <c r="G41" s="14"/>
      <c r="H41" s="4"/>
      <c r="I41" s="202"/>
      <c r="J41" s="202"/>
      <c r="K41" s="44"/>
      <c r="L41" s="433"/>
      <c r="M41" s="433"/>
      <c r="N41" s="4"/>
      <c r="O41" s="4"/>
      <c r="P41" s="4"/>
      <c r="Q41" s="4"/>
      <c r="R41" s="4"/>
      <c r="S41" s="4"/>
    </row>
    <row r="42" spans="1:19" ht="13.5" thickBot="1" x14ac:dyDescent="0.25">
      <c r="A42" s="204"/>
      <c r="B42" s="4"/>
      <c r="C42" s="376"/>
      <c r="D42" s="376"/>
      <c r="E42" s="4"/>
      <c r="F42" s="434"/>
      <c r="G42" s="376"/>
      <c r="H42" s="4"/>
      <c r="I42" s="202"/>
      <c r="J42" s="202"/>
      <c r="K42" s="44"/>
      <c r="L42" s="432"/>
      <c r="M42" s="432"/>
      <c r="N42" s="4"/>
      <c r="O42" s="4"/>
      <c r="P42" s="4"/>
      <c r="Q42" s="4"/>
      <c r="R42" s="4"/>
      <c r="S42" s="4"/>
    </row>
    <row r="43" spans="1:19" x14ac:dyDescent="0.2">
      <c r="A43" s="211"/>
      <c r="B43" s="212"/>
      <c r="C43" s="368" t="s">
        <v>20</v>
      </c>
      <c r="D43" s="367"/>
      <c r="E43" s="397"/>
      <c r="F43" s="271"/>
      <c r="G43" s="257"/>
      <c r="H43" s="257"/>
      <c r="I43" s="213"/>
      <c r="J43" s="214"/>
      <c r="K43" s="359" t="s">
        <v>20</v>
      </c>
      <c r="L43" s="359"/>
      <c r="M43" s="360"/>
      <c r="N43" s="4"/>
      <c r="O43" s="4"/>
      <c r="P43" s="4"/>
      <c r="Q43" s="4"/>
      <c r="R43" s="4"/>
      <c r="S43" s="4"/>
    </row>
    <row r="44" spans="1:19" x14ac:dyDescent="0.2">
      <c r="A44" s="215"/>
      <c r="B44" s="216"/>
      <c r="C44" s="215"/>
      <c r="D44" s="217"/>
      <c r="E44" s="258"/>
      <c r="F44" s="272"/>
      <c r="G44" s="259"/>
      <c r="H44" s="257"/>
      <c r="I44" s="218"/>
      <c r="J44" s="219"/>
      <c r="K44" s="220"/>
      <c r="L44" s="220"/>
      <c r="M44" s="260"/>
      <c r="N44" s="4"/>
      <c r="O44" s="4"/>
      <c r="P44" s="4"/>
      <c r="Q44" s="4"/>
      <c r="R44" s="4"/>
      <c r="S44" s="4"/>
    </row>
    <row r="45" spans="1:19" ht="13.5" thickBot="1" x14ac:dyDescent="0.25">
      <c r="A45" s="221" t="s">
        <v>73</v>
      </c>
      <c r="B45" s="222" t="s">
        <v>0</v>
      </c>
      <c r="C45" s="221" t="s">
        <v>1</v>
      </c>
      <c r="D45" s="224" t="s">
        <v>2</v>
      </c>
      <c r="E45" s="222" t="s">
        <v>19</v>
      </c>
      <c r="F45" s="273"/>
      <c r="G45" s="262"/>
      <c r="H45" s="257"/>
      <c r="I45" s="227" t="s">
        <v>73</v>
      </c>
      <c r="J45" s="228" t="s">
        <v>0</v>
      </c>
      <c r="K45" s="229" t="s">
        <v>1</v>
      </c>
      <c r="L45" s="230" t="s">
        <v>2</v>
      </c>
      <c r="M45" s="228" t="s">
        <v>19</v>
      </c>
      <c r="N45" s="4"/>
      <c r="O45" s="4"/>
      <c r="P45" s="4"/>
      <c r="Q45" s="4"/>
      <c r="R45" s="4"/>
      <c r="S45" s="4"/>
    </row>
    <row r="46" spans="1:19" x14ac:dyDescent="0.2">
      <c r="A46" s="277" t="s">
        <v>74</v>
      </c>
      <c r="B46" s="232" t="str">
        <f>Walk!$B$46</f>
        <v>Muscle 0</v>
      </c>
      <c r="C46" s="148">
        <f t="shared" ref="C46:D51" si="0">A184</f>
        <v>0</v>
      </c>
      <c r="D46" s="147">
        <f t="shared" si="0"/>
        <v>100</v>
      </c>
      <c r="E46" s="185">
        <f>B181</f>
        <v>60</v>
      </c>
      <c r="F46" s="273"/>
      <c r="G46" s="262"/>
      <c r="H46" s="257"/>
      <c r="I46" s="321" t="s">
        <v>91</v>
      </c>
      <c r="J46" s="234" t="str">
        <f>Walk!$J$46</f>
        <v>Muscle 16</v>
      </c>
      <c r="K46" s="178">
        <f t="shared" ref="K46:L53" si="1">A569</f>
        <v>0</v>
      </c>
      <c r="L46" s="179">
        <f t="shared" si="1"/>
        <v>25</v>
      </c>
      <c r="M46" s="187">
        <f>B566</f>
        <v>60</v>
      </c>
      <c r="N46" s="4"/>
      <c r="O46" s="4"/>
      <c r="P46" s="4"/>
      <c r="Q46" s="4"/>
      <c r="R46" s="4"/>
      <c r="S46" s="4"/>
    </row>
    <row r="47" spans="1:19" x14ac:dyDescent="0.2">
      <c r="A47" s="231"/>
      <c r="B47" s="235"/>
      <c r="C47" s="153">
        <f t="shared" si="0"/>
        <v>50</v>
      </c>
      <c r="D47" s="152">
        <f t="shared" si="0"/>
        <v>50</v>
      </c>
      <c r="E47" s="235"/>
      <c r="F47" s="273"/>
      <c r="G47" s="262"/>
      <c r="H47" s="257"/>
      <c r="I47" s="233"/>
      <c r="J47" s="237"/>
      <c r="K47" s="172">
        <f t="shared" si="1"/>
        <v>50</v>
      </c>
      <c r="L47" s="173">
        <f t="shared" si="1"/>
        <v>13</v>
      </c>
      <c r="M47" s="237"/>
      <c r="N47" s="4"/>
      <c r="O47" s="4"/>
      <c r="P47" s="4"/>
      <c r="Q47" s="4"/>
      <c r="R47" s="4"/>
      <c r="S47" s="4"/>
    </row>
    <row r="48" spans="1:19" x14ac:dyDescent="0.2">
      <c r="A48" s="231"/>
      <c r="B48" s="235"/>
      <c r="C48" s="153">
        <f t="shared" si="0"/>
        <v>55</v>
      </c>
      <c r="D48" s="152">
        <f t="shared" si="0"/>
        <v>50</v>
      </c>
      <c r="E48" s="235"/>
      <c r="F48" s="273"/>
      <c r="G48" s="262"/>
      <c r="H48" s="257"/>
      <c r="I48" s="233"/>
      <c r="J48" s="237"/>
      <c r="K48" s="172">
        <f t="shared" si="1"/>
        <v>55</v>
      </c>
      <c r="L48" s="173">
        <f t="shared" si="1"/>
        <v>13</v>
      </c>
      <c r="M48" s="237"/>
      <c r="N48" s="4"/>
      <c r="O48" s="4"/>
      <c r="P48" s="4"/>
      <c r="Q48" s="4"/>
      <c r="R48" s="4"/>
      <c r="S48" s="4"/>
    </row>
    <row r="49" spans="1:19" x14ac:dyDescent="0.2">
      <c r="A49" s="231"/>
      <c r="B49" s="235"/>
      <c r="C49" s="153">
        <f t="shared" si="0"/>
        <v>60</v>
      </c>
      <c r="D49" s="152">
        <f t="shared" si="0"/>
        <v>50</v>
      </c>
      <c r="E49" s="235"/>
      <c r="F49" s="273"/>
      <c r="G49" s="262"/>
      <c r="H49" s="257"/>
      <c r="I49" s="233"/>
      <c r="J49" s="237"/>
      <c r="K49" s="172">
        <f t="shared" si="1"/>
        <v>60</v>
      </c>
      <c r="L49" s="173">
        <f t="shared" si="1"/>
        <v>13</v>
      </c>
      <c r="M49" s="237"/>
      <c r="N49" s="4"/>
      <c r="O49" s="4"/>
      <c r="P49" s="4"/>
      <c r="Q49" s="4"/>
      <c r="R49" s="4"/>
      <c r="S49" s="4"/>
    </row>
    <row r="50" spans="1:19" x14ac:dyDescent="0.2">
      <c r="A50" s="231"/>
      <c r="B50" s="235"/>
      <c r="C50" s="153">
        <f t="shared" si="0"/>
        <v>75</v>
      </c>
      <c r="D50" s="152">
        <f t="shared" si="0"/>
        <v>50</v>
      </c>
      <c r="E50" s="235"/>
      <c r="F50" s="273"/>
      <c r="G50" s="262"/>
      <c r="H50" s="257"/>
      <c r="I50" s="233"/>
      <c r="J50" s="237"/>
      <c r="K50" s="172">
        <f t="shared" si="1"/>
        <v>75</v>
      </c>
      <c r="L50" s="173">
        <f t="shared" si="1"/>
        <v>13</v>
      </c>
      <c r="M50" s="237"/>
      <c r="N50" s="4"/>
      <c r="O50" s="4"/>
      <c r="P50" s="4"/>
      <c r="Q50" s="4"/>
      <c r="R50" s="4"/>
      <c r="S50" s="4"/>
    </row>
    <row r="51" spans="1:19" x14ac:dyDescent="0.2">
      <c r="A51" s="231"/>
      <c r="B51" s="235"/>
      <c r="C51" s="153">
        <f t="shared" si="0"/>
        <v>88</v>
      </c>
      <c r="D51" s="152">
        <f t="shared" si="0"/>
        <v>26</v>
      </c>
      <c r="E51" s="235"/>
      <c r="F51" s="273"/>
      <c r="G51" s="262"/>
      <c r="H51" s="257"/>
      <c r="I51" s="233"/>
      <c r="J51" s="237"/>
      <c r="K51" s="172">
        <f t="shared" si="1"/>
        <v>88</v>
      </c>
      <c r="L51" s="173">
        <f t="shared" si="1"/>
        <v>7</v>
      </c>
      <c r="M51" s="237"/>
      <c r="N51" s="4"/>
      <c r="O51" s="4"/>
      <c r="P51" s="4"/>
      <c r="Q51" s="4"/>
      <c r="R51" s="4"/>
      <c r="S51" s="4"/>
    </row>
    <row r="52" spans="1:19" x14ac:dyDescent="0.2">
      <c r="A52" s="231"/>
      <c r="B52" s="235"/>
      <c r="C52" s="153">
        <f>A190</f>
        <v>94</v>
      </c>
      <c r="D52" s="152">
        <f>B190</f>
        <v>13</v>
      </c>
      <c r="E52" s="235"/>
      <c r="F52" s="273"/>
      <c r="G52" s="262"/>
      <c r="H52" s="257"/>
      <c r="I52" s="233"/>
      <c r="J52" s="237"/>
      <c r="K52" s="172">
        <f t="shared" si="1"/>
        <v>94</v>
      </c>
      <c r="L52" s="173">
        <f t="shared" si="1"/>
        <v>3</v>
      </c>
      <c r="M52" s="237"/>
      <c r="N52" s="4"/>
      <c r="O52" s="4"/>
      <c r="P52" s="4"/>
      <c r="Q52" s="4"/>
      <c r="R52" s="4"/>
      <c r="S52" s="4"/>
    </row>
    <row r="53" spans="1:19" ht="13.5" thickBot="1" x14ac:dyDescent="0.25">
      <c r="A53" s="238"/>
      <c r="B53" s="239"/>
      <c r="C53" s="157">
        <f>A191</f>
        <v>100</v>
      </c>
      <c r="D53" s="156">
        <f>B191</f>
        <v>0</v>
      </c>
      <c r="E53" s="239"/>
      <c r="F53" s="273"/>
      <c r="G53" s="262"/>
      <c r="H53" s="257"/>
      <c r="I53" s="241"/>
      <c r="J53" s="242"/>
      <c r="K53" s="176">
        <f t="shared" si="1"/>
        <v>100</v>
      </c>
      <c r="L53" s="177">
        <f t="shared" si="1"/>
        <v>0</v>
      </c>
      <c r="M53" s="242"/>
      <c r="N53" s="4"/>
      <c r="O53" s="4"/>
      <c r="P53" s="4"/>
      <c r="Q53" s="4"/>
      <c r="R53" s="4"/>
      <c r="S53" s="4"/>
    </row>
    <row r="54" spans="1:19" x14ac:dyDescent="0.2">
      <c r="A54" s="277" t="s">
        <v>75</v>
      </c>
      <c r="B54" s="232" t="str">
        <f>Walk!$B$54</f>
        <v>Muscle 1</v>
      </c>
      <c r="C54" s="148">
        <f t="shared" ref="C54:D59" si="2">A208</f>
        <v>0</v>
      </c>
      <c r="D54" s="147">
        <f t="shared" si="2"/>
        <v>0</v>
      </c>
      <c r="E54" s="186">
        <f>B205</f>
        <v>30</v>
      </c>
      <c r="F54" s="273"/>
      <c r="G54" s="262"/>
      <c r="H54" s="257"/>
      <c r="I54" s="321" t="s">
        <v>92</v>
      </c>
      <c r="J54" s="234" t="str">
        <f>Walk!$J$54</f>
        <v>Muscle 17</v>
      </c>
      <c r="K54" s="178">
        <f t="shared" ref="K54:L61" si="3">A593</f>
        <v>0</v>
      </c>
      <c r="L54" s="179">
        <f t="shared" si="3"/>
        <v>50</v>
      </c>
      <c r="M54" s="252">
        <f>B590</f>
        <v>60</v>
      </c>
      <c r="N54" s="4"/>
      <c r="O54" s="4"/>
      <c r="P54" s="4"/>
      <c r="Q54" s="4"/>
      <c r="R54" s="4"/>
      <c r="S54" s="4"/>
    </row>
    <row r="55" spans="1:19" x14ac:dyDescent="0.2">
      <c r="A55" s="231"/>
      <c r="B55" s="235"/>
      <c r="C55" s="153">
        <f t="shared" si="2"/>
        <v>10</v>
      </c>
      <c r="D55" s="152">
        <f t="shared" si="2"/>
        <v>0</v>
      </c>
      <c r="E55" s="235"/>
      <c r="F55" s="273"/>
      <c r="G55" s="262"/>
      <c r="H55" s="257"/>
      <c r="I55" s="233"/>
      <c r="J55" s="237"/>
      <c r="K55" s="172">
        <f t="shared" si="3"/>
        <v>10</v>
      </c>
      <c r="L55" s="173">
        <f t="shared" si="3"/>
        <v>50</v>
      </c>
      <c r="M55" s="253"/>
      <c r="N55" s="4"/>
      <c r="O55" s="4"/>
      <c r="P55" s="4"/>
      <c r="Q55" s="4"/>
      <c r="R55" s="4"/>
      <c r="S55" s="4"/>
    </row>
    <row r="56" spans="1:19" x14ac:dyDescent="0.2">
      <c r="A56" s="231"/>
      <c r="B56" s="235"/>
      <c r="C56" s="153">
        <f t="shared" si="2"/>
        <v>50</v>
      </c>
      <c r="D56" s="152">
        <f t="shared" si="2"/>
        <v>0</v>
      </c>
      <c r="E56" s="235"/>
      <c r="F56" s="261"/>
      <c r="G56" s="262"/>
      <c r="H56" s="257"/>
      <c r="I56" s="233"/>
      <c r="J56" s="237"/>
      <c r="K56" s="172">
        <f t="shared" si="3"/>
        <v>50</v>
      </c>
      <c r="L56" s="173">
        <f t="shared" si="3"/>
        <v>50</v>
      </c>
      <c r="M56" s="253"/>
      <c r="N56" s="4"/>
      <c r="O56" s="4"/>
      <c r="P56" s="4"/>
      <c r="Q56" s="4"/>
      <c r="R56" s="4"/>
      <c r="S56" s="4"/>
    </row>
    <row r="57" spans="1:19" x14ac:dyDescent="0.2">
      <c r="A57" s="231"/>
      <c r="B57" s="235"/>
      <c r="C57" s="153">
        <f t="shared" si="2"/>
        <v>75</v>
      </c>
      <c r="D57" s="152">
        <f t="shared" si="2"/>
        <v>0</v>
      </c>
      <c r="E57" s="235"/>
      <c r="F57" s="261"/>
      <c r="G57" s="262"/>
      <c r="H57" s="257"/>
      <c r="I57" s="233"/>
      <c r="J57" s="237"/>
      <c r="K57" s="172">
        <f t="shared" si="3"/>
        <v>75</v>
      </c>
      <c r="L57" s="173">
        <f t="shared" si="3"/>
        <v>50</v>
      </c>
      <c r="M57" s="253"/>
      <c r="N57" s="4"/>
      <c r="O57" s="4"/>
      <c r="P57" s="4"/>
      <c r="Q57" s="4"/>
      <c r="R57" s="4"/>
      <c r="S57" s="4"/>
    </row>
    <row r="58" spans="1:19" x14ac:dyDescent="0.2">
      <c r="A58" s="231"/>
      <c r="B58" s="235"/>
      <c r="C58" s="153">
        <f t="shared" si="2"/>
        <v>88</v>
      </c>
      <c r="D58" s="152">
        <f t="shared" si="2"/>
        <v>0</v>
      </c>
      <c r="E58" s="235"/>
      <c r="F58" s="261"/>
      <c r="G58" s="262"/>
      <c r="H58" s="257"/>
      <c r="I58" s="233"/>
      <c r="J58" s="237"/>
      <c r="K58" s="172">
        <f t="shared" si="3"/>
        <v>88</v>
      </c>
      <c r="L58" s="173">
        <f t="shared" si="3"/>
        <v>50</v>
      </c>
      <c r="M58" s="253"/>
      <c r="N58" s="4"/>
      <c r="O58" s="4"/>
      <c r="P58" s="4"/>
      <c r="Q58" s="4"/>
      <c r="R58" s="4"/>
      <c r="S58" s="4"/>
    </row>
    <row r="59" spans="1:19" x14ac:dyDescent="0.2">
      <c r="A59" s="231"/>
      <c r="B59" s="235"/>
      <c r="C59" s="153">
        <f t="shared" si="2"/>
        <v>94</v>
      </c>
      <c r="D59" s="152">
        <f t="shared" si="2"/>
        <v>0</v>
      </c>
      <c r="E59" s="235"/>
      <c r="F59" s="261"/>
      <c r="G59" s="262"/>
      <c r="H59" s="257"/>
      <c r="I59" s="233"/>
      <c r="J59" s="237"/>
      <c r="K59" s="172">
        <f t="shared" si="3"/>
        <v>94</v>
      </c>
      <c r="L59" s="173">
        <f t="shared" si="3"/>
        <v>50</v>
      </c>
      <c r="M59" s="253"/>
      <c r="N59" s="4"/>
      <c r="O59" s="4"/>
      <c r="P59" s="4"/>
      <c r="Q59" s="4"/>
      <c r="R59" s="4"/>
      <c r="S59" s="4"/>
    </row>
    <row r="60" spans="1:19" x14ac:dyDescent="0.2">
      <c r="A60" s="231"/>
      <c r="B60" s="235"/>
      <c r="C60" s="153">
        <f>A214</f>
        <v>95</v>
      </c>
      <c r="D60" s="152">
        <f>B214</f>
        <v>0</v>
      </c>
      <c r="E60" s="235"/>
      <c r="F60" s="261"/>
      <c r="G60" s="262"/>
      <c r="H60" s="257"/>
      <c r="I60" s="233"/>
      <c r="J60" s="237"/>
      <c r="K60" s="172">
        <f t="shared" si="3"/>
        <v>95</v>
      </c>
      <c r="L60" s="173">
        <f t="shared" si="3"/>
        <v>50</v>
      </c>
      <c r="M60" s="253"/>
      <c r="N60" s="4"/>
      <c r="O60" s="4"/>
      <c r="P60" s="4"/>
      <c r="Q60" s="4"/>
      <c r="R60" s="4"/>
      <c r="S60" s="4"/>
    </row>
    <row r="61" spans="1:19" ht="13.5" thickBot="1" x14ac:dyDescent="0.25">
      <c r="A61" s="238"/>
      <c r="B61" s="239"/>
      <c r="C61" s="157">
        <f>A215</f>
        <v>100</v>
      </c>
      <c r="D61" s="156">
        <f>B215</f>
        <v>0</v>
      </c>
      <c r="E61" s="239"/>
      <c r="F61" s="261"/>
      <c r="G61" s="262"/>
      <c r="H61" s="257"/>
      <c r="I61" s="241"/>
      <c r="J61" s="242"/>
      <c r="K61" s="176">
        <f t="shared" si="3"/>
        <v>100</v>
      </c>
      <c r="L61" s="177">
        <f t="shared" si="3"/>
        <v>50</v>
      </c>
      <c r="M61" s="254"/>
      <c r="N61" s="4"/>
      <c r="O61" s="4"/>
      <c r="P61" s="4"/>
      <c r="Q61" s="4"/>
      <c r="R61" s="4"/>
      <c r="S61" s="4"/>
    </row>
    <row r="62" spans="1:19" x14ac:dyDescent="0.2">
      <c r="A62" s="277" t="s">
        <v>76</v>
      </c>
      <c r="B62" s="243" t="str">
        <f>Walk!$B$62</f>
        <v>Muscle 2</v>
      </c>
      <c r="C62" s="160">
        <f t="shared" ref="C62:D67" si="4">A232</f>
        <v>0</v>
      </c>
      <c r="D62" s="165">
        <f t="shared" si="4"/>
        <v>20</v>
      </c>
      <c r="E62" s="186">
        <f>B229</f>
        <v>60</v>
      </c>
      <c r="F62" s="261"/>
      <c r="G62" s="262"/>
      <c r="H62" s="257"/>
      <c r="I62" s="321" t="s">
        <v>93</v>
      </c>
      <c r="J62" s="234" t="str">
        <f>Walk!$J$62</f>
        <v>Muscle 18</v>
      </c>
      <c r="K62" s="178">
        <f t="shared" ref="K62:L69" si="5">A617</f>
        <v>0</v>
      </c>
      <c r="L62" s="179">
        <f t="shared" si="5"/>
        <v>0</v>
      </c>
      <c r="M62" s="187">
        <f>B614</f>
        <v>60</v>
      </c>
      <c r="N62" s="4"/>
      <c r="O62" s="4"/>
      <c r="P62" s="4"/>
      <c r="Q62" s="4"/>
      <c r="R62" s="4"/>
      <c r="S62" s="4"/>
    </row>
    <row r="63" spans="1:19" x14ac:dyDescent="0.2">
      <c r="A63" s="231"/>
      <c r="B63" s="235"/>
      <c r="C63" s="153">
        <f t="shared" si="4"/>
        <v>50</v>
      </c>
      <c r="D63" s="152">
        <f t="shared" si="4"/>
        <v>10</v>
      </c>
      <c r="E63" s="235"/>
      <c r="F63" s="261"/>
      <c r="G63" s="262"/>
      <c r="H63" s="257"/>
      <c r="I63" s="233"/>
      <c r="J63" s="237"/>
      <c r="K63" s="172">
        <f t="shared" si="5"/>
        <v>10</v>
      </c>
      <c r="L63" s="173">
        <f t="shared" si="5"/>
        <v>0</v>
      </c>
      <c r="M63" s="237"/>
      <c r="N63" s="4"/>
      <c r="O63" s="4"/>
      <c r="P63" s="4"/>
      <c r="Q63" s="4"/>
      <c r="R63" s="4"/>
      <c r="S63" s="4"/>
    </row>
    <row r="64" spans="1:19" x14ac:dyDescent="0.2">
      <c r="A64" s="231"/>
      <c r="B64" s="235"/>
      <c r="C64" s="153">
        <f t="shared" si="4"/>
        <v>55</v>
      </c>
      <c r="D64" s="152">
        <f t="shared" si="4"/>
        <v>10</v>
      </c>
      <c r="E64" s="235"/>
      <c r="F64" s="261"/>
      <c r="G64" s="262"/>
      <c r="H64" s="257"/>
      <c r="I64" s="233"/>
      <c r="J64" s="237"/>
      <c r="K64" s="172">
        <f t="shared" si="5"/>
        <v>50</v>
      </c>
      <c r="L64" s="173">
        <f t="shared" si="5"/>
        <v>0</v>
      </c>
      <c r="M64" s="237"/>
      <c r="N64" s="4"/>
      <c r="O64" s="4"/>
      <c r="P64" s="4"/>
      <c r="Q64" s="4"/>
      <c r="R64" s="4"/>
      <c r="S64" s="4"/>
    </row>
    <row r="65" spans="1:19" x14ac:dyDescent="0.2">
      <c r="A65" s="231"/>
      <c r="B65" s="235"/>
      <c r="C65" s="153">
        <f t="shared" si="4"/>
        <v>60</v>
      </c>
      <c r="D65" s="152">
        <f t="shared" si="4"/>
        <v>10</v>
      </c>
      <c r="E65" s="235"/>
      <c r="F65" s="261"/>
      <c r="G65" s="262"/>
      <c r="H65" s="257"/>
      <c r="I65" s="233"/>
      <c r="J65" s="237"/>
      <c r="K65" s="172">
        <f t="shared" si="5"/>
        <v>75</v>
      </c>
      <c r="L65" s="173">
        <f t="shared" si="5"/>
        <v>0</v>
      </c>
      <c r="M65" s="237"/>
      <c r="N65" s="4"/>
      <c r="O65" s="4"/>
      <c r="P65" s="4"/>
      <c r="Q65" s="4"/>
      <c r="R65" s="4"/>
      <c r="S65" s="4"/>
    </row>
    <row r="66" spans="1:19" x14ac:dyDescent="0.2">
      <c r="A66" s="231"/>
      <c r="B66" s="235"/>
      <c r="C66" s="153">
        <f t="shared" si="4"/>
        <v>75</v>
      </c>
      <c r="D66" s="152">
        <f t="shared" si="4"/>
        <v>10</v>
      </c>
      <c r="E66" s="235"/>
      <c r="F66" s="261"/>
      <c r="G66" s="262"/>
      <c r="H66" s="257"/>
      <c r="I66" s="233"/>
      <c r="J66" s="237"/>
      <c r="K66" s="172">
        <f t="shared" si="5"/>
        <v>88</v>
      </c>
      <c r="L66" s="173">
        <f t="shared" si="5"/>
        <v>0</v>
      </c>
      <c r="M66" s="237"/>
      <c r="N66" s="4"/>
      <c r="O66" s="4"/>
      <c r="P66" s="4"/>
      <c r="Q66" s="4"/>
      <c r="R66" s="4"/>
      <c r="S66" s="4"/>
    </row>
    <row r="67" spans="1:19" x14ac:dyDescent="0.2">
      <c r="A67" s="231"/>
      <c r="B67" s="235"/>
      <c r="C67" s="153">
        <f t="shared" si="4"/>
        <v>88</v>
      </c>
      <c r="D67" s="152">
        <f t="shared" si="4"/>
        <v>5</v>
      </c>
      <c r="E67" s="235"/>
      <c r="F67" s="261"/>
      <c r="G67" s="262"/>
      <c r="H67" s="257"/>
      <c r="I67" s="233"/>
      <c r="J67" s="237"/>
      <c r="K67" s="172">
        <f t="shared" si="5"/>
        <v>94</v>
      </c>
      <c r="L67" s="173">
        <f t="shared" si="5"/>
        <v>0</v>
      </c>
      <c r="M67" s="237"/>
      <c r="N67" s="4"/>
      <c r="O67" s="4"/>
      <c r="P67" s="4"/>
      <c r="Q67" s="4"/>
      <c r="R67" s="4"/>
      <c r="S67" s="4"/>
    </row>
    <row r="68" spans="1:19" x14ac:dyDescent="0.2">
      <c r="A68" s="231"/>
      <c r="B68" s="235"/>
      <c r="C68" s="153">
        <f>A238</f>
        <v>94</v>
      </c>
      <c r="D68" s="152">
        <f>B238</f>
        <v>3</v>
      </c>
      <c r="E68" s="235"/>
      <c r="F68" s="261"/>
      <c r="G68" s="262"/>
      <c r="H68" s="257"/>
      <c r="I68" s="233"/>
      <c r="J68" s="237"/>
      <c r="K68" s="172">
        <f t="shared" si="5"/>
        <v>95</v>
      </c>
      <c r="L68" s="173">
        <f t="shared" si="5"/>
        <v>0</v>
      </c>
      <c r="M68" s="237"/>
      <c r="N68" s="4"/>
      <c r="O68" s="4"/>
      <c r="P68" s="4"/>
      <c r="Q68" s="4"/>
      <c r="R68" s="4"/>
      <c r="S68" s="4"/>
    </row>
    <row r="69" spans="1:19" ht="13.5" thickBot="1" x14ac:dyDescent="0.25">
      <c r="A69" s="238"/>
      <c r="B69" s="239"/>
      <c r="C69" s="157">
        <f>A239</f>
        <v>100</v>
      </c>
      <c r="D69" s="156">
        <f>B239</f>
        <v>0</v>
      </c>
      <c r="E69" s="239"/>
      <c r="F69" s="261"/>
      <c r="G69" s="262"/>
      <c r="H69" s="257"/>
      <c r="I69" s="241"/>
      <c r="J69" s="242"/>
      <c r="K69" s="176">
        <f t="shared" si="5"/>
        <v>100</v>
      </c>
      <c r="L69" s="177">
        <f t="shared" si="5"/>
        <v>0</v>
      </c>
      <c r="M69" s="242"/>
      <c r="N69" s="4"/>
      <c r="O69" s="4"/>
      <c r="P69" s="4"/>
      <c r="Q69" s="4"/>
      <c r="R69" s="4"/>
      <c r="S69" s="4"/>
    </row>
    <row r="70" spans="1:19" x14ac:dyDescent="0.2">
      <c r="A70" s="277" t="s">
        <v>77</v>
      </c>
      <c r="B70" s="232" t="str">
        <f>Walk!$B$70</f>
        <v>Muscle 3</v>
      </c>
      <c r="C70" s="148">
        <f t="shared" ref="C70:D75" si="6">A256</f>
        <v>0</v>
      </c>
      <c r="D70" s="147">
        <f t="shared" si="6"/>
        <v>150</v>
      </c>
      <c r="E70" s="264">
        <f>B253</f>
        <v>30</v>
      </c>
      <c r="F70" s="261"/>
      <c r="G70" s="262"/>
      <c r="H70" s="257"/>
      <c r="I70" s="321" t="s">
        <v>94</v>
      </c>
      <c r="J70" s="234" t="str">
        <f>Walk!$J$70</f>
        <v>Muscle 19</v>
      </c>
      <c r="K70" s="180">
        <f t="shared" ref="K70:L77" si="7">A641</f>
        <v>0</v>
      </c>
      <c r="L70" s="179">
        <f t="shared" si="7"/>
        <v>100</v>
      </c>
      <c r="M70" s="252">
        <f>B638</f>
        <v>30</v>
      </c>
      <c r="N70" s="4"/>
      <c r="O70" s="4"/>
      <c r="P70" s="4"/>
      <c r="Q70" s="4"/>
      <c r="R70" s="4"/>
      <c r="S70" s="4"/>
    </row>
    <row r="71" spans="1:19" x14ac:dyDescent="0.2">
      <c r="A71" s="231"/>
      <c r="B71" s="235"/>
      <c r="C71" s="153">
        <f t="shared" si="6"/>
        <v>10</v>
      </c>
      <c r="D71" s="152">
        <f t="shared" si="6"/>
        <v>150</v>
      </c>
      <c r="E71" s="265"/>
      <c r="F71" s="261"/>
      <c r="G71" s="262"/>
      <c r="H71" s="257"/>
      <c r="I71" s="233"/>
      <c r="J71" s="237"/>
      <c r="K71" s="174">
        <f t="shared" si="7"/>
        <v>10</v>
      </c>
      <c r="L71" s="173">
        <f t="shared" si="7"/>
        <v>100</v>
      </c>
      <c r="M71" s="253"/>
      <c r="N71" s="4"/>
      <c r="O71" s="4"/>
      <c r="P71" s="4"/>
      <c r="Q71" s="4"/>
      <c r="R71" s="4"/>
      <c r="S71" s="4"/>
    </row>
    <row r="72" spans="1:19" x14ac:dyDescent="0.2">
      <c r="A72" s="231"/>
      <c r="B72" s="235"/>
      <c r="C72" s="153">
        <f t="shared" si="6"/>
        <v>50</v>
      </c>
      <c r="D72" s="152">
        <f t="shared" si="6"/>
        <v>150</v>
      </c>
      <c r="E72" s="265"/>
      <c r="F72" s="261"/>
      <c r="G72" s="262"/>
      <c r="H72" s="257"/>
      <c r="I72" s="233"/>
      <c r="J72" s="237"/>
      <c r="K72" s="174">
        <f t="shared" si="7"/>
        <v>50</v>
      </c>
      <c r="L72" s="173">
        <f t="shared" si="7"/>
        <v>100</v>
      </c>
      <c r="M72" s="253"/>
      <c r="N72" s="4"/>
      <c r="O72" s="4"/>
      <c r="P72" s="4"/>
      <c r="Q72" s="4"/>
      <c r="R72" s="4"/>
      <c r="S72" s="4"/>
    </row>
    <row r="73" spans="1:19" x14ac:dyDescent="0.2">
      <c r="A73" s="231"/>
      <c r="B73" s="235"/>
      <c r="C73" s="153">
        <f t="shared" si="6"/>
        <v>80</v>
      </c>
      <c r="D73" s="152">
        <f t="shared" si="6"/>
        <v>150</v>
      </c>
      <c r="E73" s="265"/>
      <c r="F73" s="261"/>
      <c r="G73" s="262"/>
      <c r="H73" s="257"/>
      <c r="I73" s="233"/>
      <c r="J73" s="237"/>
      <c r="K73" s="174">
        <f t="shared" si="7"/>
        <v>75</v>
      </c>
      <c r="L73" s="173">
        <f t="shared" si="7"/>
        <v>100</v>
      </c>
      <c r="M73" s="253"/>
      <c r="N73" s="4"/>
      <c r="O73" s="4"/>
      <c r="P73" s="4"/>
      <c r="Q73" s="4"/>
      <c r="R73" s="4"/>
      <c r="S73" s="4"/>
    </row>
    <row r="74" spans="1:19" x14ac:dyDescent="0.2">
      <c r="A74" s="231"/>
      <c r="B74" s="235"/>
      <c r="C74" s="153">
        <f t="shared" si="6"/>
        <v>90</v>
      </c>
      <c r="D74" s="152">
        <f t="shared" si="6"/>
        <v>75</v>
      </c>
      <c r="E74" s="265"/>
      <c r="F74" s="261"/>
      <c r="G74" s="262"/>
      <c r="H74" s="257"/>
      <c r="I74" s="233"/>
      <c r="J74" s="237"/>
      <c r="K74" s="174">
        <f t="shared" si="7"/>
        <v>88</v>
      </c>
      <c r="L74" s="173">
        <f t="shared" si="7"/>
        <v>100</v>
      </c>
      <c r="M74" s="253"/>
      <c r="N74" s="4"/>
      <c r="O74" s="4"/>
      <c r="P74" s="4"/>
      <c r="Q74" s="4"/>
      <c r="R74" s="4"/>
      <c r="S74" s="4"/>
    </row>
    <row r="75" spans="1:19" x14ac:dyDescent="0.2">
      <c r="A75" s="231"/>
      <c r="B75" s="235"/>
      <c r="C75" s="153">
        <f t="shared" si="6"/>
        <v>95</v>
      </c>
      <c r="D75" s="152">
        <f t="shared" si="6"/>
        <v>38</v>
      </c>
      <c r="E75" s="265"/>
      <c r="F75" s="261"/>
      <c r="G75" s="262"/>
      <c r="H75" s="257"/>
      <c r="I75" s="233"/>
      <c r="J75" s="237"/>
      <c r="K75" s="174">
        <f t="shared" si="7"/>
        <v>94</v>
      </c>
      <c r="L75" s="173">
        <f t="shared" si="7"/>
        <v>100</v>
      </c>
      <c r="M75" s="253"/>
      <c r="N75" s="4"/>
      <c r="O75" s="4"/>
      <c r="P75" s="4"/>
      <c r="Q75" s="4"/>
      <c r="R75" s="4"/>
      <c r="S75" s="4"/>
    </row>
    <row r="76" spans="1:19" x14ac:dyDescent="0.2">
      <c r="A76" s="231"/>
      <c r="B76" s="235"/>
      <c r="C76" s="153">
        <f>A262</f>
        <v>98</v>
      </c>
      <c r="D76" s="152">
        <f>B262</f>
        <v>23</v>
      </c>
      <c r="E76" s="265"/>
      <c r="F76" s="261"/>
      <c r="G76" s="262"/>
      <c r="H76" s="257"/>
      <c r="I76" s="233"/>
      <c r="J76" s="237"/>
      <c r="K76" s="174">
        <f t="shared" si="7"/>
        <v>95</v>
      </c>
      <c r="L76" s="173">
        <f t="shared" si="7"/>
        <v>100</v>
      </c>
      <c r="M76" s="253"/>
      <c r="N76" s="4"/>
      <c r="O76" s="4"/>
      <c r="P76" s="4"/>
      <c r="Q76" s="4"/>
      <c r="R76" s="4"/>
      <c r="S76" s="4"/>
    </row>
    <row r="77" spans="1:19" ht="13.5" thickBot="1" x14ac:dyDescent="0.25">
      <c r="A77" s="238"/>
      <c r="B77" s="239"/>
      <c r="C77" s="157">
        <f>A263</f>
        <v>100</v>
      </c>
      <c r="D77" s="156">
        <f>B263</f>
        <v>0</v>
      </c>
      <c r="E77" s="266"/>
      <c r="F77" s="261"/>
      <c r="G77" s="262"/>
      <c r="H77" s="257"/>
      <c r="I77" s="233"/>
      <c r="J77" s="237"/>
      <c r="K77" s="354">
        <f t="shared" si="7"/>
        <v>100</v>
      </c>
      <c r="L77" s="355">
        <f t="shared" si="7"/>
        <v>100</v>
      </c>
      <c r="M77" s="253"/>
      <c r="N77" s="4"/>
      <c r="O77" s="4"/>
      <c r="P77" s="4"/>
      <c r="Q77" s="4"/>
      <c r="R77" s="4"/>
      <c r="S77" s="4"/>
    </row>
    <row r="78" spans="1:19" x14ac:dyDescent="0.2">
      <c r="A78" s="277" t="s">
        <v>78</v>
      </c>
      <c r="B78" s="232" t="str">
        <f>Walk!$B$78</f>
        <v>Muscle 4</v>
      </c>
      <c r="C78" s="148">
        <f t="shared" ref="C78:D83" si="8">A280</f>
        <v>0</v>
      </c>
      <c r="D78" s="147">
        <f t="shared" si="8"/>
        <v>125</v>
      </c>
      <c r="E78" s="185">
        <f>B277</f>
        <v>60</v>
      </c>
      <c r="F78" s="261"/>
      <c r="G78" s="262"/>
      <c r="H78" s="257"/>
      <c r="I78" s="336" t="s">
        <v>95</v>
      </c>
      <c r="J78" s="356" t="str">
        <f>Walk!$J$78</f>
        <v>Muscle 20</v>
      </c>
      <c r="K78" s="178">
        <f t="shared" ref="K78:L85" si="9">A665</f>
        <v>0</v>
      </c>
      <c r="L78" s="357">
        <f t="shared" si="9"/>
        <v>200</v>
      </c>
      <c r="M78" s="187">
        <f>B662</f>
        <v>30</v>
      </c>
      <c r="N78" s="4"/>
      <c r="O78" s="4"/>
      <c r="P78" s="4"/>
      <c r="Q78" s="4"/>
      <c r="R78" s="4"/>
      <c r="S78" s="4"/>
    </row>
    <row r="79" spans="1:19" x14ac:dyDescent="0.2">
      <c r="A79" s="231"/>
      <c r="B79" s="235"/>
      <c r="C79" s="153">
        <f t="shared" si="8"/>
        <v>40</v>
      </c>
      <c r="D79" s="152">
        <f t="shared" si="8"/>
        <v>0</v>
      </c>
      <c r="E79" s="235"/>
      <c r="F79" s="261"/>
      <c r="G79" s="262"/>
      <c r="H79" s="257"/>
      <c r="I79" s="233"/>
      <c r="J79" s="237"/>
      <c r="K79" s="181">
        <f t="shared" si="9"/>
        <v>7.89</v>
      </c>
      <c r="L79" s="182">
        <f t="shared" si="9"/>
        <v>200</v>
      </c>
      <c r="M79" s="237"/>
      <c r="N79" s="4"/>
      <c r="O79" s="4"/>
      <c r="P79" s="4"/>
      <c r="Q79" s="4"/>
      <c r="R79" s="4"/>
      <c r="S79" s="4"/>
    </row>
    <row r="80" spans="1:19" x14ac:dyDescent="0.2">
      <c r="A80" s="231"/>
      <c r="B80" s="235"/>
      <c r="C80" s="153">
        <f t="shared" si="8"/>
        <v>70</v>
      </c>
      <c r="D80" s="152">
        <f t="shared" si="8"/>
        <v>0</v>
      </c>
      <c r="E80" s="235"/>
      <c r="F80" s="261"/>
      <c r="G80" s="262"/>
      <c r="H80" s="257"/>
      <c r="I80" s="233"/>
      <c r="J80" s="237"/>
      <c r="K80" s="181">
        <f t="shared" si="9"/>
        <v>20</v>
      </c>
      <c r="L80" s="182">
        <f t="shared" si="9"/>
        <v>200</v>
      </c>
      <c r="M80" s="237"/>
      <c r="N80" s="4"/>
      <c r="O80" s="4"/>
      <c r="P80" s="4"/>
      <c r="Q80" s="4"/>
      <c r="R80" s="4"/>
      <c r="S80" s="4"/>
    </row>
    <row r="81" spans="1:19" x14ac:dyDescent="0.2">
      <c r="A81" s="231"/>
      <c r="B81" s="235"/>
      <c r="C81" s="153">
        <f t="shared" si="8"/>
        <v>85</v>
      </c>
      <c r="D81" s="152">
        <f t="shared" si="8"/>
        <v>0</v>
      </c>
      <c r="E81" s="235"/>
      <c r="F81" s="261"/>
      <c r="G81" s="262"/>
      <c r="H81" s="257"/>
      <c r="I81" s="233"/>
      <c r="J81" s="237"/>
      <c r="K81" s="181">
        <f t="shared" si="9"/>
        <v>55.26</v>
      </c>
      <c r="L81" s="182">
        <f t="shared" si="9"/>
        <v>200</v>
      </c>
      <c r="M81" s="237"/>
      <c r="N81" s="4"/>
      <c r="O81" s="4"/>
      <c r="P81" s="4"/>
      <c r="Q81" s="4"/>
      <c r="R81" s="4"/>
      <c r="S81" s="4"/>
    </row>
    <row r="82" spans="1:19" x14ac:dyDescent="0.2">
      <c r="A82" s="231"/>
      <c r="B82" s="235"/>
      <c r="C82" s="153">
        <f t="shared" si="8"/>
        <v>93</v>
      </c>
      <c r="D82" s="152">
        <f t="shared" si="8"/>
        <v>0</v>
      </c>
      <c r="E82" s="235"/>
      <c r="F82" s="261"/>
      <c r="G82" s="262"/>
      <c r="H82" s="257"/>
      <c r="I82" s="233"/>
      <c r="J82" s="237"/>
      <c r="K82" s="181">
        <f t="shared" si="9"/>
        <v>60</v>
      </c>
      <c r="L82" s="182">
        <f t="shared" si="9"/>
        <v>200</v>
      </c>
      <c r="M82" s="237"/>
      <c r="N82" s="4"/>
      <c r="O82" s="4"/>
      <c r="P82" s="4"/>
      <c r="Q82" s="4"/>
      <c r="R82" s="4"/>
      <c r="S82" s="4"/>
    </row>
    <row r="83" spans="1:19" x14ac:dyDescent="0.2">
      <c r="A83" s="231"/>
      <c r="B83" s="235"/>
      <c r="C83" s="153">
        <f t="shared" si="8"/>
        <v>95</v>
      </c>
      <c r="D83" s="152">
        <f t="shared" si="8"/>
        <v>0</v>
      </c>
      <c r="E83" s="235"/>
      <c r="F83" s="261"/>
      <c r="G83" s="262"/>
      <c r="H83" s="257"/>
      <c r="I83" s="233"/>
      <c r="J83" s="237"/>
      <c r="K83" s="181">
        <f t="shared" si="9"/>
        <v>65</v>
      </c>
      <c r="L83" s="182">
        <f t="shared" si="9"/>
        <v>200</v>
      </c>
      <c r="M83" s="237"/>
      <c r="N83" s="4"/>
      <c r="O83" s="4"/>
      <c r="P83" s="4"/>
      <c r="Q83" s="4"/>
      <c r="R83" s="4"/>
      <c r="S83" s="4"/>
    </row>
    <row r="84" spans="1:19" x14ac:dyDescent="0.2">
      <c r="A84" s="231"/>
      <c r="B84" s="235"/>
      <c r="C84" s="153">
        <f>A286</f>
        <v>98</v>
      </c>
      <c r="D84" s="152">
        <f>B286</f>
        <v>0</v>
      </c>
      <c r="E84" s="235"/>
      <c r="F84" s="261"/>
      <c r="G84" s="262"/>
      <c r="H84" s="257"/>
      <c r="I84" s="233"/>
      <c r="J84" s="237"/>
      <c r="K84" s="181">
        <f t="shared" si="9"/>
        <v>71.05</v>
      </c>
      <c r="L84" s="182">
        <f t="shared" si="9"/>
        <v>200</v>
      </c>
      <c r="M84" s="237"/>
      <c r="N84" s="4"/>
      <c r="O84" s="4"/>
      <c r="P84" s="4"/>
      <c r="Q84" s="4"/>
      <c r="R84" s="4"/>
      <c r="S84" s="4"/>
    </row>
    <row r="85" spans="1:19" ht="13.5" thickBot="1" x14ac:dyDescent="0.25">
      <c r="A85" s="231"/>
      <c r="B85" s="235"/>
      <c r="C85" s="162">
        <f>A287</f>
        <v>100</v>
      </c>
      <c r="D85" s="201">
        <f>B287</f>
        <v>0</v>
      </c>
      <c r="E85" s="235"/>
      <c r="F85" s="261"/>
      <c r="G85" s="262"/>
      <c r="H85" s="257"/>
      <c r="I85" s="241"/>
      <c r="J85" s="242"/>
      <c r="K85" s="332">
        <f t="shared" si="9"/>
        <v>100</v>
      </c>
      <c r="L85" s="358">
        <f t="shared" si="9"/>
        <v>200</v>
      </c>
      <c r="M85" s="242"/>
      <c r="N85" s="4"/>
      <c r="O85" s="4"/>
      <c r="P85" s="4"/>
      <c r="Q85" s="4"/>
      <c r="R85" s="4"/>
      <c r="S85" s="4"/>
    </row>
    <row r="86" spans="1:19" x14ac:dyDescent="0.2">
      <c r="A86" s="278" t="s">
        <v>79</v>
      </c>
      <c r="B86" s="243" t="str">
        <f>Walk!$B$86</f>
        <v>Muscle 5</v>
      </c>
      <c r="C86" s="160">
        <f t="shared" ref="C86:D91" si="10">A304</f>
        <v>0</v>
      </c>
      <c r="D86" s="165">
        <f t="shared" si="10"/>
        <v>0</v>
      </c>
      <c r="E86" s="267">
        <f>B301</f>
        <v>60</v>
      </c>
      <c r="F86" s="261"/>
      <c r="G86" s="262"/>
      <c r="H86" s="257"/>
      <c r="I86" s="321" t="s">
        <v>96</v>
      </c>
      <c r="J86" s="234" t="str">
        <f>Walk!$J$86</f>
        <v>Muscle 21</v>
      </c>
      <c r="K86" s="172">
        <f t="shared" ref="K86:L93" si="11">A689</f>
        <v>0</v>
      </c>
      <c r="L86" s="173">
        <f t="shared" si="11"/>
        <v>0</v>
      </c>
      <c r="M86" s="263">
        <f>B686</f>
        <v>60</v>
      </c>
      <c r="N86" s="4"/>
      <c r="O86" s="4"/>
      <c r="P86" s="4"/>
      <c r="Q86" s="4"/>
      <c r="R86" s="4"/>
      <c r="S86" s="4"/>
    </row>
    <row r="87" spans="1:19" x14ac:dyDescent="0.2">
      <c r="A87" s="231"/>
      <c r="B87" s="235"/>
      <c r="C87" s="153">
        <f t="shared" si="10"/>
        <v>10</v>
      </c>
      <c r="D87" s="152">
        <f t="shared" si="10"/>
        <v>0</v>
      </c>
      <c r="E87" s="265"/>
      <c r="F87" s="261"/>
      <c r="G87" s="262"/>
      <c r="H87" s="257"/>
      <c r="I87" s="233"/>
      <c r="J87" s="237"/>
      <c r="K87" s="172">
        <f t="shared" si="11"/>
        <v>7.89</v>
      </c>
      <c r="L87" s="173">
        <f t="shared" si="11"/>
        <v>0</v>
      </c>
      <c r="M87" s="253"/>
      <c r="N87" s="4"/>
      <c r="O87" s="4"/>
      <c r="P87" s="4"/>
      <c r="Q87" s="4"/>
      <c r="R87" s="4"/>
      <c r="S87" s="4"/>
    </row>
    <row r="88" spans="1:19" x14ac:dyDescent="0.2">
      <c r="A88" s="231"/>
      <c r="B88" s="235"/>
      <c r="C88" s="153">
        <f t="shared" si="10"/>
        <v>50</v>
      </c>
      <c r="D88" s="152">
        <f t="shared" si="10"/>
        <v>0</v>
      </c>
      <c r="E88" s="265"/>
      <c r="F88" s="261"/>
      <c r="G88" s="262"/>
      <c r="H88" s="257"/>
      <c r="I88" s="233"/>
      <c r="J88" s="237"/>
      <c r="K88" s="172">
        <f t="shared" si="11"/>
        <v>20</v>
      </c>
      <c r="L88" s="173">
        <f t="shared" si="11"/>
        <v>0</v>
      </c>
      <c r="M88" s="253"/>
      <c r="N88" s="4"/>
      <c r="O88" s="4"/>
      <c r="P88" s="4"/>
      <c r="Q88" s="4"/>
      <c r="R88" s="4"/>
      <c r="S88" s="4"/>
    </row>
    <row r="89" spans="1:19" x14ac:dyDescent="0.2">
      <c r="A89" s="231"/>
      <c r="B89" s="235"/>
      <c r="C89" s="153">
        <f t="shared" si="10"/>
        <v>75</v>
      </c>
      <c r="D89" s="152">
        <f t="shared" si="10"/>
        <v>0</v>
      </c>
      <c r="E89" s="265"/>
      <c r="F89" s="261"/>
      <c r="G89" s="262"/>
      <c r="H89" s="257"/>
      <c r="I89" s="233"/>
      <c r="J89" s="237"/>
      <c r="K89" s="172">
        <f t="shared" si="11"/>
        <v>55.26</v>
      </c>
      <c r="L89" s="173">
        <f t="shared" si="11"/>
        <v>0</v>
      </c>
      <c r="M89" s="253"/>
      <c r="N89" s="4"/>
      <c r="O89" s="4"/>
      <c r="P89" s="4"/>
      <c r="Q89" s="4"/>
      <c r="R89" s="4"/>
      <c r="S89" s="4"/>
    </row>
    <row r="90" spans="1:19" x14ac:dyDescent="0.2">
      <c r="A90" s="231"/>
      <c r="B90" s="235"/>
      <c r="C90" s="153">
        <f t="shared" si="10"/>
        <v>88</v>
      </c>
      <c r="D90" s="152">
        <f t="shared" si="10"/>
        <v>0</v>
      </c>
      <c r="E90" s="265"/>
      <c r="F90" s="261"/>
      <c r="G90" s="262"/>
      <c r="H90" s="257"/>
      <c r="I90" s="233"/>
      <c r="J90" s="237"/>
      <c r="K90" s="172">
        <f t="shared" si="11"/>
        <v>60</v>
      </c>
      <c r="L90" s="173">
        <f t="shared" si="11"/>
        <v>0</v>
      </c>
      <c r="M90" s="253"/>
      <c r="N90" s="4"/>
      <c r="O90" s="4"/>
      <c r="P90" s="4"/>
      <c r="Q90" s="4"/>
      <c r="R90" s="4"/>
      <c r="S90" s="4"/>
    </row>
    <row r="91" spans="1:19" x14ac:dyDescent="0.2">
      <c r="A91" s="231"/>
      <c r="B91" s="235"/>
      <c r="C91" s="153">
        <f t="shared" si="10"/>
        <v>94</v>
      </c>
      <c r="D91" s="152">
        <f t="shared" si="10"/>
        <v>0</v>
      </c>
      <c r="E91" s="265"/>
      <c r="F91" s="261"/>
      <c r="G91" s="262"/>
      <c r="H91" s="257"/>
      <c r="I91" s="233"/>
      <c r="J91" s="237"/>
      <c r="K91" s="172">
        <f t="shared" si="11"/>
        <v>65</v>
      </c>
      <c r="L91" s="173">
        <f t="shared" si="11"/>
        <v>0</v>
      </c>
      <c r="M91" s="253"/>
      <c r="N91" s="4"/>
      <c r="O91" s="4"/>
      <c r="P91" s="4"/>
      <c r="Q91" s="4"/>
      <c r="R91" s="4"/>
      <c r="S91" s="4"/>
    </row>
    <row r="92" spans="1:19" x14ac:dyDescent="0.2">
      <c r="A92" s="231"/>
      <c r="B92" s="235"/>
      <c r="C92" s="153">
        <f>A310</f>
        <v>95</v>
      </c>
      <c r="D92" s="152">
        <f>B310</f>
        <v>0</v>
      </c>
      <c r="E92" s="265"/>
      <c r="F92" s="261"/>
      <c r="G92" s="262"/>
      <c r="H92" s="257"/>
      <c r="I92" s="233"/>
      <c r="J92" s="237"/>
      <c r="K92" s="172">
        <f t="shared" si="11"/>
        <v>71.05</v>
      </c>
      <c r="L92" s="173">
        <f t="shared" si="11"/>
        <v>0</v>
      </c>
      <c r="M92" s="253"/>
      <c r="N92" s="4"/>
      <c r="O92" s="4"/>
      <c r="P92" s="4"/>
      <c r="Q92" s="4"/>
      <c r="R92" s="4"/>
      <c r="S92" s="4"/>
    </row>
    <row r="93" spans="1:19" ht="13.5" thickBot="1" x14ac:dyDescent="0.25">
      <c r="A93" s="238"/>
      <c r="B93" s="239"/>
      <c r="C93" s="157">
        <f>A311</f>
        <v>100</v>
      </c>
      <c r="D93" s="156">
        <f>B311</f>
        <v>0</v>
      </c>
      <c r="E93" s="266"/>
      <c r="F93" s="255"/>
      <c r="G93" s="255"/>
      <c r="H93" s="255"/>
      <c r="I93" s="241"/>
      <c r="J93" s="242"/>
      <c r="K93" s="176">
        <f t="shared" si="11"/>
        <v>100</v>
      </c>
      <c r="L93" s="177">
        <f t="shared" si="11"/>
        <v>0</v>
      </c>
      <c r="M93" s="254"/>
      <c r="N93" s="4"/>
      <c r="O93" s="4"/>
      <c r="P93" s="4"/>
      <c r="Q93" s="4"/>
      <c r="R93" s="4"/>
      <c r="S93" s="4"/>
    </row>
    <row r="94" spans="1:19" x14ac:dyDescent="0.2">
      <c r="A94" s="277" t="s">
        <v>80</v>
      </c>
      <c r="B94" s="232" t="str">
        <f>Walk!$B$94</f>
        <v>Muscle 6</v>
      </c>
      <c r="C94" s="148">
        <f t="shared" ref="C94:D99" si="12">A328</f>
        <v>0</v>
      </c>
      <c r="D94" s="147">
        <f t="shared" si="12"/>
        <v>50</v>
      </c>
      <c r="E94" s="185">
        <f>B325</f>
        <v>60</v>
      </c>
      <c r="F94" s="255"/>
      <c r="G94" s="255"/>
      <c r="H94" s="255"/>
      <c r="I94" s="321" t="s">
        <v>97</v>
      </c>
      <c r="J94" s="234" t="str">
        <f>Walk!$J$94</f>
        <v>Muscle 22</v>
      </c>
      <c r="K94" s="172">
        <f t="shared" ref="K94:L101" si="13">A713</f>
        <v>0</v>
      </c>
      <c r="L94" s="175">
        <f t="shared" si="13"/>
        <v>90</v>
      </c>
      <c r="M94" s="187">
        <f>B710</f>
        <v>30</v>
      </c>
      <c r="N94" s="4"/>
      <c r="O94" s="4"/>
      <c r="P94" s="4"/>
      <c r="Q94" s="4"/>
      <c r="R94" s="4"/>
      <c r="S94" s="4"/>
    </row>
    <row r="95" spans="1:19" x14ac:dyDescent="0.2">
      <c r="A95" s="231"/>
      <c r="B95" s="235"/>
      <c r="C95" s="153">
        <f t="shared" si="12"/>
        <v>10</v>
      </c>
      <c r="D95" s="152">
        <f t="shared" si="12"/>
        <v>50</v>
      </c>
      <c r="E95" s="235"/>
      <c r="F95" s="255"/>
      <c r="G95" s="255"/>
      <c r="H95" s="255"/>
      <c r="I95" s="233"/>
      <c r="J95" s="237"/>
      <c r="K95" s="181">
        <f t="shared" si="13"/>
        <v>7.89</v>
      </c>
      <c r="L95" s="182">
        <f t="shared" si="13"/>
        <v>90</v>
      </c>
      <c r="M95" s="237"/>
      <c r="N95" s="4"/>
      <c r="O95" s="4"/>
      <c r="P95" s="4"/>
      <c r="Q95" s="4"/>
      <c r="R95" s="4"/>
      <c r="S95" s="4"/>
    </row>
    <row r="96" spans="1:19" x14ac:dyDescent="0.2">
      <c r="A96" s="248"/>
      <c r="B96" s="249"/>
      <c r="C96" s="153">
        <f t="shared" si="12"/>
        <v>50</v>
      </c>
      <c r="D96" s="152">
        <f t="shared" si="12"/>
        <v>50</v>
      </c>
      <c r="E96" s="235"/>
      <c r="F96" s="255"/>
      <c r="G96" s="255"/>
      <c r="H96" s="255"/>
      <c r="I96" s="233"/>
      <c r="J96" s="237"/>
      <c r="K96" s="181">
        <f t="shared" si="13"/>
        <v>20</v>
      </c>
      <c r="L96" s="182">
        <f t="shared" si="13"/>
        <v>90</v>
      </c>
      <c r="M96" s="237"/>
      <c r="N96" s="4"/>
      <c r="O96" s="4"/>
      <c r="P96" s="4"/>
      <c r="Q96" s="4"/>
      <c r="R96" s="4"/>
      <c r="S96" s="4"/>
    </row>
    <row r="97" spans="1:19" x14ac:dyDescent="0.2">
      <c r="A97" s="248"/>
      <c r="B97" s="249"/>
      <c r="C97" s="153">
        <f t="shared" si="12"/>
        <v>75</v>
      </c>
      <c r="D97" s="152">
        <f t="shared" si="12"/>
        <v>50</v>
      </c>
      <c r="E97" s="235"/>
      <c r="F97" s="255"/>
      <c r="G97" s="255"/>
      <c r="H97" s="255"/>
      <c r="I97" s="233"/>
      <c r="J97" s="237"/>
      <c r="K97" s="181">
        <f t="shared" si="13"/>
        <v>55.26</v>
      </c>
      <c r="L97" s="182">
        <f t="shared" si="13"/>
        <v>90</v>
      </c>
      <c r="M97" s="237"/>
      <c r="N97" s="4"/>
      <c r="O97" s="4"/>
      <c r="P97" s="4"/>
      <c r="Q97" s="4"/>
      <c r="R97" s="4"/>
      <c r="S97" s="4"/>
    </row>
    <row r="98" spans="1:19" x14ac:dyDescent="0.2">
      <c r="A98" s="248"/>
      <c r="B98" s="249"/>
      <c r="C98" s="153">
        <f t="shared" si="12"/>
        <v>88</v>
      </c>
      <c r="D98" s="152">
        <f t="shared" si="12"/>
        <v>50</v>
      </c>
      <c r="E98" s="235"/>
      <c r="F98" s="255"/>
      <c r="G98" s="255"/>
      <c r="H98" s="255"/>
      <c r="I98" s="233"/>
      <c r="J98" s="237"/>
      <c r="K98" s="181">
        <f t="shared" si="13"/>
        <v>60</v>
      </c>
      <c r="L98" s="182">
        <f t="shared" si="13"/>
        <v>90</v>
      </c>
      <c r="M98" s="237"/>
      <c r="N98" s="4"/>
      <c r="O98" s="4"/>
      <c r="P98" s="4"/>
      <c r="Q98" s="4"/>
      <c r="R98" s="4"/>
      <c r="S98" s="4"/>
    </row>
    <row r="99" spans="1:19" x14ac:dyDescent="0.2">
      <c r="A99" s="248"/>
      <c r="B99" s="249"/>
      <c r="C99" s="153">
        <f t="shared" si="12"/>
        <v>94</v>
      </c>
      <c r="D99" s="152">
        <f t="shared" si="12"/>
        <v>50</v>
      </c>
      <c r="E99" s="235"/>
      <c r="F99" s="255"/>
      <c r="G99" s="255"/>
      <c r="H99" s="255"/>
      <c r="I99" s="233"/>
      <c r="J99" s="237"/>
      <c r="K99" s="181">
        <f t="shared" si="13"/>
        <v>65</v>
      </c>
      <c r="L99" s="182">
        <f t="shared" si="13"/>
        <v>90</v>
      </c>
      <c r="M99" s="237"/>
      <c r="N99" s="4"/>
      <c r="O99" s="4"/>
      <c r="P99" s="4"/>
      <c r="Q99" s="4"/>
      <c r="R99" s="4"/>
      <c r="S99" s="4"/>
    </row>
    <row r="100" spans="1:19" x14ac:dyDescent="0.2">
      <c r="A100" s="248"/>
      <c r="B100" s="249"/>
      <c r="C100" s="153">
        <f>A334</f>
        <v>95</v>
      </c>
      <c r="D100" s="152">
        <f>B334</f>
        <v>50</v>
      </c>
      <c r="E100" s="235"/>
      <c r="F100" s="255"/>
      <c r="G100" s="255"/>
      <c r="H100" s="255"/>
      <c r="I100" s="233"/>
      <c r="J100" s="237"/>
      <c r="K100" s="181">
        <f t="shared" si="13"/>
        <v>71.05</v>
      </c>
      <c r="L100" s="182">
        <f t="shared" si="13"/>
        <v>0</v>
      </c>
      <c r="M100" s="237"/>
      <c r="N100" s="4"/>
      <c r="O100" s="4"/>
      <c r="P100" s="4"/>
      <c r="Q100" s="4"/>
      <c r="R100" s="4"/>
      <c r="S100" s="4"/>
    </row>
    <row r="101" spans="1:19" ht="13.5" thickBot="1" x14ac:dyDescent="0.25">
      <c r="A101" s="248"/>
      <c r="B101" s="249"/>
      <c r="C101" s="162">
        <f>A335</f>
        <v>100</v>
      </c>
      <c r="D101" s="201">
        <f>B335</f>
        <v>50</v>
      </c>
      <c r="E101" s="235"/>
      <c r="F101" s="257"/>
      <c r="G101" s="255"/>
      <c r="H101" s="255"/>
      <c r="I101" s="233"/>
      <c r="J101" s="237"/>
      <c r="K101" s="183">
        <f t="shared" si="13"/>
        <v>100</v>
      </c>
      <c r="L101" s="184">
        <f t="shared" si="13"/>
        <v>0</v>
      </c>
      <c r="M101" s="237"/>
      <c r="N101" s="4"/>
      <c r="O101" s="4"/>
      <c r="P101" s="4"/>
      <c r="Q101" s="4"/>
      <c r="R101" s="4"/>
      <c r="S101" s="4"/>
    </row>
    <row r="102" spans="1:19" x14ac:dyDescent="0.2">
      <c r="A102" s="278" t="s">
        <v>81</v>
      </c>
      <c r="B102" s="243" t="str">
        <f>Walk!$B$102</f>
        <v>Muscle 7</v>
      </c>
      <c r="C102" s="160">
        <f t="shared" ref="C102:D107" si="14">A352</f>
        <v>0</v>
      </c>
      <c r="D102" s="165">
        <f t="shared" si="14"/>
        <v>0</v>
      </c>
      <c r="E102" s="267">
        <f>B349</f>
        <v>30</v>
      </c>
      <c r="F102" s="257"/>
      <c r="G102" s="255"/>
      <c r="H102" s="255"/>
      <c r="I102" s="336" t="s">
        <v>98</v>
      </c>
      <c r="J102" s="356" t="str">
        <f>Walk!$J$102</f>
        <v>Muscle 23</v>
      </c>
      <c r="K102" s="178">
        <f t="shared" ref="K102:L109" si="15">A737</f>
        <v>0</v>
      </c>
      <c r="L102" s="179">
        <f t="shared" si="15"/>
        <v>0</v>
      </c>
      <c r="M102" s="252">
        <f>B734</f>
        <v>60</v>
      </c>
      <c r="N102" s="4"/>
      <c r="O102" s="4"/>
      <c r="P102" s="4"/>
      <c r="Q102" s="4"/>
      <c r="R102" s="4"/>
      <c r="S102" s="4"/>
    </row>
    <row r="103" spans="1:19" x14ac:dyDescent="0.2">
      <c r="A103" s="231"/>
      <c r="B103" s="235"/>
      <c r="C103" s="153">
        <f t="shared" si="14"/>
        <v>10</v>
      </c>
      <c r="D103" s="152">
        <f t="shared" si="14"/>
        <v>0</v>
      </c>
      <c r="E103" s="265"/>
      <c r="F103" s="268"/>
      <c r="G103" s="268"/>
      <c r="H103" s="255"/>
      <c r="I103" s="233"/>
      <c r="J103" s="237"/>
      <c r="K103" s="172">
        <f t="shared" si="15"/>
        <v>7.89</v>
      </c>
      <c r="L103" s="173">
        <f t="shared" si="15"/>
        <v>0</v>
      </c>
      <c r="M103" s="253"/>
      <c r="N103" s="4"/>
      <c r="O103" s="4"/>
      <c r="P103" s="4"/>
      <c r="Q103" s="4"/>
      <c r="R103" s="4"/>
      <c r="S103" s="4"/>
    </row>
    <row r="104" spans="1:19" ht="12.75" customHeight="1" x14ac:dyDescent="0.25">
      <c r="A104" s="231"/>
      <c r="B104" s="235"/>
      <c r="C104" s="153">
        <f t="shared" si="14"/>
        <v>50</v>
      </c>
      <c r="D104" s="152">
        <f t="shared" si="14"/>
        <v>0</v>
      </c>
      <c r="E104" s="265"/>
      <c r="F104" s="274"/>
      <c r="G104" s="268"/>
      <c r="H104" s="255"/>
      <c r="I104" s="233"/>
      <c r="J104" s="237"/>
      <c r="K104" s="172">
        <f t="shared" si="15"/>
        <v>20</v>
      </c>
      <c r="L104" s="173">
        <f t="shared" si="15"/>
        <v>0</v>
      </c>
      <c r="M104" s="253"/>
      <c r="N104" s="4"/>
      <c r="O104" s="4"/>
      <c r="P104" s="4"/>
      <c r="Q104" s="4"/>
      <c r="R104" s="4"/>
      <c r="S104" s="4"/>
    </row>
    <row r="105" spans="1:19" ht="12.75" customHeight="1" x14ac:dyDescent="0.25">
      <c r="A105" s="231"/>
      <c r="B105" s="235"/>
      <c r="C105" s="153">
        <f t="shared" si="14"/>
        <v>75</v>
      </c>
      <c r="D105" s="152">
        <f t="shared" si="14"/>
        <v>0</v>
      </c>
      <c r="E105" s="265"/>
      <c r="F105" s="274"/>
      <c r="G105" s="268"/>
      <c r="H105" s="255"/>
      <c r="I105" s="233"/>
      <c r="J105" s="237"/>
      <c r="K105" s="172">
        <f t="shared" si="15"/>
        <v>55.26</v>
      </c>
      <c r="L105" s="173">
        <f t="shared" si="15"/>
        <v>0</v>
      </c>
      <c r="M105" s="253"/>
      <c r="N105" s="4"/>
      <c r="O105" s="4"/>
      <c r="P105" s="4"/>
      <c r="Q105" s="4"/>
      <c r="R105" s="4"/>
      <c r="S105" s="4"/>
    </row>
    <row r="106" spans="1:19" x14ac:dyDescent="0.2">
      <c r="A106" s="231"/>
      <c r="B106" s="235"/>
      <c r="C106" s="153">
        <f t="shared" si="14"/>
        <v>88</v>
      </c>
      <c r="D106" s="152">
        <f t="shared" si="14"/>
        <v>0</v>
      </c>
      <c r="E106" s="265"/>
      <c r="F106" s="268"/>
      <c r="G106" s="268"/>
      <c r="H106" s="255"/>
      <c r="I106" s="233"/>
      <c r="J106" s="237"/>
      <c r="K106" s="172">
        <f t="shared" si="15"/>
        <v>60</v>
      </c>
      <c r="L106" s="173">
        <f t="shared" si="15"/>
        <v>250</v>
      </c>
      <c r="M106" s="253"/>
      <c r="N106" s="4"/>
      <c r="O106" s="4"/>
      <c r="P106" s="4"/>
      <c r="Q106" s="4"/>
      <c r="R106" s="4"/>
      <c r="S106" s="4"/>
    </row>
    <row r="107" spans="1:19" x14ac:dyDescent="0.2">
      <c r="A107" s="231"/>
      <c r="B107" s="235"/>
      <c r="C107" s="153">
        <f t="shared" si="14"/>
        <v>94</v>
      </c>
      <c r="D107" s="152">
        <f t="shared" si="14"/>
        <v>0</v>
      </c>
      <c r="E107" s="265"/>
      <c r="F107" s="268"/>
      <c r="G107" s="268"/>
      <c r="H107" s="255"/>
      <c r="I107" s="233"/>
      <c r="J107" s="237"/>
      <c r="K107" s="172">
        <f t="shared" si="15"/>
        <v>65</v>
      </c>
      <c r="L107" s="173">
        <f t="shared" si="15"/>
        <v>250</v>
      </c>
      <c r="M107" s="253"/>
      <c r="N107" s="4"/>
      <c r="O107" s="4"/>
      <c r="P107" s="4"/>
      <c r="Q107" s="4"/>
      <c r="R107" s="4"/>
      <c r="S107" s="4"/>
    </row>
    <row r="108" spans="1:19" x14ac:dyDescent="0.2">
      <c r="A108" s="231"/>
      <c r="B108" s="235"/>
      <c r="C108" s="153">
        <f>A358</f>
        <v>95</v>
      </c>
      <c r="D108" s="152">
        <f>B358</f>
        <v>0</v>
      </c>
      <c r="E108" s="265"/>
      <c r="F108" s="268"/>
      <c r="G108" s="268"/>
      <c r="H108" s="255"/>
      <c r="I108" s="233"/>
      <c r="J108" s="237"/>
      <c r="K108" s="172">
        <f t="shared" si="15"/>
        <v>71.05</v>
      </c>
      <c r="L108" s="173">
        <f t="shared" si="15"/>
        <v>250</v>
      </c>
      <c r="M108" s="253"/>
      <c r="N108" s="4"/>
      <c r="O108" s="4"/>
      <c r="P108" s="4"/>
      <c r="Q108" s="4"/>
      <c r="R108" s="4"/>
      <c r="S108" s="4"/>
    </row>
    <row r="109" spans="1:19" ht="13.5" thickBot="1" x14ac:dyDescent="0.25">
      <c r="A109" s="238"/>
      <c r="B109" s="239"/>
      <c r="C109" s="157">
        <f>A359</f>
        <v>100</v>
      </c>
      <c r="D109" s="156">
        <f>B359</f>
        <v>0</v>
      </c>
      <c r="E109" s="266"/>
      <c r="F109" s="268"/>
      <c r="G109" s="268"/>
      <c r="H109" s="255"/>
      <c r="I109" s="241"/>
      <c r="J109" s="242"/>
      <c r="K109" s="176">
        <f t="shared" si="15"/>
        <v>100</v>
      </c>
      <c r="L109" s="177">
        <f t="shared" si="15"/>
        <v>250</v>
      </c>
      <c r="M109" s="254"/>
      <c r="N109" s="4"/>
      <c r="O109" s="4"/>
      <c r="P109" s="4"/>
      <c r="Q109" s="4"/>
      <c r="R109" s="4"/>
      <c r="S109" s="4"/>
    </row>
    <row r="110" spans="1:19" x14ac:dyDescent="0.2">
      <c r="A110" s="277" t="s">
        <v>82</v>
      </c>
      <c r="B110" s="232" t="str">
        <f>Walk!$B$110</f>
        <v>Muscle 8</v>
      </c>
      <c r="C110" s="160">
        <f>A376</f>
        <v>0</v>
      </c>
      <c r="D110" s="165">
        <f>B376</f>
        <v>100</v>
      </c>
      <c r="E110" s="186">
        <f>B373</f>
        <v>60</v>
      </c>
      <c r="F110" s="268"/>
      <c r="G110" s="268"/>
      <c r="H110" s="255"/>
      <c r="N110" s="4"/>
      <c r="O110" s="4"/>
      <c r="P110" s="4"/>
      <c r="Q110" s="4"/>
      <c r="R110" s="4"/>
      <c r="S110" s="4"/>
    </row>
    <row r="111" spans="1:19" x14ac:dyDescent="0.2">
      <c r="A111" s="231"/>
      <c r="B111" s="235"/>
      <c r="C111" s="148">
        <f t="shared" ref="C111:D117" si="16">A377</f>
        <v>7.89</v>
      </c>
      <c r="D111" s="147">
        <f t="shared" si="16"/>
        <v>100</v>
      </c>
      <c r="E111" s="235"/>
      <c r="F111" s="268"/>
      <c r="G111" s="268"/>
      <c r="H111" s="255"/>
      <c r="N111" s="4"/>
      <c r="O111" s="4"/>
      <c r="P111" s="4"/>
      <c r="Q111" s="4"/>
      <c r="R111" s="4"/>
      <c r="S111" s="4"/>
    </row>
    <row r="112" spans="1:19" x14ac:dyDescent="0.2">
      <c r="A112" s="231"/>
      <c r="B112" s="235"/>
      <c r="C112" s="148">
        <f t="shared" si="16"/>
        <v>20</v>
      </c>
      <c r="D112" s="147">
        <f t="shared" si="16"/>
        <v>100</v>
      </c>
      <c r="E112" s="235"/>
      <c r="F112" s="268"/>
      <c r="G112" s="268"/>
      <c r="H112" s="255"/>
      <c r="N112" s="4"/>
      <c r="O112" s="4"/>
      <c r="P112" s="4"/>
      <c r="Q112" s="4"/>
      <c r="R112" s="4"/>
      <c r="S112" s="4"/>
    </row>
    <row r="113" spans="1:19" x14ac:dyDescent="0.2">
      <c r="A113" s="231"/>
      <c r="B113" s="235"/>
      <c r="C113" s="148">
        <f t="shared" si="16"/>
        <v>55.26</v>
      </c>
      <c r="D113" s="147">
        <f t="shared" si="16"/>
        <v>100</v>
      </c>
      <c r="E113" s="235"/>
      <c r="F113" s="268"/>
      <c r="G113" s="268"/>
      <c r="H113" s="255"/>
      <c r="N113" s="4"/>
      <c r="O113" s="4"/>
      <c r="P113" s="4"/>
      <c r="Q113" s="4"/>
      <c r="R113" s="4"/>
      <c r="S113" s="4"/>
    </row>
    <row r="114" spans="1:19" x14ac:dyDescent="0.2">
      <c r="A114" s="231"/>
      <c r="B114" s="235"/>
      <c r="C114" s="148">
        <f t="shared" si="16"/>
        <v>60</v>
      </c>
      <c r="D114" s="147">
        <f t="shared" si="16"/>
        <v>100</v>
      </c>
      <c r="E114" s="235"/>
      <c r="F114" s="268"/>
      <c r="G114" s="268"/>
      <c r="H114" s="255"/>
      <c r="N114" s="4"/>
      <c r="O114" s="4"/>
      <c r="P114" s="4"/>
      <c r="Q114" s="4"/>
      <c r="R114" s="4"/>
      <c r="S114" s="4"/>
    </row>
    <row r="115" spans="1:19" x14ac:dyDescent="0.2">
      <c r="A115" s="231"/>
      <c r="B115" s="235"/>
      <c r="C115" s="148">
        <f t="shared" si="16"/>
        <v>65</v>
      </c>
      <c r="D115" s="147">
        <f t="shared" si="16"/>
        <v>100</v>
      </c>
      <c r="E115" s="235"/>
      <c r="F115" s="268"/>
      <c r="G115" s="268"/>
      <c r="H115" s="255"/>
      <c r="N115" s="4"/>
      <c r="O115" s="4"/>
      <c r="P115" s="4"/>
      <c r="Q115" s="4"/>
      <c r="R115" s="4"/>
      <c r="S115" s="4"/>
    </row>
    <row r="116" spans="1:19" x14ac:dyDescent="0.2">
      <c r="A116" s="248"/>
      <c r="B116" s="249"/>
      <c r="C116" s="148">
        <f t="shared" si="16"/>
        <v>71.05</v>
      </c>
      <c r="D116" s="147">
        <f t="shared" si="16"/>
        <v>100</v>
      </c>
      <c r="E116" s="235"/>
      <c r="F116" s="268"/>
      <c r="G116" s="268"/>
      <c r="H116" s="255"/>
      <c r="N116" s="4"/>
      <c r="O116" s="4"/>
      <c r="P116" s="4"/>
      <c r="Q116" s="4"/>
      <c r="R116" s="4"/>
      <c r="S116" s="4"/>
    </row>
    <row r="117" spans="1:19" ht="13.5" thickBot="1" x14ac:dyDescent="0.25">
      <c r="A117" s="250"/>
      <c r="B117" s="251"/>
      <c r="C117" s="170">
        <f t="shared" si="16"/>
        <v>100</v>
      </c>
      <c r="D117" s="167">
        <f t="shared" si="16"/>
        <v>100</v>
      </c>
      <c r="E117" s="239"/>
      <c r="F117" s="268"/>
      <c r="G117" s="268"/>
      <c r="H117" s="255"/>
      <c r="N117" s="4"/>
      <c r="O117" s="4"/>
      <c r="P117" s="4"/>
      <c r="Q117" s="4"/>
      <c r="R117" s="4"/>
      <c r="S117" s="4"/>
    </row>
    <row r="118" spans="1:19" x14ac:dyDescent="0.2">
      <c r="A118" s="277" t="s">
        <v>83</v>
      </c>
      <c r="B118" s="232" t="str">
        <f>Walk!$B$118</f>
        <v>Muscle 9</v>
      </c>
      <c r="C118" s="160">
        <f>A400</f>
        <v>0</v>
      </c>
      <c r="D118" s="165">
        <f>B400</f>
        <v>200</v>
      </c>
      <c r="E118" s="267">
        <f>B397</f>
        <v>60</v>
      </c>
      <c r="F118" s="268"/>
      <c r="G118" s="268"/>
      <c r="H118" s="255"/>
      <c r="N118" s="4"/>
      <c r="O118" s="4"/>
      <c r="P118" s="4"/>
      <c r="Q118" s="4"/>
      <c r="R118" s="4"/>
      <c r="S118" s="4"/>
    </row>
    <row r="119" spans="1:19" x14ac:dyDescent="0.2">
      <c r="A119" s="248"/>
      <c r="B119" s="249"/>
      <c r="C119" s="148">
        <f t="shared" ref="C119:D125" si="17">A401</f>
        <v>7.89</v>
      </c>
      <c r="D119" s="147">
        <f t="shared" si="17"/>
        <v>200</v>
      </c>
      <c r="E119" s="265"/>
      <c r="F119" s="268"/>
      <c r="G119" s="268"/>
      <c r="H119" s="255"/>
      <c r="N119" s="4"/>
      <c r="O119" s="4"/>
      <c r="P119" s="4"/>
      <c r="Q119" s="4"/>
      <c r="R119" s="4"/>
      <c r="S119" s="4"/>
    </row>
    <row r="120" spans="1:19" x14ac:dyDescent="0.2">
      <c r="A120" s="248"/>
      <c r="B120" s="249"/>
      <c r="C120" s="148">
        <f t="shared" si="17"/>
        <v>20</v>
      </c>
      <c r="D120" s="147">
        <f t="shared" si="17"/>
        <v>200</v>
      </c>
      <c r="E120" s="265"/>
      <c r="F120" s="268"/>
      <c r="G120" s="268"/>
      <c r="H120" s="255"/>
      <c r="N120" s="4"/>
      <c r="O120" s="4"/>
      <c r="P120" s="4"/>
      <c r="Q120" s="4"/>
      <c r="R120" s="4"/>
      <c r="S120" s="4"/>
    </row>
    <row r="121" spans="1:19" x14ac:dyDescent="0.2">
      <c r="A121" s="248"/>
      <c r="B121" s="249"/>
      <c r="C121" s="148">
        <f t="shared" si="17"/>
        <v>55.26</v>
      </c>
      <c r="D121" s="147">
        <f t="shared" si="17"/>
        <v>200</v>
      </c>
      <c r="E121" s="265"/>
      <c r="F121" s="268"/>
      <c r="G121" s="268"/>
      <c r="H121" s="255"/>
      <c r="N121" s="4"/>
      <c r="O121" s="4"/>
      <c r="P121" s="4"/>
      <c r="Q121" s="4"/>
      <c r="R121" s="4"/>
      <c r="S121" s="4"/>
    </row>
    <row r="122" spans="1:19" x14ac:dyDescent="0.2">
      <c r="A122" s="231"/>
      <c r="B122" s="235"/>
      <c r="C122" s="148">
        <f t="shared" si="17"/>
        <v>60</v>
      </c>
      <c r="D122" s="147">
        <f t="shared" si="17"/>
        <v>200</v>
      </c>
      <c r="E122" s="265"/>
      <c r="F122" s="268"/>
      <c r="G122" s="268"/>
      <c r="H122" s="255"/>
      <c r="N122" s="4"/>
      <c r="O122" s="4"/>
      <c r="P122" s="4"/>
      <c r="Q122" s="4"/>
      <c r="R122" s="4"/>
      <c r="S122" s="4"/>
    </row>
    <row r="123" spans="1:19" x14ac:dyDescent="0.2">
      <c r="A123" s="231"/>
      <c r="B123" s="235"/>
      <c r="C123" s="148">
        <f t="shared" si="17"/>
        <v>65</v>
      </c>
      <c r="D123" s="147">
        <f t="shared" si="17"/>
        <v>200</v>
      </c>
      <c r="E123" s="265"/>
      <c r="F123" s="268"/>
      <c r="G123" s="268"/>
      <c r="H123" s="255"/>
      <c r="N123" s="4"/>
      <c r="O123" s="4"/>
      <c r="P123" s="4"/>
      <c r="Q123" s="4"/>
      <c r="R123" s="4"/>
      <c r="S123" s="4"/>
    </row>
    <row r="124" spans="1:19" x14ac:dyDescent="0.2">
      <c r="A124" s="231"/>
      <c r="B124" s="235"/>
      <c r="C124" s="148">
        <f t="shared" si="17"/>
        <v>71.05</v>
      </c>
      <c r="D124" s="147">
        <f t="shared" si="17"/>
        <v>200</v>
      </c>
      <c r="E124" s="265"/>
      <c r="F124" s="268"/>
      <c r="G124" s="268"/>
      <c r="H124" s="255"/>
      <c r="N124" s="4"/>
      <c r="O124" s="4"/>
      <c r="P124" s="4"/>
      <c r="Q124" s="4"/>
      <c r="R124" s="4"/>
      <c r="S124" s="4"/>
    </row>
    <row r="125" spans="1:19" ht="13.5" thickBot="1" x14ac:dyDescent="0.25">
      <c r="A125" s="238"/>
      <c r="B125" s="239"/>
      <c r="C125" s="170">
        <f t="shared" si="17"/>
        <v>100</v>
      </c>
      <c r="D125" s="167">
        <f t="shared" si="17"/>
        <v>200</v>
      </c>
      <c r="E125" s="266"/>
      <c r="F125" s="268"/>
      <c r="G125" s="268"/>
      <c r="H125" s="255"/>
      <c r="N125" s="4"/>
      <c r="O125" s="4"/>
      <c r="P125" s="4"/>
      <c r="Q125" s="4"/>
      <c r="R125" s="4"/>
      <c r="S125" s="4"/>
    </row>
    <row r="126" spans="1:19" x14ac:dyDescent="0.2">
      <c r="A126" s="277" t="s">
        <v>84</v>
      </c>
      <c r="B126" s="232" t="str">
        <f>Walk!$B$126</f>
        <v>Muscle 10</v>
      </c>
      <c r="C126" s="160">
        <f>A424</f>
        <v>0</v>
      </c>
      <c r="D126" s="165">
        <f>B424</f>
        <v>0</v>
      </c>
      <c r="E126" s="186">
        <f>B421</f>
        <v>30</v>
      </c>
      <c r="F126" s="268"/>
      <c r="G126" s="268"/>
      <c r="H126" s="255"/>
      <c r="N126" s="4"/>
      <c r="O126" s="4"/>
      <c r="P126" s="4"/>
      <c r="Q126" s="4"/>
      <c r="R126" s="4"/>
      <c r="S126" s="4"/>
    </row>
    <row r="127" spans="1:19" x14ac:dyDescent="0.2">
      <c r="A127" s="231"/>
      <c r="B127" s="235"/>
      <c r="C127" s="148">
        <f t="shared" ref="C127:D133" si="18">A425</f>
        <v>7.89</v>
      </c>
      <c r="D127" s="147">
        <f t="shared" si="18"/>
        <v>0</v>
      </c>
      <c r="E127" s="235"/>
      <c r="F127" s="268"/>
      <c r="G127" s="268"/>
      <c r="H127" s="255"/>
      <c r="N127" s="4"/>
      <c r="O127" s="4"/>
      <c r="P127" s="4"/>
      <c r="Q127" s="4"/>
      <c r="R127" s="4"/>
      <c r="S127" s="4"/>
    </row>
    <row r="128" spans="1:19" x14ac:dyDescent="0.2">
      <c r="A128" s="231"/>
      <c r="B128" s="235"/>
      <c r="C128" s="148">
        <f t="shared" si="18"/>
        <v>20</v>
      </c>
      <c r="D128" s="147">
        <f t="shared" si="18"/>
        <v>0</v>
      </c>
      <c r="E128" s="235"/>
      <c r="F128" s="268"/>
      <c r="G128" s="268"/>
      <c r="H128" s="255"/>
      <c r="N128" s="4"/>
      <c r="O128" s="4"/>
      <c r="P128" s="4"/>
      <c r="Q128" s="4"/>
      <c r="R128" s="4"/>
      <c r="S128" s="4"/>
    </row>
    <row r="129" spans="1:19" x14ac:dyDescent="0.2">
      <c r="A129" s="231"/>
      <c r="B129" s="235"/>
      <c r="C129" s="148">
        <f t="shared" si="18"/>
        <v>55.26</v>
      </c>
      <c r="D129" s="147">
        <f t="shared" si="18"/>
        <v>0</v>
      </c>
      <c r="E129" s="235"/>
      <c r="F129" s="268"/>
      <c r="G129" s="268"/>
      <c r="H129" s="255"/>
      <c r="N129" s="4"/>
      <c r="O129" s="4"/>
      <c r="P129" s="4"/>
      <c r="Q129" s="4"/>
      <c r="R129" s="4"/>
      <c r="S129" s="4"/>
    </row>
    <row r="130" spans="1:19" x14ac:dyDescent="0.2">
      <c r="A130" s="231"/>
      <c r="B130" s="235"/>
      <c r="C130" s="148">
        <f t="shared" si="18"/>
        <v>60</v>
      </c>
      <c r="D130" s="147">
        <f t="shared" si="18"/>
        <v>0</v>
      </c>
      <c r="E130" s="235"/>
      <c r="F130" s="268"/>
      <c r="G130" s="268"/>
      <c r="H130" s="255"/>
      <c r="N130" s="4"/>
      <c r="O130" s="4"/>
      <c r="P130" s="4"/>
      <c r="Q130" s="4"/>
      <c r="R130" s="4"/>
      <c r="S130" s="4"/>
    </row>
    <row r="131" spans="1:19" x14ac:dyDescent="0.2">
      <c r="A131" s="231"/>
      <c r="B131" s="235"/>
      <c r="C131" s="148">
        <f t="shared" si="18"/>
        <v>65</v>
      </c>
      <c r="D131" s="147">
        <f t="shared" si="18"/>
        <v>0</v>
      </c>
      <c r="E131" s="235"/>
      <c r="F131" s="268"/>
      <c r="G131" s="268"/>
      <c r="H131" s="255"/>
      <c r="N131" s="4"/>
      <c r="O131" s="4"/>
      <c r="P131" s="4"/>
      <c r="Q131" s="4"/>
      <c r="R131" s="4"/>
      <c r="S131" s="4"/>
    </row>
    <row r="132" spans="1:19" x14ac:dyDescent="0.2">
      <c r="A132" s="231"/>
      <c r="B132" s="235"/>
      <c r="C132" s="148">
        <f t="shared" si="18"/>
        <v>71.05</v>
      </c>
      <c r="D132" s="147">
        <f t="shared" si="18"/>
        <v>0</v>
      </c>
      <c r="E132" s="235"/>
      <c r="F132" s="268"/>
      <c r="G132" s="268"/>
      <c r="H132" s="255"/>
      <c r="N132" s="4"/>
      <c r="O132" s="4"/>
      <c r="P132" s="4"/>
      <c r="Q132" s="4"/>
      <c r="R132" s="4"/>
      <c r="S132" s="4"/>
    </row>
    <row r="133" spans="1:19" ht="13.5" thickBot="1" x14ac:dyDescent="0.25">
      <c r="A133" s="238"/>
      <c r="B133" s="239"/>
      <c r="C133" s="170">
        <f t="shared" si="18"/>
        <v>100</v>
      </c>
      <c r="D133" s="167">
        <f t="shared" si="18"/>
        <v>0</v>
      </c>
      <c r="E133" s="239"/>
      <c r="F133" s="268"/>
      <c r="G133" s="268"/>
      <c r="H133" s="255"/>
      <c r="N133" s="4"/>
      <c r="O133" s="4"/>
      <c r="P133" s="4"/>
      <c r="Q133" s="4"/>
      <c r="R133" s="4"/>
      <c r="S133" s="4"/>
    </row>
    <row r="134" spans="1:19" x14ac:dyDescent="0.2">
      <c r="A134" s="277" t="s">
        <v>85</v>
      </c>
      <c r="B134" s="232" t="str">
        <f>Walk!$B$134</f>
        <v>Muscle 11</v>
      </c>
      <c r="C134" s="160">
        <f>A448</f>
        <v>0</v>
      </c>
      <c r="D134" s="165">
        <f>B448</f>
        <v>80</v>
      </c>
      <c r="E134" s="267">
        <f>B445</f>
        <v>30</v>
      </c>
      <c r="F134" s="268"/>
      <c r="G134" s="268"/>
      <c r="H134" s="255"/>
      <c r="N134" s="4"/>
      <c r="O134" s="4"/>
      <c r="P134" s="4"/>
      <c r="Q134" s="4"/>
      <c r="R134" s="4"/>
      <c r="S134" s="4"/>
    </row>
    <row r="135" spans="1:19" x14ac:dyDescent="0.2">
      <c r="A135" s="231"/>
      <c r="B135" s="235"/>
      <c r="C135" s="148">
        <f t="shared" ref="C135:D141" si="19">A449</f>
        <v>7.89</v>
      </c>
      <c r="D135" s="147">
        <f t="shared" si="19"/>
        <v>80</v>
      </c>
      <c r="E135" s="265"/>
      <c r="F135" s="268"/>
      <c r="G135" s="268"/>
      <c r="H135" s="255"/>
      <c r="N135" s="4"/>
      <c r="O135" s="4"/>
      <c r="P135" s="4"/>
      <c r="Q135" s="4"/>
      <c r="R135" s="4"/>
      <c r="S135" s="4"/>
    </row>
    <row r="136" spans="1:19" x14ac:dyDescent="0.2">
      <c r="A136" s="248"/>
      <c r="B136" s="249"/>
      <c r="C136" s="148">
        <f t="shared" si="19"/>
        <v>20</v>
      </c>
      <c r="D136" s="147">
        <f t="shared" si="19"/>
        <v>80</v>
      </c>
      <c r="E136" s="265"/>
      <c r="F136" s="268"/>
      <c r="G136" s="268"/>
      <c r="H136" s="255"/>
      <c r="N136" s="4"/>
      <c r="O136" s="4"/>
      <c r="P136" s="4"/>
      <c r="Q136" s="4"/>
      <c r="R136" s="4"/>
      <c r="S136" s="4"/>
    </row>
    <row r="137" spans="1:19" x14ac:dyDescent="0.2">
      <c r="A137" s="248"/>
      <c r="B137" s="249"/>
      <c r="C137" s="148">
        <f t="shared" si="19"/>
        <v>55.26</v>
      </c>
      <c r="D137" s="147">
        <f t="shared" si="19"/>
        <v>80</v>
      </c>
      <c r="E137" s="265"/>
      <c r="F137" s="268"/>
      <c r="G137" s="268"/>
      <c r="H137" s="255"/>
      <c r="N137" s="4"/>
      <c r="O137" s="4"/>
      <c r="P137" s="4"/>
      <c r="Q137" s="4"/>
      <c r="R137" s="4"/>
      <c r="S137" s="4"/>
    </row>
    <row r="138" spans="1:19" x14ac:dyDescent="0.2">
      <c r="A138" s="248"/>
      <c r="B138" s="249"/>
      <c r="C138" s="148">
        <f t="shared" si="19"/>
        <v>60</v>
      </c>
      <c r="D138" s="147">
        <f t="shared" si="19"/>
        <v>80</v>
      </c>
      <c r="E138" s="265"/>
      <c r="F138" s="268"/>
      <c r="G138" s="268"/>
      <c r="H138" s="255"/>
      <c r="N138" s="4"/>
      <c r="O138" s="4"/>
      <c r="P138" s="4"/>
      <c r="Q138" s="4"/>
      <c r="R138" s="4"/>
      <c r="S138" s="4"/>
    </row>
    <row r="139" spans="1:19" x14ac:dyDescent="0.2">
      <c r="A139" s="248"/>
      <c r="B139" s="249"/>
      <c r="C139" s="148">
        <f t="shared" si="19"/>
        <v>65</v>
      </c>
      <c r="D139" s="147">
        <f t="shared" si="19"/>
        <v>80</v>
      </c>
      <c r="E139" s="265"/>
      <c r="F139" s="268"/>
      <c r="G139" s="268"/>
      <c r="H139" s="255"/>
      <c r="N139" s="4"/>
      <c r="O139" s="4"/>
      <c r="P139" s="4"/>
      <c r="Q139" s="4"/>
      <c r="R139" s="4"/>
      <c r="S139" s="4"/>
    </row>
    <row r="140" spans="1:19" x14ac:dyDescent="0.2">
      <c r="A140" s="248"/>
      <c r="B140" s="249"/>
      <c r="C140" s="148">
        <f t="shared" si="19"/>
        <v>71.05</v>
      </c>
      <c r="D140" s="147">
        <f t="shared" si="19"/>
        <v>80</v>
      </c>
      <c r="E140" s="265"/>
      <c r="F140" s="268"/>
      <c r="G140" s="268"/>
      <c r="H140" s="255"/>
      <c r="N140" s="4"/>
      <c r="O140" s="4"/>
      <c r="P140" s="4"/>
      <c r="Q140" s="4"/>
      <c r="R140" s="4"/>
      <c r="S140" s="4"/>
    </row>
    <row r="141" spans="1:19" ht="13.5" thickBot="1" x14ac:dyDescent="0.25">
      <c r="A141" s="250"/>
      <c r="B141" s="251"/>
      <c r="C141" s="170">
        <f t="shared" si="19"/>
        <v>100</v>
      </c>
      <c r="D141" s="167">
        <f t="shared" si="19"/>
        <v>80</v>
      </c>
      <c r="E141" s="266"/>
      <c r="F141" s="268"/>
      <c r="G141" s="268"/>
      <c r="H141" s="255"/>
      <c r="N141" s="4"/>
      <c r="O141" s="4"/>
      <c r="P141" s="4"/>
      <c r="Q141" s="4"/>
      <c r="R141" s="4"/>
      <c r="S141" s="4"/>
    </row>
    <row r="142" spans="1:19" x14ac:dyDescent="0.2">
      <c r="A142" s="277" t="s">
        <v>86</v>
      </c>
      <c r="B142" s="232" t="str">
        <f>Walk!$B$142</f>
        <v>Muscle 12</v>
      </c>
      <c r="C142" s="146">
        <f t="shared" ref="C142:D149" si="20">A473</f>
        <v>0</v>
      </c>
      <c r="D142" s="147">
        <f t="shared" si="20"/>
        <v>150</v>
      </c>
      <c r="E142" s="264">
        <f>B470</f>
        <v>60</v>
      </c>
      <c r="F142" s="268"/>
      <c r="G142" s="268"/>
      <c r="H142" s="255"/>
      <c r="I142" s="255"/>
      <c r="J142" s="255"/>
      <c r="K142" s="255"/>
      <c r="L142" s="255"/>
      <c r="M142" s="255"/>
      <c r="N142" s="4"/>
      <c r="O142" s="4"/>
      <c r="P142" s="4"/>
      <c r="Q142" s="4"/>
      <c r="R142" s="4"/>
      <c r="S142" s="4"/>
    </row>
    <row r="143" spans="1:19" x14ac:dyDescent="0.2">
      <c r="A143" s="231"/>
      <c r="B143" s="235"/>
      <c r="C143" s="146">
        <f t="shared" si="20"/>
        <v>50</v>
      </c>
      <c r="D143" s="147">
        <f t="shared" si="20"/>
        <v>75</v>
      </c>
      <c r="E143" s="265"/>
      <c r="F143" s="268"/>
      <c r="G143" s="268"/>
      <c r="H143" s="255"/>
      <c r="I143" s="255"/>
      <c r="J143" s="255"/>
      <c r="K143" s="255"/>
      <c r="L143" s="255"/>
      <c r="M143" s="255"/>
      <c r="N143" s="4"/>
      <c r="O143" s="4"/>
      <c r="P143" s="4"/>
      <c r="Q143" s="4"/>
      <c r="R143" s="4"/>
      <c r="S143" s="4"/>
    </row>
    <row r="144" spans="1:19" x14ac:dyDescent="0.2">
      <c r="A144" s="231"/>
      <c r="B144" s="235"/>
      <c r="C144" s="146">
        <f t="shared" si="20"/>
        <v>55</v>
      </c>
      <c r="D144" s="147">
        <f t="shared" si="20"/>
        <v>75</v>
      </c>
      <c r="E144" s="265"/>
      <c r="F144" s="268"/>
      <c r="G144" s="268"/>
      <c r="H144" s="255"/>
      <c r="I144" s="255"/>
      <c r="J144" s="255"/>
      <c r="K144" s="255"/>
      <c r="L144" s="255"/>
      <c r="M144" s="255"/>
      <c r="N144" s="4"/>
      <c r="O144" s="4"/>
      <c r="P144" s="4"/>
      <c r="Q144" s="4"/>
      <c r="R144" s="4"/>
      <c r="S144" s="4"/>
    </row>
    <row r="145" spans="1:19" x14ac:dyDescent="0.2">
      <c r="A145" s="231"/>
      <c r="B145" s="235"/>
      <c r="C145" s="146">
        <f t="shared" si="20"/>
        <v>60</v>
      </c>
      <c r="D145" s="147">
        <f t="shared" si="20"/>
        <v>75</v>
      </c>
      <c r="E145" s="265"/>
      <c r="F145" s="268"/>
      <c r="G145" s="268"/>
      <c r="H145" s="255"/>
      <c r="I145" s="255"/>
      <c r="J145" s="255"/>
      <c r="K145" s="255"/>
      <c r="L145" s="255"/>
      <c r="M145" s="255"/>
      <c r="N145" s="4"/>
      <c r="O145" s="4"/>
      <c r="P145" s="4"/>
      <c r="Q145" s="4"/>
      <c r="R145" s="4"/>
      <c r="S145" s="4"/>
    </row>
    <row r="146" spans="1:19" x14ac:dyDescent="0.2">
      <c r="A146" s="231"/>
      <c r="B146" s="235"/>
      <c r="C146" s="146">
        <f t="shared" si="20"/>
        <v>75</v>
      </c>
      <c r="D146" s="147">
        <f t="shared" si="20"/>
        <v>75</v>
      </c>
      <c r="E146" s="265"/>
      <c r="F146" s="268"/>
      <c r="G146" s="268"/>
      <c r="H146" s="255"/>
      <c r="I146" s="255"/>
      <c r="J146" s="255"/>
      <c r="K146" s="255"/>
      <c r="L146" s="255"/>
      <c r="M146" s="255"/>
      <c r="N146" s="4"/>
      <c r="O146" s="4"/>
      <c r="P146" s="4"/>
      <c r="Q146" s="4"/>
      <c r="R146" s="4"/>
      <c r="S146" s="4"/>
    </row>
    <row r="147" spans="1:19" x14ac:dyDescent="0.2">
      <c r="A147" s="231"/>
      <c r="B147" s="235"/>
      <c r="C147" s="146">
        <f t="shared" si="20"/>
        <v>88</v>
      </c>
      <c r="D147" s="147">
        <f t="shared" si="20"/>
        <v>39</v>
      </c>
      <c r="E147" s="265"/>
      <c r="F147" s="268"/>
      <c r="G147" s="268"/>
      <c r="H147" s="255"/>
      <c r="I147" s="255"/>
      <c r="J147" s="255"/>
      <c r="K147" s="255"/>
      <c r="L147" s="255"/>
      <c r="M147" s="255"/>
      <c r="N147" s="4"/>
      <c r="O147" s="4"/>
      <c r="P147" s="4"/>
      <c r="Q147" s="4"/>
      <c r="R147" s="4"/>
      <c r="S147" s="4"/>
    </row>
    <row r="148" spans="1:19" x14ac:dyDescent="0.2">
      <c r="A148" s="231"/>
      <c r="B148" s="235"/>
      <c r="C148" s="146">
        <f t="shared" si="20"/>
        <v>94</v>
      </c>
      <c r="D148" s="147">
        <f t="shared" si="20"/>
        <v>20</v>
      </c>
      <c r="E148" s="265"/>
      <c r="F148" s="268"/>
      <c r="G148" s="268"/>
      <c r="H148" s="255"/>
      <c r="I148" s="255"/>
      <c r="J148" s="255"/>
      <c r="K148" s="255"/>
      <c r="L148" s="255"/>
      <c r="M148" s="255"/>
      <c r="N148" s="4"/>
      <c r="O148" s="4"/>
      <c r="P148" s="4"/>
      <c r="Q148" s="4"/>
      <c r="R148" s="4"/>
      <c r="S148" s="4"/>
    </row>
    <row r="149" spans="1:19" ht="13.5" thickBot="1" x14ac:dyDescent="0.25">
      <c r="A149" s="238"/>
      <c r="B149" s="239"/>
      <c r="C149" s="166">
        <f t="shared" si="20"/>
        <v>100</v>
      </c>
      <c r="D149" s="167">
        <f t="shared" si="20"/>
        <v>0</v>
      </c>
      <c r="E149" s="266"/>
      <c r="F149" s="268"/>
      <c r="G149" s="268"/>
      <c r="H149" s="255"/>
      <c r="I149" s="255"/>
      <c r="J149" s="255"/>
      <c r="K149" s="255"/>
      <c r="L149" s="255"/>
      <c r="M149" s="255"/>
      <c r="N149" s="4"/>
      <c r="O149" s="4"/>
      <c r="P149" s="4"/>
      <c r="Q149" s="4"/>
      <c r="R149" s="4"/>
      <c r="S149" s="4"/>
    </row>
    <row r="150" spans="1:19" x14ac:dyDescent="0.2">
      <c r="A150" s="277" t="s">
        <v>87</v>
      </c>
      <c r="B150" s="232" t="str">
        <f>Walk!$B$150</f>
        <v>Muscle 13</v>
      </c>
      <c r="C150" s="164">
        <f t="shared" ref="C150:D157" si="21">A497</f>
        <v>0</v>
      </c>
      <c r="D150" s="165">
        <f t="shared" si="21"/>
        <v>100</v>
      </c>
      <c r="E150" s="186">
        <f>B494</f>
        <v>30</v>
      </c>
      <c r="F150" s="268"/>
      <c r="G150" s="268"/>
      <c r="H150" s="255"/>
      <c r="I150" s="255"/>
      <c r="J150" s="255"/>
      <c r="K150" s="255"/>
      <c r="L150" s="255"/>
      <c r="M150" s="255"/>
      <c r="N150" s="4"/>
      <c r="O150" s="4"/>
      <c r="P150" s="4"/>
      <c r="Q150" s="4"/>
      <c r="R150" s="4"/>
      <c r="S150" s="4"/>
    </row>
    <row r="151" spans="1:19" x14ac:dyDescent="0.2">
      <c r="A151" s="231"/>
      <c r="B151" s="235"/>
      <c r="C151" s="146">
        <f t="shared" si="21"/>
        <v>10</v>
      </c>
      <c r="D151" s="147">
        <f t="shared" si="21"/>
        <v>100</v>
      </c>
      <c r="E151" s="235"/>
      <c r="F151" s="268"/>
      <c r="G151" s="268"/>
      <c r="H151" s="255"/>
      <c r="I151" s="255"/>
      <c r="J151" s="255"/>
      <c r="K151" s="255"/>
      <c r="L151" s="255"/>
      <c r="M151" s="255"/>
      <c r="N151" s="4"/>
      <c r="O151" s="4"/>
      <c r="P151" s="4"/>
      <c r="Q151" s="4"/>
      <c r="R151" s="4"/>
      <c r="S151" s="4"/>
    </row>
    <row r="152" spans="1:19" x14ac:dyDescent="0.2">
      <c r="A152" s="231"/>
      <c r="B152" s="235"/>
      <c r="C152" s="146">
        <f t="shared" si="21"/>
        <v>50</v>
      </c>
      <c r="D152" s="147">
        <f t="shared" si="21"/>
        <v>100</v>
      </c>
      <c r="E152" s="235"/>
      <c r="F152" s="268"/>
      <c r="G152" s="268"/>
      <c r="H152" s="255"/>
      <c r="I152" s="255"/>
      <c r="J152" s="255"/>
      <c r="K152" s="255"/>
      <c r="L152" s="255"/>
      <c r="M152" s="255"/>
      <c r="N152" s="4"/>
      <c r="O152" s="4"/>
      <c r="P152" s="4"/>
      <c r="Q152" s="4"/>
      <c r="R152" s="4"/>
      <c r="S152" s="4"/>
    </row>
    <row r="153" spans="1:19" x14ac:dyDescent="0.2">
      <c r="A153" s="231"/>
      <c r="B153" s="235"/>
      <c r="C153" s="146">
        <f t="shared" si="21"/>
        <v>75</v>
      </c>
      <c r="D153" s="147">
        <f t="shared" si="21"/>
        <v>0</v>
      </c>
      <c r="E153" s="235"/>
      <c r="F153" s="268"/>
      <c r="G153" s="268"/>
      <c r="H153" s="255"/>
      <c r="I153" s="255"/>
      <c r="J153" s="255"/>
      <c r="K153" s="255"/>
      <c r="L153" s="255"/>
      <c r="M153" s="255"/>
      <c r="N153" s="4"/>
      <c r="O153" s="4"/>
      <c r="P153" s="4"/>
      <c r="Q153" s="4"/>
      <c r="R153" s="4"/>
      <c r="S153" s="4"/>
    </row>
    <row r="154" spans="1:19" x14ac:dyDescent="0.2">
      <c r="A154" s="231"/>
      <c r="B154" s="235"/>
      <c r="C154" s="146">
        <f t="shared" si="21"/>
        <v>88</v>
      </c>
      <c r="D154" s="147">
        <f t="shared" si="21"/>
        <v>0</v>
      </c>
      <c r="E154" s="235"/>
      <c r="F154" s="268"/>
      <c r="G154" s="268"/>
      <c r="H154" s="255"/>
      <c r="I154" s="255"/>
      <c r="J154" s="255"/>
      <c r="K154" s="255"/>
      <c r="L154" s="255"/>
      <c r="M154" s="255"/>
      <c r="N154" s="4"/>
      <c r="O154" s="4"/>
      <c r="P154" s="4"/>
      <c r="Q154" s="4"/>
      <c r="R154" s="4"/>
      <c r="S154" s="4"/>
    </row>
    <row r="155" spans="1:19" x14ac:dyDescent="0.2">
      <c r="A155" s="231"/>
      <c r="B155" s="235"/>
      <c r="C155" s="146">
        <f t="shared" si="21"/>
        <v>94</v>
      </c>
      <c r="D155" s="147">
        <f t="shared" si="21"/>
        <v>0</v>
      </c>
      <c r="E155" s="235"/>
      <c r="F155" s="268"/>
      <c r="G155" s="268"/>
      <c r="H155" s="255"/>
      <c r="I155" s="255"/>
      <c r="J155" s="255"/>
      <c r="K155" s="255"/>
      <c r="L155" s="255"/>
      <c r="M155" s="255"/>
      <c r="N155" s="4"/>
      <c r="O155" s="4"/>
      <c r="P155" s="4"/>
      <c r="Q155" s="4"/>
      <c r="R155" s="4"/>
      <c r="S155" s="4"/>
    </row>
    <row r="156" spans="1:19" x14ac:dyDescent="0.2">
      <c r="A156" s="231"/>
      <c r="B156" s="235"/>
      <c r="C156" s="146">
        <f t="shared" si="21"/>
        <v>95</v>
      </c>
      <c r="D156" s="147">
        <f t="shared" si="21"/>
        <v>100</v>
      </c>
      <c r="E156" s="235"/>
      <c r="F156" s="268"/>
      <c r="G156" s="268"/>
      <c r="H156" s="255"/>
      <c r="I156" s="255"/>
      <c r="J156" s="255"/>
      <c r="K156" s="255"/>
      <c r="L156" s="255"/>
      <c r="M156" s="255"/>
      <c r="N156" s="4"/>
      <c r="O156" s="4"/>
      <c r="P156" s="4"/>
      <c r="Q156" s="4"/>
      <c r="R156" s="4"/>
      <c r="S156" s="4"/>
    </row>
    <row r="157" spans="1:19" ht="13.5" thickBot="1" x14ac:dyDescent="0.25">
      <c r="A157" s="238"/>
      <c r="B157" s="239"/>
      <c r="C157" s="166">
        <f t="shared" si="21"/>
        <v>100</v>
      </c>
      <c r="D157" s="167">
        <f t="shared" si="21"/>
        <v>100</v>
      </c>
      <c r="E157" s="239"/>
      <c r="F157" s="268"/>
      <c r="G157" s="268"/>
      <c r="H157" s="255"/>
      <c r="I157" s="255"/>
      <c r="J157" s="255"/>
      <c r="K157" s="255"/>
      <c r="L157" s="255"/>
      <c r="M157" s="255"/>
      <c r="N157" s="4"/>
      <c r="O157" s="4"/>
      <c r="P157" s="4"/>
      <c r="Q157" s="4"/>
      <c r="R157" s="4"/>
      <c r="S157" s="4"/>
    </row>
    <row r="158" spans="1:19" x14ac:dyDescent="0.2">
      <c r="A158" s="277" t="s">
        <v>88</v>
      </c>
      <c r="B158" s="232" t="str">
        <f>Walk!$B$158</f>
        <v>Muscle 14</v>
      </c>
      <c r="C158" s="164">
        <f t="shared" ref="C158:D165" si="22">A521</f>
        <v>0</v>
      </c>
      <c r="D158" s="165">
        <f t="shared" si="22"/>
        <v>110</v>
      </c>
      <c r="E158" s="186">
        <f>B518</f>
        <v>30</v>
      </c>
      <c r="F158" s="268"/>
      <c r="G158" s="268"/>
      <c r="H158" s="255"/>
      <c r="I158" s="255"/>
      <c r="J158" s="255"/>
      <c r="K158" s="255"/>
      <c r="L158" s="255"/>
      <c r="M158" s="255"/>
      <c r="N158" s="4"/>
      <c r="O158" s="4"/>
      <c r="P158" s="4"/>
      <c r="Q158" s="4"/>
      <c r="R158" s="4"/>
      <c r="S158" s="4"/>
    </row>
    <row r="159" spans="1:19" x14ac:dyDescent="0.2">
      <c r="A159" s="231"/>
      <c r="B159" s="235"/>
      <c r="C159" s="146">
        <f t="shared" si="22"/>
        <v>50</v>
      </c>
      <c r="D159" s="147">
        <f t="shared" si="22"/>
        <v>55</v>
      </c>
      <c r="E159" s="235"/>
      <c r="F159" s="268"/>
      <c r="G159" s="268"/>
      <c r="H159" s="255"/>
      <c r="I159" s="255"/>
      <c r="J159" s="255"/>
      <c r="K159" s="255"/>
      <c r="L159" s="255"/>
      <c r="M159" s="255"/>
      <c r="N159" s="4"/>
      <c r="O159" s="4"/>
      <c r="P159" s="4"/>
      <c r="Q159" s="4"/>
      <c r="R159" s="4"/>
      <c r="S159" s="4"/>
    </row>
    <row r="160" spans="1:19" x14ac:dyDescent="0.2">
      <c r="A160" s="231"/>
      <c r="B160" s="235"/>
      <c r="C160" s="146">
        <f t="shared" si="22"/>
        <v>55</v>
      </c>
      <c r="D160" s="147">
        <f t="shared" si="22"/>
        <v>55</v>
      </c>
      <c r="E160" s="235"/>
      <c r="F160" s="268"/>
      <c r="G160" s="268"/>
      <c r="H160" s="255"/>
      <c r="I160" s="255"/>
      <c r="J160" s="255"/>
      <c r="K160" s="255"/>
      <c r="L160" s="255"/>
      <c r="M160" s="255"/>
      <c r="N160" s="4"/>
      <c r="O160" s="4"/>
      <c r="P160" s="4"/>
      <c r="Q160" s="4"/>
      <c r="R160" s="4"/>
      <c r="S160" s="4"/>
    </row>
    <row r="161" spans="1:19" x14ac:dyDescent="0.2">
      <c r="A161" s="231"/>
      <c r="B161" s="235"/>
      <c r="C161" s="146">
        <f t="shared" si="22"/>
        <v>60</v>
      </c>
      <c r="D161" s="147">
        <f t="shared" si="22"/>
        <v>55</v>
      </c>
      <c r="E161" s="235"/>
      <c r="F161" s="268"/>
      <c r="G161" s="268"/>
      <c r="H161" s="255"/>
      <c r="I161" s="255"/>
      <c r="J161" s="255"/>
      <c r="K161" s="255"/>
      <c r="L161" s="255"/>
      <c r="M161" s="255"/>
      <c r="N161" s="4"/>
      <c r="O161" s="4"/>
      <c r="P161" s="4"/>
      <c r="Q161" s="4"/>
      <c r="R161" s="4"/>
      <c r="S161" s="4"/>
    </row>
    <row r="162" spans="1:19" x14ac:dyDescent="0.2">
      <c r="A162" s="231"/>
      <c r="B162" s="235"/>
      <c r="C162" s="146">
        <f t="shared" si="22"/>
        <v>75</v>
      </c>
      <c r="D162" s="147">
        <f t="shared" si="22"/>
        <v>55</v>
      </c>
      <c r="E162" s="235"/>
      <c r="F162" s="268"/>
      <c r="G162" s="268"/>
      <c r="H162" s="255"/>
      <c r="I162" s="255"/>
      <c r="J162" s="255"/>
      <c r="K162" s="255"/>
      <c r="L162" s="255"/>
      <c r="M162" s="255"/>
      <c r="N162" s="4"/>
      <c r="O162" s="4"/>
      <c r="P162" s="4"/>
      <c r="Q162" s="4"/>
      <c r="R162" s="4"/>
      <c r="S162" s="4"/>
    </row>
    <row r="163" spans="1:19" x14ac:dyDescent="0.2">
      <c r="A163" s="231"/>
      <c r="B163" s="235"/>
      <c r="C163" s="146">
        <f t="shared" si="22"/>
        <v>88</v>
      </c>
      <c r="D163" s="147">
        <f t="shared" si="22"/>
        <v>29</v>
      </c>
      <c r="E163" s="235"/>
      <c r="F163" s="268"/>
      <c r="G163" s="268"/>
      <c r="H163" s="255"/>
      <c r="I163" s="255"/>
      <c r="J163" s="255"/>
      <c r="K163" s="255"/>
      <c r="L163" s="255"/>
      <c r="M163" s="255"/>
      <c r="N163" s="4"/>
      <c r="O163" s="4"/>
      <c r="P163" s="4"/>
      <c r="Q163" s="4"/>
      <c r="R163" s="4"/>
      <c r="S163" s="4"/>
    </row>
    <row r="164" spans="1:19" x14ac:dyDescent="0.2">
      <c r="A164" s="231"/>
      <c r="B164" s="235"/>
      <c r="C164" s="146">
        <f t="shared" si="22"/>
        <v>94</v>
      </c>
      <c r="D164" s="147">
        <f t="shared" si="22"/>
        <v>14</v>
      </c>
      <c r="E164" s="235"/>
      <c r="F164" s="268"/>
      <c r="G164" s="268"/>
      <c r="H164" s="255"/>
      <c r="I164" s="255"/>
      <c r="J164" s="255"/>
      <c r="K164" s="255"/>
      <c r="L164" s="255"/>
      <c r="M164" s="255"/>
      <c r="N164" s="4"/>
      <c r="O164" s="4"/>
      <c r="P164" s="4"/>
      <c r="Q164" s="4"/>
      <c r="R164" s="4"/>
      <c r="S164" s="4"/>
    </row>
    <row r="165" spans="1:19" ht="13.5" thickBot="1" x14ac:dyDescent="0.25">
      <c r="A165" s="238"/>
      <c r="B165" s="239"/>
      <c r="C165" s="166">
        <f t="shared" si="22"/>
        <v>100</v>
      </c>
      <c r="D165" s="167">
        <f t="shared" si="22"/>
        <v>0</v>
      </c>
      <c r="E165" s="239"/>
      <c r="F165" s="268"/>
      <c r="G165" s="268"/>
      <c r="H165" s="255"/>
      <c r="I165" s="255"/>
      <c r="J165" s="255"/>
      <c r="K165" s="255"/>
      <c r="L165" s="255"/>
      <c r="M165" s="255"/>
      <c r="N165" s="4"/>
      <c r="O165" s="4"/>
      <c r="P165" s="4"/>
      <c r="Q165" s="4"/>
      <c r="R165" s="4"/>
      <c r="S165" s="4"/>
    </row>
    <row r="166" spans="1:19" x14ac:dyDescent="0.2">
      <c r="A166" s="277" t="s">
        <v>89</v>
      </c>
      <c r="B166" s="232" t="str">
        <f>Walk!$B$166</f>
        <v>Muscle 15</v>
      </c>
      <c r="C166" s="164">
        <f t="shared" ref="C166:D173" si="23">A545</f>
        <v>0</v>
      </c>
      <c r="D166" s="165">
        <f t="shared" si="23"/>
        <v>150</v>
      </c>
      <c r="E166" s="267">
        <f>B542</f>
        <v>60</v>
      </c>
      <c r="F166" s="268"/>
      <c r="G166" s="268"/>
      <c r="H166" s="255"/>
      <c r="I166" s="255"/>
      <c r="J166" s="255"/>
      <c r="K166" s="255"/>
      <c r="L166" s="255"/>
      <c r="M166" s="255"/>
      <c r="N166" s="4"/>
      <c r="O166" s="4"/>
      <c r="P166" s="4"/>
      <c r="Q166" s="4"/>
      <c r="R166" s="4"/>
      <c r="S166" s="4"/>
    </row>
    <row r="167" spans="1:19" x14ac:dyDescent="0.2">
      <c r="A167" s="231"/>
      <c r="B167" s="235"/>
      <c r="C167" s="146">
        <f t="shared" si="23"/>
        <v>10</v>
      </c>
      <c r="D167" s="147">
        <f t="shared" si="23"/>
        <v>150</v>
      </c>
      <c r="E167" s="265"/>
      <c r="F167" s="268"/>
      <c r="G167" s="268"/>
      <c r="H167" s="255"/>
      <c r="I167" s="255"/>
      <c r="J167" s="255"/>
      <c r="K167" s="255"/>
      <c r="L167" s="255"/>
      <c r="M167" s="255"/>
      <c r="N167" s="4"/>
      <c r="O167" s="4"/>
      <c r="P167" s="4"/>
      <c r="Q167" s="4"/>
      <c r="R167" s="4"/>
      <c r="S167" s="4"/>
    </row>
    <row r="168" spans="1:19" x14ac:dyDescent="0.2">
      <c r="A168" s="231"/>
      <c r="B168" s="235"/>
      <c r="C168" s="146">
        <f t="shared" si="23"/>
        <v>50</v>
      </c>
      <c r="D168" s="147">
        <f t="shared" si="23"/>
        <v>150</v>
      </c>
      <c r="E168" s="265"/>
      <c r="F168" s="268"/>
      <c r="G168" s="268"/>
      <c r="H168" s="255"/>
      <c r="I168" s="255"/>
      <c r="J168" s="255"/>
      <c r="K168" s="255"/>
      <c r="L168" s="255"/>
      <c r="M168" s="255"/>
      <c r="N168" s="4"/>
      <c r="O168" s="4"/>
      <c r="P168" s="4"/>
      <c r="Q168" s="4"/>
      <c r="R168" s="4"/>
      <c r="S168" s="4"/>
    </row>
    <row r="169" spans="1:19" x14ac:dyDescent="0.2">
      <c r="A169" s="231"/>
      <c r="B169" s="235"/>
      <c r="C169" s="146">
        <f t="shared" si="23"/>
        <v>80</v>
      </c>
      <c r="D169" s="147">
        <f t="shared" si="23"/>
        <v>150</v>
      </c>
      <c r="E169" s="265"/>
      <c r="F169" s="268"/>
      <c r="G169" s="268"/>
      <c r="H169" s="255"/>
      <c r="I169" s="255"/>
      <c r="J169" s="255"/>
      <c r="K169" s="255"/>
      <c r="L169" s="255"/>
      <c r="M169" s="255"/>
      <c r="N169" s="4"/>
      <c r="O169" s="4"/>
      <c r="P169" s="4"/>
      <c r="Q169" s="4"/>
      <c r="R169" s="4"/>
      <c r="S169" s="4"/>
    </row>
    <row r="170" spans="1:19" x14ac:dyDescent="0.2">
      <c r="A170" s="231"/>
      <c r="B170" s="235"/>
      <c r="C170" s="146">
        <f t="shared" si="23"/>
        <v>90</v>
      </c>
      <c r="D170" s="147">
        <f t="shared" si="23"/>
        <v>75</v>
      </c>
      <c r="E170" s="265"/>
      <c r="F170" s="268"/>
      <c r="G170" s="268"/>
      <c r="H170" s="255"/>
      <c r="I170" s="255"/>
      <c r="J170" s="255"/>
      <c r="K170" s="255"/>
      <c r="L170" s="255"/>
      <c r="M170" s="255"/>
      <c r="N170" s="4"/>
      <c r="O170" s="4"/>
      <c r="P170" s="4"/>
      <c r="Q170" s="4"/>
      <c r="R170" s="4"/>
      <c r="S170" s="4"/>
    </row>
    <row r="171" spans="1:19" x14ac:dyDescent="0.2">
      <c r="A171" s="231"/>
      <c r="B171" s="235"/>
      <c r="C171" s="146">
        <f t="shared" si="23"/>
        <v>95</v>
      </c>
      <c r="D171" s="147">
        <f t="shared" si="23"/>
        <v>38</v>
      </c>
      <c r="E171" s="265"/>
      <c r="F171" s="64"/>
      <c r="G171" s="64"/>
      <c r="H171" s="191"/>
      <c r="I171" s="191"/>
      <c r="J171" s="191"/>
      <c r="K171" s="191"/>
      <c r="L171" s="191"/>
      <c r="M171" s="191"/>
      <c r="N171" s="4"/>
      <c r="O171" s="4"/>
      <c r="P171" s="4"/>
      <c r="Q171" s="4"/>
      <c r="R171" s="4"/>
      <c r="S171" s="4"/>
    </row>
    <row r="172" spans="1:19" x14ac:dyDescent="0.2">
      <c r="A172" s="231"/>
      <c r="B172" s="235"/>
      <c r="C172" s="146">
        <f t="shared" si="23"/>
        <v>98</v>
      </c>
      <c r="D172" s="147">
        <f t="shared" si="23"/>
        <v>23</v>
      </c>
      <c r="E172" s="265"/>
      <c r="F172" s="64"/>
      <c r="G172" s="64"/>
      <c r="H172" s="191"/>
      <c r="I172" s="191"/>
      <c r="J172" s="191"/>
      <c r="K172" s="191"/>
      <c r="L172" s="191"/>
      <c r="M172" s="191"/>
      <c r="N172" s="4"/>
      <c r="O172" s="4"/>
      <c r="P172" s="4"/>
      <c r="Q172" s="4"/>
      <c r="R172" s="4"/>
      <c r="S172" s="4"/>
    </row>
    <row r="173" spans="1:19" ht="13.5" thickBot="1" x14ac:dyDescent="0.25">
      <c r="A173" s="238"/>
      <c r="B173" s="239"/>
      <c r="C173" s="166">
        <f t="shared" si="23"/>
        <v>100</v>
      </c>
      <c r="D173" s="167">
        <f t="shared" si="23"/>
        <v>0</v>
      </c>
      <c r="E173" s="266"/>
      <c r="F173" s="28"/>
      <c r="G173" s="28"/>
      <c r="H173" s="4"/>
      <c r="I173" s="4"/>
      <c r="J173" s="4"/>
      <c r="K173" s="4"/>
      <c r="L173" s="4"/>
      <c r="M173" s="4"/>
      <c r="N173" s="4"/>
      <c r="O173" s="4"/>
      <c r="P173" s="4"/>
      <c r="Q173" s="4"/>
      <c r="R173" s="4"/>
      <c r="S173" s="4"/>
    </row>
    <row r="174" spans="1:19" x14ac:dyDescent="0.2">
      <c r="A174" s="28"/>
      <c r="B174" s="28"/>
      <c r="C174" s="28"/>
      <c r="D174" s="28"/>
      <c r="E174" s="28"/>
      <c r="F174" s="28"/>
      <c r="G174" s="28"/>
      <c r="H174" s="4"/>
      <c r="I174" s="4"/>
      <c r="J174" s="4"/>
      <c r="K174" s="4"/>
      <c r="L174" s="4"/>
      <c r="M174" s="4"/>
      <c r="N174" s="4"/>
      <c r="O174" s="4"/>
      <c r="P174" s="4"/>
      <c r="Q174" s="4"/>
      <c r="R174" s="4"/>
      <c r="S174" s="4"/>
    </row>
    <row r="175" spans="1:19" x14ac:dyDescent="0.2">
      <c r="A175" s="435" t="s">
        <v>22</v>
      </c>
      <c r="B175" s="435"/>
      <c r="C175" s="435"/>
      <c r="D175" s="435"/>
      <c r="E175" s="28"/>
      <c r="F175" s="28"/>
      <c r="G175" s="28"/>
      <c r="H175" s="4"/>
      <c r="I175" s="4"/>
      <c r="J175" s="4"/>
      <c r="K175" s="4"/>
      <c r="L175" s="4"/>
      <c r="M175" s="4"/>
      <c r="N175" s="4"/>
      <c r="O175" s="4"/>
      <c r="P175" s="4"/>
      <c r="Q175" s="4"/>
      <c r="R175" s="4"/>
      <c r="S175" s="4"/>
    </row>
    <row r="176" spans="1:19" x14ac:dyDescent="0.2">
      <c r="A176" s="64"/>
      <c r="B176" s="21"/>
      <c r="C176" s="28"/>
      <c r="D176" s="430" t="s">
        <v>20</v>
      </c>
      <c r="E176" s="430"/>
      <c r="F176" s="430"/>
      <c r="G176" s="28"/>
      <c r="H176" s="4"/>
      <c r="I176" s="4"/>
      <c r="J176" s="4"/>
      <c r="K176" s="4"/>
      <c r="L176" s="4"/>
      <c r="M176" s="4"/>
      <c r="N176" s="4"/>
      <c r="O176" s="4"/>
      <c r="P176" s="4"/>
      <c r="Q176" s="4"/>
      <c r="R176" s="4"/>
      <c r="S176" s="4"/>
    </row>
    <row r="177" spans="1:19" x14ac:dyDescent="0.2">
      <c r="A177" s="28"/>
      <c r="B177" s="28"/>
      <c r="C177" s="28"/>
      <c r="D177" s="430"/>
      <c r="E177" s="430"/>
      <c r="F177" s="430"/>
      <c r="G177" s="28"/>
      <c r="H177" s="4"/>
      <c r="I177" s="4"/>
      <c r="J177" s="4"/>
      <c r="K177" s="4"/>
      <c r="L177" s="4"/>
      <c r="M177" s="4"/>
      <c r="N177" s="4"/>
      <c r="O177" s="4"/>
      <c r="P177" s="4"/>
      <c r="Q177" s="4"/>
      <c r="R177" s="4"/>
      <c r="S177" s="4"/>
    </row>
    <row r="178" spans="1:19" x14ac:dyDescent="0.2">
      <c r="A178" s="192"/>
      <c r="B178" s="192"/>
      <c r="C178" s="28"/>
      <c r="D178" s="28"/>
      <c r="E178" s="28"/>
      <c r="F178" s="28"/>
      <c r="G178" s="28"/>
      <c r="H178" s="4"/>
      <c r="I178" s="4"/>
      <c r="J178" s="4"/>
      <c r="K178" s="4"/>
      <c r="L178" s="4"/>
      <c r="M178" s="4"/>
      <c r="N178" s="4"/>
      <c r="O178" s="4"/>
      <c r="P178" s="4"/>
      <c r="Q178" s="4"/>
      <c r="R178" s="4"/>
      <c r="S178" s="4"/>
    </row>
    <row r="179" spans="1:19" ht="13.5" thickBot="1" x14ac:dyDescent="0.25">
      <c r="A179" s="67"/>
      <c r="B179" s="66"/>
      <c r="C179" s="28"/>
      <c r="D179" s="28"/>
      <c r="E179" s="28"/>
      <c r="F179" s="28"/>
      <c r="G179" s="28"/>
      <c r="H179" s="4"/>
      <c r="I179" s="4"/>
      <c r="J179" s="4"/>
      <c r="K179" s="4"/>
      <c r="L179" s="4"/>
      <c r="M179" s="4"/>
      <c r="N179" s="4"/>
      <c r="O179" s="4"/>
      <c r="P179" s="4"/>
      <c r="Q179" s="4"/>
      <c r="R179" s="4"/>
      <c r="S179" s="4"/>
    </row>
    <row r="180" spans="1:19" ht="13.5" thickBot="1" x14ac:dyDescent="0.25">
      <c r="A180" s="129" t="s">
        <v>73</v>
      </c>
      <c r="B180" s="25" t="s">
        <v>16</v>
      </c>
      <c r="C180" s="191"/>
      <c r="D180" s="191"/>
      <c r="E180" s="191"/>
      <c r="F180" s="191"/>
      <c r="G180" s="191"/>
      <c r="H180" s="4"/>
      <c r="I180" s="4"/>
      <c r="J180" s="4"/>
      <c r="K180" s="4"/>
      <c r="L180" s="4"/>
      <c r="M180" s="4"/>
      <c r="N180" s="4"/>
      <c r="O180" s="4"/>
      <c r="P180" s="4"/>
      <c r="Q180" s="4"/>
      <c r="R180" s="4"/>
      <c r="S180" s="4"/>
    </row>
    <row r="181" spans="1:19" ht="13.5" thickBot="1" x14ac:dyDescent="0.25">
      <c r="A181" s="311" t="s">
        <v>74</v>
      </c>
      <c r="B181" s="209">
        <v>60</v>
      </c>
      <c r="C181" s="191"/>
      <c r="D181" s="191"/>
      <c r="E181" s="191"/>
      <c r="F181" s="191"/>
      <c r="G181" s="191"/>
      <c r="H181" s="4"/>
      <c r="I181" s="4"/>
      <c r="J181" s="4"/>
      <c r="K181" s="4"/>
      <c r="L181" s="4"/>
      <c r="M181" s="4"/>
      <c r="N181" s="4"/>
      <c r="O181" s="4"/>
      <c r="P181" s="4"/>
      <c r="Q181" s="4"/>
      <c r="R181" s="4"/>
      <c r="S181" s="4"/>
    </row>
    <row r="182" spans="1:19" ht="13.5" thickBot="1" x14ac:dyDescent="0.25">
      <c r="A182" s="1"/>
      <c r="B182" s="193"/>
      <c r="C182" s="191"/>
      <c r="D182" s="191"/>
      <c r="E182" s="191"/>
      <c r="F182" s="191"/>
      <c r="G182" s="191"/>
      <c r="H182" s="4"/>
      <c r="I182" s="4"/>
      <c r="J182" s="4"/>
      <c r="K182" s="4"/>
      <c r="L182" s="4"/>
      <c r="M182" s="4"/>
      <c r="N182" s="4"/>
      <c r="O182" s="4"/>
      <c r="P182" s="4"/>
      <c r="Q182" s="4"/>
      <c r="R182" s="4"/>
      <c r="S182" s="4"/>
    </row>
    <row r="183" spans="1:19" ht="13.5" thickBot="1" x14ac:dyDescent="0.25">
      <c r="A183" s="118" t="s">
        <v>1</v>
      </c>
      <c r="B183" s="119" t="s">
        <v>14</v>
      </c>
      <c r="C183" s="191"/>
      <c r="D183" s="191"/>
      <c r="E183" s="191"/>
      <c r="F183" s="191"/>
      <c r="G183" s="191"/>
      <c r="H183" s="4"/>
      <c r="I183" s="4"/>
      <c r="J183" s="4"/>
      <c r="K183" s="4"/>
      <c r="L183" s="4"/>
      <c r="M183" s="4"/>
      <c r="N183" s="4"/>
      <c r="O183" s="4"/>
      <c r="P183" s="4"/>
      <c r="Q183" s="4"/>
      <c r="R183" s="4"/>
      <c r="S183" s="4"/>
    </row>
    <row r="184" spans="1:19" x14ac:dyDescent="0.2">
      <c r="A184" s="48">
        <v>0</v>
      </c>
      <c r="B184" s="51">
        <v>100</v>
      </c>
      <c r="C184" s="191"/>
      <c r="D184" s="191"/>
      <c r="E184" s="191"/>
      <c r="F184" s="191"/>
      <c r="G184" s="191"/>
      <c r="H184" s="4"/>
      <c r="I184" s="4"/>
      <c r="J184" s="4"/>
      <c r="K184" s="4"/>
      <c r="L184" s="4"/>
      <c r="M184" s="4"/>
      <c r="N184" s="4"/>
      <c r="O184" s="4"/>
      <c r="P184" s="4"/>
      <c r="Q184" s="4"/>
      <c r="R184" s="4"/>
      <c r="S184" s="4"/>
    </row>
    <row r="185" spans="1:19" x14ac:dyDescent="0.2">
      <c r="A185" s="49">
        <v>50</v>
      </c>
      <c r="B185" s="52">
        <v>50</v>
      </c>
      <c r="C185" s="191"/>
      <c r="D185" s="191"/>
      <c r="E185" s="191"/>
      <c r="F185" s="191"/>
      <c r="G185" s="191"/>
      <c r="H185" s="4"/>
      <c r="I185" s="4"/>
      <c r="J185" s="4"/>
      <c r="K185" s="4"/>
      <c r="L185" s="4"/>
      <c r="M185" s="4"/>
      <c r="N185" s="4"/>
      <c r="O185" s="4"/>
      <c r="P185" s="4"/>
      <c r="Q185" s="4"/>
      <c r="R185" s="4"/>
      <c r="S185" s="4"/>
    </row>
    <row r="186" spans="1:19" x14ac:dyDescent="0.2">
      <c r="A186" s="49">
        <v>55</v>
      </c>
      <c r="B186" s="52">
        <v>50</v>
      </c>
      <c r="C186" s="191"/>
      <c r="D186" s="191"/>
      <c r="E186" s="191"/>
      <c r="F186" s="191"/>
      <c r="G186" s="191"/>
      <c r="H186" s="4"/>
      <c r="I186" s="4"/>
      <c r="J186" s="4"/>
      <c r="K186" s="4"/>
      <c r="L186" s="4"/>
      <c r="M186" s="4"/>
      <c r="N186" s="4"/>
      <c r="O186" s="4"/>
      <c r="P186" s="4"/>
      <c r="Q186" s="4"/>
      <c r="R186" s="4"/>
      <c r="S186" s="4"/>
    </row>
    <row r="187" spans="1:19" x14ac:dyDescent="0.2">
      <c r="A187" s="49">
        <v>60</v>
      </c>
      <c r="B187" s="52">
        <v>50</v>
      </c>
      <c r="C187" s="191"/>
      <c r="D187" s="191"/>
      <c r="E187" s="191"/>
      <c r="F187" s="191"/>
      <c r="G187" s="191"/>
      <c r="H187" s="4"/>
      <c r="I187" s="4"/>
      <c r="J187" s="4"/>
      <c r="K187" s="4"/>
      <c r="L187" s="4"/>
      <c r="M187" s="4"/>
      <c r="N187" s="4"/>
      <c r="O187" s="4"/>
      <c r="P187" s="4"/>
      <c r="Q187" s="4"/>
      <c r="R187" s="4"/>
      <c r="S187" s="4"/>
    </row>
    <row r="188" spans="1:19" x14ac:dyDescent="0.2">
      <c r="A188" s="49">
        <v>75</v>
      </c>
      <c r="B188" s="52">
        <v>50</v>
      </c>
      <c r="C188" s="191"/>
      <c r="D188" s="191"/>
      <c r="E188" s="191"/>
      <c r="F188" s="191"/>
      <c r="G188" s="191"/>
      <c r="H188" s="4"/>
      <c r="I188" s="4"/>
      <c r="J188" s="4"/>
      <c r="K188" s="4"/>
      <c r="L188" s="4"/>
      <c r="M188" s="4"/>
      <c r="N188" s="4"/>
      <c r="O188" s="4"/>
      <c r="P188" s="4"/>
      <c r="Q188" s="4"/>
      <c r="R188" s="4"/>
      <c r="S188" s="4"/>
    </row>
    <row r="189" spans="1:19" x14ac:dyDescent="0.2">
      <c r="A189" s="49">
        <v>88</v>
      </c>
      <c r="B189" s="52">
        <v>26</v>
      </c>
      <c r="C189" s="191"/>
      <c r="D189" s="191"/>
      <c r="E189" s="191"/>
      <c r="F189" s="191"/>
      <c r="G189" s="191"/>
      <c r="H189" s="4"/>
      <c r="I189" s="4"/>
      <c r="J189" s="4"/>
      <c r="K189" s="4"/>
      <c r="L189" s="4"/>
      <c r="M189" s="4"/>
      <c r="N189" s="4"/>
      <c r="O189" s="4"/>
      <c r="P189" s="4"/>
      <c r="Q189" s="4"/>
      <c r="R189" s="4"/>
      <c r="S189" s="4"/>
    </row>
    <row r="190" spans="1:19" x14ac:dyDescent="0.2">
      <c r="A190" s="49">
        <v>94</v>
      </c>
      <c r="B190" s="52">
        <v>13</v>
      </c>
      <c r="C190" s="191"/>
      <c r="D190" s="191"/>
      <c r="E190" s="191"/>
      <c r="F190" s="191"/>
      <c r="G190" s="191"/>
      <c r="H190" s="4"/>
      <c r="I190" s="4"/>
      <c r="J190" s="4"/>
      <c r="K190" s="4"/>
      <c r="L190" s="4"/>
      <c r="M190" s="4"/>
      <c r="N190" s="4"/>
      <c r="O190" s="4"/>
      <c r="P190" s="4"/>
      <c r="Q190" s="4"/>
      <c r="R190" s="4"/>
      <c r="S190" s="4"/>
    </row>
    <row r="191" spans="1:19" ht="13.5" thickBot="1" x14ac:dyDescent="0.25">
      <c r="A191" s="50">
        <v>100</v>
      </c>
      <c r="B191" s="53">
        <v>0</v>
      </c>
      <c r="C191" s="191"/>
      <c r="D191" s="191"/>
      <c r="E191" s="191"/>
      <c r="F191" s="191"/>
      <c r="G191" s="191"/>
      <c r="H191" s="4"/>
      <c r="I191" s="4"/>
      <c r="J191" s="4"/>
      <c r="K191" s="4"/>
      <c r="L191" s="4"/>
      <c r="M191" s="4"/>
      <c r="N191" s="4"/>
      <c r="O191" s="4"/>
      <c r="P191" s="4"/>
      <c r="Q191" s="4"/>
      <c r="R191" s="4"/>
      <c r="S191" s="4"/>
    </row>
    <row r="192" spans="1:19" ht="13.5" thickBot="1" x14ac:dyDescent="0.25">
      <c r="A192" s="191"/>
      <c r="B192" s="191"/>
      <c r="C192" s="191"/>
      <c r="D192" s="191"/>
      <c r="E192" s="191"/>
      <c r="F192" s="191"/>
      <c r="G192" s="191"/>
      <c r="H192" s="4"/>
      <c r="I192" s="4"/>
      <c r="J192" s="4"/>
      <c r="K192" s="4"/>
      <c r="L192" s="4"/>
      <c r="M192" s="4"/>
      <c r="N192" s="4"/>
      <c r="O192" s="4"/>
      <c r="P192" s="4"/>
      <c r="Q192" s="4"/>
      <c r="R192" s="4"/>
      <c r="S192" s="4"/>
    </row>
    <row r="193" spans="1:19" ht="13.5" thickBot="1" x14ac:dyDescent="0.25">
      <c r="A193" s="194" t="s">
        <v>15</v>
      </c>
      <c r="B193" s="25" t="s">
        <v>14</v>
      </c>
      <c r="C193" s="191"/>
      <c r="D193" s="191"/>
      <c r="E193" s="191"/>
      <c r="F193" s="191"/>
      <c r="G193" s="191"/>
      <c r="H193" s="4"/>
      <c r="I193" s="4"/>
      <c r="J193" s="4"/>
      <c r="K193" s="4"/>
      <c r="L193" s="4"/>
      <c r="M193" s="4"/>
      <c r="N193" s="4"/>
      <c r="O193" s="4"/>
      <c r="P193" s="4"/>
      <c r="Q193" s="4"/>
      <c r="R193" s="4"/>
      <c r="S193" s="4"/>
    </row>
    <row r="194" spans="1:19" x14ac:dyDescent="0.2">
      <c r="A194" s="37">
        <f t="shared" ref="A194:A201" si="24">A184*F$4/100</f>
        <v>0</v>
      </c>
      <c r="B194" s="38">
        <f t="shared" ref="B194:B201" si="25">B184</f>
        <v>100</v>
      </c>
      <c r="C194" s="191"/>
      <c r="D194" s="191"/>
      <c r="E194" s="191"/>
      <c r="F194" s="191"/>
      <c r="G194" s="191"/>
      <c r="H194" s="4"/>
      <c r="I194" s="4"/>
      <c r="J194" s="4"/>
      <c r="K194" s="4"/>
      <c r="L194" s="4"/>
      <c r="M194" s="4"/>
      <c r="N194" s="4"/>
      <c r="O194" s="4"/>
      <c r="P194" s="4"/>
      <c r="Q194" s="4"/>
      <c r="R194" s="4"/>
      <c r="S194" s="4"/>
    </row>
    <row r="195" spans="1:19" x14ac:dyDescent="0.2">
      <c r="A195" s="39">
        <f t="shared" si="24"/>
        <v>0.72499999999999998</v>
      </c>
      <c r="B195" s="40">
        <f t="shared" si="25"/>
        <v>50</v>
      </c>
      <c r="C195" s="191"/>
      <c r="D195" s="191"/>
      <c r="E195" s="191"/>
      <c r="F195" s="191"/>
      <c r="G195" s="191"/>
      <c r="H195" s="4"/>
      <c r="I195" s="4"/>
      <c r="J195" s="4"/>
      <c r="K195" s="4"/>
      <c r="L195" s="4"/>
      <c r="M195" s="4"/>
      <c r="N195" s="4"/>
      <c r="O195" s="4"/>
      <c r="P195" s="4"/>
      <c r="Q195" s="4"/>
      <c r="R195" s="4"/>
      <c r="S195" s="4"/>
    </row>
    <row r="196" spans="1:19" x14ac:dyDescent="0.2">
      <c r="A196" s="39">
        <f t="shared" si="24"/>
        <v>0.79749999999999999</v>
      </c>
      <c r="B196" s="40">
        <f t="shared" si="25"/>
        <v>50</v>
      </c>
      <c r="C196" s="191"/>
      <c r="D196" s="191"/>
      <c r="E196" s="191"/>
      <c r="F196" s="191"/>
      <c r="G196" s="191"/>
      <c r="H196" s="4"/>
      <c r="I196" s="4"/>
      <c r="J196" s="4"/>
      <c r="K196" s="4"/>
      <c r="L196" s="4"/>
      <c r="M196" s="4"/>
      <c r="N196" s="4"/>
      <c r="O196" s="4"/>
      <c r="P196" s="4"/>
      <c r="Q196" s="4"/>
      <c r="R196" s="4"/>
      <c r="S196" s="4"/>
    </row>
    <row r="197" spans="1:19" x14ac:dyDescent="0.2">
      <c r="A197" s="39">
        <f t="shared" si="24"/>
        <v>0.87</v>
      </c>
      <c r="B197" s="40">
        <f t="shared" si="25"/>
        <v>50</v>
      </c>
      <c r="C197" s="191"/>
      <c r="D197" s="191"/>
      <c r="E197" s="191"/>
      <c r="F197" s="191"/>
      <c r="G197" s="191"/>
      <c r="H197" s="4"/>
      <c r="I197" s="4"/>
      <c r="J197" s="4"/>
      <c r="K197" s="4"/>
      <c r="L197" s="4"/>
      <c r="M197" s="4"/>
      <c r="N197" s="4"/>
      <c r="O197" s="4"/>
      <c r="P197" s="4"/>
      <c r="Q197" s="4"/>
      <c r="R197" s="4"/>
      <c r="S197" s="4"/>
    </row>
    <row r="198" spans="1:19" x14ac:dyDescent="0.2">
      <c r="A198" s="39">
        <f t="shared" si="24"/>
        <v>1.0874999999999999</v>
      </c>
      <c r="B198" s="40">
        <f t="shared" si="25"/>
        <v>50</v>
      </c>
      <c r="C198" s="191"/>
      <c r="D198" s="191"/>
      <c r="E198" s="191"/>
      <c r="F198" s="191"/>
      <c r="G198" s="191"/>
      <c r="H198" s="4"/>
      <c r="I198" s="4"/>
      <c r="J198" s="4"/>
      <c r="K198" s="4"/>
      <c r="L198" s="4"/>
      <c r="M198" s="4"/>
      <c r="N198" s="4"/>
      <c r="O198" s="4"/>
      <c r="P198" s="4"/>
      <c r="Q198" s="4"/>
      <c r="R198" s="4"/>
      <c r="S198" s="4"/>
    </row>
    <row r="199" spans="1:19" x14ac:dyDescent="0.2">
      <c r="A199" s="39">
        <f t="shared" si="24"/>
        <v>1.276</v>
      </c>
      <c r="B199" s="40">
        <f t="shared" si="25"/>
        <v>26</v>
      </c>
      <c r="C199" s="191"/>
      <c r="D199" s="191"/>
      <c r="E199" s="191"/>
      <c r="F199" s="191"/>
      <c r="G199" s="191"/>
      <c r="H199" s="4"/>
      <c r="I199" s="4"/>
      <c r="J199" s="4"/>
      <c r="K199" s="4"/>
      <c r="L199" s="4"/>
      <c r="M199" s="4"/>
      <c r="N199" s="4"/>
      <c r="O199" s="4"/>
      <c r="P199" s="4"/>
      <c r="Q199" s="4"/>
      <c r="R199" s="4"/>
      <c r="S199" s="4"/>
    </row>
    <row r="200" spans="1:19" x14ac:dyDescent="0.2">
      <c r="A200" s="39">
        <f t="shared" si="24"/>
        <v>1.3629999999999998</v>
      </c>
      <c r="B200" s="40">
        <f t="shared" si="25"/>
        <v>13</v>
      </c>
      <c r="C200" s="191"/>
      <c r="D200" s="191"/>
      <c r="E200" s="191"/>
      <c r="F200" s="191"/>
      <c r="G200" s="191"/>
      <c r="H200" s="4"/>
      <c r="I200" s="4"/>
      <c r="J200" s="4"/>
      <c r="K200" s="4"/>
      <c r="L200" s="4"/>
      <c r="M200" s="4"/>
      <c r="N200" s="4"/>
      <c r="O200" s="4"/>
      <c r="P200" s="4"/>
      <c r="Q200" s="4"/>
      <c r="R200" s="4"/>
      <c r="S200" s="4"/>
    </row>
    <row r="201" spans="1:19" ht="13.5" thickBot="1" x14ac:dyDescent="0.25">
      <c r="A201" s="41">
        <f t="shared" si="24"/>
        <v>1.45</v>
      </c>
      <c r="B201" s="42">
        <f t="shared" si="25"/>
        <v>0</v>
      </c>
      <c r="C201" s="191"/>
      <c r="D201" s="191"/>
      <c r="E201" s="191"/>
      <c r="F201" s="191"/>
      <c r="G201" s="191"/>
      <c r="H201" s="4"/>
      <c r="I201" s="4"/>
      <c r="J201" s="4"/>
      <c r="K201" s="4"/>
      <c r="L201" s="4"/>
      <c r="M201" s="4"/>
      <c r="N201" s="4"/>
      <c r="O201" s="4"/>
      <c r="P201" s="4"/>
      <c r="Q201" s="4"/>
      <c r="R201" s="4"/>
      <c r="S201" s="4"/>
    </row>
    <row r="202" spans="1:19" x14ac:dyDescent="0.2">
      <c r="A202" s="191"/>
      <c r="B202" s="191"/>
      <c r="C202" s="191"/>
      <c r="D202" s="191"/>
      <c r="E202" s="191"/>
      <c r="F202" s="191"/>
      <c r="G202" s="191"/>
      <c r="H202" s="4"/>
      <c r="I202" s="4"/>
      <c r="J202" s="4"/>
      <c r="K202" s="4"/>
      <c r="L202" s="4"/>
      <c r="M202" s="4"/>
      <c r="N202" s="4"/>
      <c r="O202" s="4"/>
      <c r="P202" s="4"/>
      <c r="Q202" s="4"/>
      <c r="R202" s="4"/>
      <c r="S202" s="4"/>
    </row>
    <row r="203" spans="1:19" ht="13.5" thickBot="1" x14ac:dyDescent="0.25">
      <c r="A203" s="121"/>
      <c r="B203" s="121"/>
      <c r="C203" s="191"/>
      <c r="D203" s="191"/>
      <c r="E203" s="191"/>
      <c r="F203" s="191"/>
      <c r="G203" s="191"/>
      <c r="H203" s="4"/>
      <c r="I203" s="4"/>
      <c r="J203" s="4"/>
      <c r="K203" s="4"/>
      <c r="L203" s="4"/>
      <c r="M203" s="4"/>
      <c r="N203" s="4"/>
      <c r="O203" s="4"/>
      <c r="P203" s="4"/>
      <c r="Q203" s="4"/>
      <c r="R203" s="4"/>
      <c r="S203" s="4"/>
    </row>
    <row r="204" spans="1:19" ht="13.5" thickBot="1" x14ac:dyDescent="0.25">
      <c r="A204" s="129" t="s">
        <v>73</v>
      </c>
      <c r="B204" s="119" t="s">
        <v>16</v>
      </c>
      <c r="C204" s="191"/>
      <c r="D204" s="191"/>
      <c r="E204" s="191"/>
      <c r="F204" s="191"/>
      <c r="G204" s="191"/>
      <c r="H204" s="4"/>
      <c r="I204" s="4"/>
      <c r="J204" s="4"/>
      <c r="K204" s="4"/>
      <c r="L204" s="4"/>
      <c r="M204" s="4"/>
      <c r="N204" s="4"/>
      <c r="O204" s="4"/>
      <c r="P204" s="4"/>
      <c r="Q204" s="4"/>
      <c r="R204" s="4"/>
      <c r="S204" s="4"/>
    </row>
    <row r="205" spans="1:19" ht="13.5" thickBot="1" x14ac:dyDescent="0.25">
      <c r="A205" s="311" t="s">
        <v>75</v>
      </c>
      <c r="B205" s="210">
        <v>30</v>
      </c>
      <c r="C205" s="191"/>
      <c r="D205" s="191"/>
      <c r="E205" s="191"/>
      <c r="F205" s="191"/>
      <c r="G205" s="191"/>
      <c r="H205" s="4"/>
      <c r="I205" s="4"/>
      <c r="J205" s="4"/>
      <c r="K205" s="4"/>
      <c r="L205" s="4"/>
      <c r="M205" s="4"/>
      <c r="N205" s="4"/>
      <c r="O205" s="4"/>
      <c r="P205" s="4"/>
      <c r="Q205" s="4"/>
      <c r="R205" s="4"/>
      <c r="S205" s="4"/>
    </row>
    <row r="206" spans="1:19" ht="13.5" thickBot="1" x14ac:dyDescent="0.25">
      <c r="A206" s="121"/>
      <c r="B206" s="121"/>
      <c r="C206" s="191"/>
      <c r="D206" s="191"/>
      <c r="E206" s="191"/>
      <c r="F206" s="191"/>
      <c r="G206" s="191"/>
      <c r="H206" s="4"/>
      <c r="I206" s="4"/>
      <c r="J206" s="4"/>
      <c r="K206" s="4"/>
      <c r="L206" s="4"/>
      <c r="M206" s="4"/>
      <c r="N206" s="4"/>
      <c r="O206" s="4"/>
      <c r="P206" s="4"/>
      <c r="Q206" s="4"/>
      <c r="R206" s="4"/>
      <c r="S206" s="4"/>
    </row>
    <row r="207" spans="1:19" ht="13.5" thickBot="1" x14ac:dyDescent="0.25">
      <c r="A207" s="118" t="s">
        <v>1</v>
      </c>
      <c r="B207" s="119" t="s">
        <v>14</v>
      </c>
      <c r="C207" s="191"/>
      <c r="D207" s="191"/>
      <c r="E207" s="191"/>
      <c r="F207" s="191"/>
      <c r="G207" s="191"/>
      <c r="H207" s="4"/>
      <c r="I207" s="4"/>
      <c r="J207" s="4"/>
      <c r="K207" s="4"/>
      <c r="L207" s="4"/>
      <c r="M207" s="4"/>
      <c r="N207" s="4"/>
      <c r="O207" s="4"/>
      <c r="P207" s="4"/>
      <c r="Q207" s="4"/>
      <c r="R207" s="4"/>
      <c r="S207" s="4"/>
    </row>
    <row r="208" spans="1:19" x14ac:dyDescent="0.2">
      <c r="A208" s="54">
        <v>0</v>
      </c>
      <c r="B208" s="51">
        <v>0</v>
      </c>
      <c r="C208" s="191"/>
      <c r="D208" s="191"/>
      <c r="E208" s="191"/>
      <c r="F208" s="191"/>
      <c r="G208" s="191"/>
      <c r="H208" s="4"/>
      <c r="I208" s="4"/>
      <c r="J208" s="4"/>
      <c r="K208" s="4"/>
      <c r="L208" s="4"/>
      <c r="M208" s="4"/>
      <c r="N208" s="4"/>
      <c r="O208" s="4"/>
      <c r="P208" s="4"/>
      <c r="Q208" s="4"/>
      <c r="R208" s="4"/>
      <c r="S208" s="4"/>
    </row>
    <row r="209" spans="1:19" x14ac:dyDescent="0.2">
      <c r="A209" s="49">
        <v>10</v>
      </c>
      <c r="B209" s="52">
        <v>0</v>
      </c>
      <c r="C209" s="191"/>
      <c r="D209" s="191"/>
      <c r="E209" s="191"/>
      <c r="F209" s="191"/>
      <c r="G209" s="191"/>
      <c r="H209" s="4"/>
      <c r="I209" s="4"/>
      <c r="J209" s="4"/>
      <c r="K209" s="4"/>
      <c r="L209" s="4"/>
      <c r="M209" s="4"/>
      <c r="N209" s="4"/>
      <c r="O209" s="4"/>
      <c r="P209" s="4"/>
      <c r="Q209" s="4"/>
      <c r="R209" s="4"/>
      <c r="S209" s="4"/>
    </row>
    <row r="210" spans="1:19" x14ac:dyDescent="0.2">
      <c r="A210" s="49">
        <v>50</v>
      </c>
      <c r="B210" s="52">
        <v>0</v>
      </c>
      <c r="C210" s="191"/>
      <c r="D210" s="191"/>
      <c r="E210" s="191"/>
      <c r="F210" s="191"/>
      <c r="G210" s="191"/>
      <c r="H210" s="4"/>
      <c r="I210" s="4"/>
      <c r="J210" s="4"/>
      <c r="K210" s="4"/>
      <c r="L210" s="4"/>
      <c r="M210" s="4"/>
      <c r="N210" s="4"/>
      <c r="O210" s="4"/>
      <c r="P210" s="4"/>
      <c r="Q210" s="4"/>
      <c r="R210" s="4"/>
      <c r="S210" s="4"/>
    </row>
    <row r="211" spans="1:19" x14ac:dyDescent="0.2">
      <c r="A211" s="49">
        <v>75</v>
      </c>
      <c r="B211" s="52">
        <v>0</v>
      </c>
      <c r="C211" s="191"/>
      <c r="D211" s="191"/>
      <c r="E211" s="191"/>
      <c r="F211" s="191"/>
      <c r="G211" s="191"/>
      <c r="H211" s="4"/>
      <c r="I211" s="4"/>
      <c r="J211" s="4"/>
      <c r="K211" s="4"/>
      <c r="L211" s="4"/>
      <c r="M211" s="4"/>
      <c r="N211" s="4"/>
      <c r="O211" s="4"/>
      <c r="P211" s="4"/>
      <c r="Q211" s="4"/>
      <c r="R211" s="4"/>
      <c r="S211" s="4"/>
    </row>
    <row r="212" spans="1:19" x14ac:dyDescent="0.2">
      <c r="A212" s="49">
        <v>88</v>
      </c>
      <c r="B212" s="52">
        <v>0</v>
      </c>
      <c r="C212" s="191"/>
      <c r="D212" s="191"/>
      <c r="E212" s="191"/>
      <c r="F212" s="191"/>
      <c r="G212" s="191"/>
      <c r="H212" s="4"/>
      <c r="I212" s="4"/>
      <c r="J212" s="4"/>
      <c r="K212" s="4"/>
      <c r="L212" s="4"/>
      <c r="M212" s="4"/>
      <c r="N212" s="4"/>
      <c r="O212" s="4"/>
      <c r="P212" s="4"/>
      <c r="Q212" s="4"/>
      <c r="R212" s="4"/>
      <c r="S212" s="4"/>
    </row>
    <row r="213" spans="1:19" x14ac:dyDescent="0.2">
      <c r="A213" s="49">
        <v>94</v>
      </c>
      <c r="B213" s="52">
        <v>0</v>
      </c>
      <c r="C213" s="191"/>
      <c r="D213" s="191"/>
      <c r="E213" s="191"/>
      <c r="F213" s="191"/>
      <c r="G213" s="191"/>
      <c r="H213" s="4"/>
      <c r="I213" s="4"/>
      <c r="J213" s="4"/>
      <c r="K213" s="4"/>
      <c r="L213" s="4"/>
      <c r="M213" s="4"/>
      <c r="N213" s="4"/>
      <c r="O213" s="4"/>
      <c r="P213" s="4"/>
      <c r="Q213" s="4"/>
      <c r="R213" s="4"/>
      <c r="S213" s="4"/>
    </row>
    <row r="214" spans="1:19" x14ac:dyDescent="0.2">
      <c r="A214" s="49">
        <v>95</v>
      </c>
      <c r="B214" s="52">
        <v>0</v>
      </c>
      <c r="C214" s="191"/>
      <c r="D214" s="191"/>
      <c r="E214" s="191"/>
      <c r="F214" s="191"/>
      <c r="G214" s="191"/>
      <c r="H214" s="4"/>
      <c r="I214" s="4"/>
      <c r="J214" s="4"/>
      <c r="K214" s="4"/>
      <c r="L214" s="4"/>
      <c r="M214" s="4"/>
      <c r="N214" s="4"/>
      <c r="O214" s="4"/>
      <c r="P214" s="4"/>
      <c r="Q214" s="4"/>
      <c r="R214" s="4"/>
      <c r="S214" s="4"/>
    </row>
    <row r="215" spans="1:19" ht="13.5" thickBot="1" x14ac:dyDescent="0.25">
      <c r="A215" s="50">
        <v>100</v>
      </c>
      <c r="B215" s="53">
        <v>0</v>
      </c>
      <c r="C215" s="191"/>
      <c r="D215" s="191"/>
      <c r="E215" s="191"/>
      <c r="F215" s="191"/>
      <c r="G215" s="191"/>
      <c r="H215" s="4"/>
      <c r="I215" s="4"/>
      <c r="J215" s="4"/>
      <c r="K215" s="4"/>
      <c r="L215" s="4"/>
      <c r="M215" s="4"/>
      <c r="N215" s="4"/>
      <c r="O215" s="4"/>
      <c r="P215" s="4"/>
      <c r="Q215" s="4"/>
      <c r="R215" s="4"/>
      <c r="S215" s="4"/>
    </row>
    <row r="216" spans="1:19" ht="13.5" thickBot="1" x14ac:dyDescent="0.25">
      <c r="A216" s="191"/>
      <c r="B216" s="191"/>
      <c r="C216" s="191"/>
      <c r="D216" s="191"/>
      <c r="E216" s="191"/>
      <c r="F216" s="191"/>
      <c r="G216" s="191"/>
      <c r="H216" s="4"/>
      <c r="I216" s="4"/>
      <c r="J216" s="4"/>
      <c r="K216" s="4"/>
      <c r="L216" s="4"/>
      <c r="M216" s="4"/>
      <c r="N216" s="4"/>
      <c r="O216" s="4"/>
      <c r="P216" s="4"/>
      <c r="Q216" s="4"/>
      <c r="R216" s="4"/>
      <c r="S216" s="4"/>
    </row>
    <row r="217" spans="1:19" ht="13.5" thickBot="1" x14ac:dyDescent="0.25">
      <c r="A217" s="194" t="s">
        <v>15</v>
      </c>
      <c r="B217" s="25" t="s">
        <v>14</v>
      </c>
      <c r="C217" s="191"/>
      <c r="D217" s="191"/>
      <c r="E217" s="191"/>
      <c r="F217" s="191"/>
      <c r="G217" s="191"/>
      <c r="H217" s="4"/>
      <c r="I217" s="4"/>
      <c r="J217" s="4"/>
      <c r="K217" s="4"/>
      <c r="L217" s="4"/>
      <c r="M217" s="4"/>
      <c r="N217" s="4"/>
      <c r="O217" s="4"/>
      <c r="P217" s="4"/>
      <c r="Q217" s="4"/>
      <c r="R217" s="4"/>
      <c r="S217" s="4"/>
    </row>
    <row r="218" spans="1:19" x14ac:dyDescent="0.2">
      <c r="A218" s="37">
        <f t="shared" ref="A218:A225" si="26">A208*F$4/100</f>
        <v>0</v>
      </c>
      <c r="B218" s="38">
        <f t="shared" ref="B218:B225" si="27">B208</f>
        <v>0</v>
      </c>
      <c r="C218" s="191"/>
      <c r="D218" s="191"/>
      <c r="E218" s="191"/>
      <c r="F218" s="191"/>
      <c r="G218" s="191"/>
      <c r="H218" s="4"/>
      <c r="I218" s="4"/>
      <c r="J218" s="4"/>
      <c r="K218" s="4"/>
      <c r="L218" s="4"/>
      <c r="M218" s="4"/>
      <c r="N218" s="4"/>
      <c r="O218" s="4"/>
      <c r="P218" s="4"/>
      <c r="Q218" s="4"/>
      <c r="R218" s="4"/>
      <c r="S218" s="4"/>
    </row>
    <row r="219" spans="1:19" x14ac:dyDescent="0.2">
      <c r="A219" s="39">
        <f t="shared" si="26"/>
        <v>0.14499999999999999</v>
      </c>
      <c r="B219" s="40">
        <f t="shared" si="27"/>
        <v>0</v>
      </c>
      <c r="C219" s="191"/>
      <c r="D219" s="191"/>
      <c r="E219" s="191"/>
      <c r="F219" s="191"/>
      <c r="G219" s="191"/>
      <c r="H219" s="4"/>
      <c r="I219" s="4"/>
      <c r="J219" s="4"/>
      <c r="K219" s="4"/>
      <c r="L219" s="4"/>
      <c r="M219" s="4"/>
      <c r="N219" s="4"/>
      <c r="O219" s="4"/>
      <c r="P219" s="4"/>
      <c r="Q219" s="4"/>
      <c r="R219" s="4"/>
      <c r="S219" s="4"/>
    </row>
    <row r="220" spans="1:19" x14ac:dyDescent="0.2">
      <c r="A220" s="39">
        <f t="shared" si="26"/>
        <v>0.72499999999999998</v>
      </c>
      <c r="B220" s="40">
        <f t="shared" si="27"/>
        <v>0</v>
      </c>
      <c r="C220" s="191"/>
      <c r="D220" s="191"/>
      <c r="E220" s="191"/>
      <c r="F220" s="191"/>
      <c r="G220" s="191"/>
      <c r="H220" s="4"/>
      <c r="I220" s="4"/>
      <c r="J220" s="4"/>
      <c r="K220" s="4"/>
      <c r="L220" s="4"/>
      <c r="M220" s="4"/>
      <c r="N220" s="4"/>
      <c r="O220" s="4"/>
      <c r="P220" s="4"/>
      <c r="Q220" s="4"/>
      <c r="R220" s="4"/>
      <c r="S220" s="4"/>
    </row>
    <row r="221" spans="1:19" x14ac:dyDescent="0.2">
      <c r="A221" s="39">
        <f t="shared" si="26"/>
        <v>1.0874999999999999</v>
      </c>
      <c r="B221" s="40">
        <f t="shared" si="27"/>
        <v>0</v>
      </c>
      <c r="C221" s="191"/>
      <c r="D221" s="191"/>
      <c r="E221" s="191"/>
      <c r="F221" s="191"/>
      <c r="G221" s="191"/>
      <c r="H221" s="4"/>
      <c r="I221" s="4"/>
      <c r="J221" s="4"/>
      <c r="K221" s="4"/>
      <c r="L221" s="4"/>
      <c r="M221" s="4"/>
      <c r="N221" s="4"/>
      <c r="O221" s="4"/>
      <c r="P221" s="4"/>
      <c r="Q221" s="4"/>
      <c r="R221" s="4"/>
      <c r="S221" s="4"/>
    </row>
    <row r="222" spans="1:19" x14ac:dyDescent="0.2">
      <c r="A222" s="39">
        <f t="shared" si="26"/>
        <v>1.276</v>
      </c>
      <c r="B222" s="40">
        <f t="shared" si="27"/>
        <v>0</v>
      </c>
      <c r="C222" s="191"/>
      <c r="D222" s="191"/>
      <c r="E222" s="191"/>
      <c r="F222" s="191"/>
      <c r="G222" s="191"/>
      <c r="H222" s="4"/>
      <c r="I222" s="4"/>
      <c r="J222" s="4"/>
      <c r="K222" s="4"/>
      <c r="L222" s="4"/>
      <c r="M222" s="4"/>
      <c r="N222" s="4"/>
      <c r="O222" s="4"/>
      <c r="P222" s="4"/>
      <c r="Q222" s="4"/>
      <c r="R222" s="4"/>
      <c r="S222" s="4"/>
    </row>
    <row r="223" spans="1:19" x14ac:dyDescent="0.2">
      <c r="A223" s="120">
        <f t="shared" si="26"/>
        <v>1.3629999999999998</v>
      </c>
      <c r="B223" s="125">
        <f t="shared" si="27"/>
        <v>0</v>
      </c>
      <c r="C223" s="191"/>
      <c r="D223" s="191"/>
      <c r="E223" s="191"/>
      <c r="F223" s="191"/>
      <c r="G223" s="191"/>
      <c r="H223" s="4"/>
      <c r="I223" s="4"/>
      <c r="J223" s="4"/>
      <c r="K223" s="4"/>
      <c r="L223" s="4"/>
      <c r="M223" s="4"/>
      <c r="N223" s="4"/>
      <c r="O223" s="4"/>
      <c r="P223" s="4"/>
      <c r="Q223" s="4"/>
      <c r="R223" s="4"/>
      <c r="S223" s="4"/>
    </row>
    <row r="224" spans="1:19" x14ac:dyDescent="0.2">
      <c r="A224" s="120">
        <f t="shared" si="26"/>
        <v>1.3774999999999999</v>
      </c>
      <c r="B224" s="125">
        <f t="shared" si="27"/>
        <v>0</v>
      </c>
      <c r="C224" s="191"/>
      <c r="D224" s="191"/>
      <c r="E224" s="191"/>
      <c r="F224" s="191"/>
      <c r="G224" s="191"/>
      <c r="H224" s="4"/>
      <c r="I224" s="4"/>
      <c r="J224" s="4"/>
      <c r="K224" s="4"/>
      <c r="L224" s="4"/>
      <c r="M224" s="4"/>
      <c r="N224" s="4"/>
      <c r="O224" s="4"/>
      <c r="P224" s="4"/>
      <c r="Q224" s="4"/>
      <c r="R224" s="4"/>
      <c r="S224" s="4"/>
    </row>
    <row r="225" spans="1:19" ht="13.5" thickBot="1" x14ac:dyDescent="0.25">
      <c r="A225" s="126">
        <f t="shared" si="26"/>
        <v>1.45</v>
      </c>
      <c r="B225" s="127">
        <f t="shared" si="27"/>
        <v>0</v>
      </c>
      <c r="C225" s="1"/>
      <c r="D225" s="1"/>
      <c r="E225" s="1"/>
      <c r="F225" s="1"/>
      <c r="G225" s="1"/>
      <c r="H225" s="4"/>
      <c r="I225" s="4"/>
      <c r="J225" s="4"/>
      <c r="K225" s="4"/>
      <c r="L225" s="4"/>
      <c r="M225" s="4"/>
      <c r="N225" s="4"/>
      <c r="O225" s="4"/>
      <c r="P225" s="4"/>
      <c r="Q225" s="4"/>
      <c r="R225" s="4"/>
      <c r="S225" s="4"/>
    </row>
    <row r="226" spans="1:19" x14ac:dyDescent="0.2">
      <c r="A226" s="128"/>
      <c r="B226" s="128"/>
      <c r="C226" s="1"/>
      <c r="D226" s="1"/>
      <c r="E226" s="1"/>
      <c r="F226" s="1"/>
      <c r="G226" s="1"/>
      <c r="H226" s="4"/>
      <c r="I226" s="4"/>
      <c r="J226" s="4"/>
      <c r="K226" s="4"/>
      <c r="L226" s="4"/>
      <c r="M226" s="4"/>
      <c r="N226" s="4"/>
      <c r="O226" s="4"/>
      <c r="P226" s="4"/>
      <c r="Q226" s="4"/>
      <c r="R226" s="4"/>
      <c r="S226" s="4"/>
    </row>
    <row r="227" spans="1:19" ht="13.5" thickBot="1" x14ac:dyDescent="0.25">
      <c r="A227" s="128"/>
      <c r="B227" s="128"/>
      <c r="C227" s="1"/>
      <c r="D227" s="1"/>
      <c r="E227" s="1"/>
      <c r="F227" s="1"/>
      <c r="G227" s="1"/>
      <c r="H227" s="4"/>
      <c r="I227" s="4"/>
      <c r="J227" s="4"/>
      <c r="K227" s="4"/>
      <c r="L227" s="4"/>
      <c r="M227" s="4"/>
      <c r="N227" s="4"/>
      <c r="O227" s="4"/>
      <c r="P227" s="4"/>
      <c r="Q227" s="4"/>
      <c r="R227" s="4"/>
      <c r="S227" s="4"/>
    </row>
    <row r="228" spans="1:19" ht="13.5" thickBot="1" x14ac:dyDescent="0.25">
      <c r="A228" s="129" t="s">
        <v>73</v>
      </c>
      <c r="B228" s="119" t="s">
        <v>16</v>
      </c>
      <c r="C228" s="1"/>
      <c r="D228" s="1"/>
      <c r="E228" s="1"/>
      <c r="F228" s="1"/>
      <c r="G228" s="1"/>
      <c r="H228" s="4"/>
      <c r="I228" s="4"/>
      <c r="J228" s="4"/>
      <c r="K228" s="4"/>
      <c r="L228" s="4"/>
      <c r="M228" s="4"/>
      <c r="N228" s="4"/>
      <c r="O228" s="4"/>
      <c r="P228" s="4"/>
      <c r="Q228" s="4"/>
      <c r="R228" s="4"/>
      <c r="S228" s="4"/>
    </row>
    <row r="229" spans="1:19" ht="13.5" thickBot="1" x14ac:dyDescent="0.25">
      <c r="A229" s="311" t="s">
        <v>76</v>
      </c>
      <c r="B229" s="209">
        <v>60</v>
      </c>
      <c r="C229" s="1"/>
      <c r="D229" s="1"/>
      <c r="E229" s="1"/>
      <c r="F229" s="1"/>
      <c r="G229" s="1"/>
      <c r="H229" s="4"/>
      <c r="I229" s="4"/>
      <c r="J229" s="4"/>
      <c r="K229" s="4"/>
      <c r="L229" s="4"/>
      <c r="M229" s="4"/>
      <c r="N229" s="4"/>
      <c r="O229" s="4"/>
      <c r="P229" s="4"/>
      <c r="Q229" s="4"/>
      <c r="R229" s="4"/>
      <c r="S229" s="4"/>
    </row>
    <row r="230" spans="1:19" ht="13.5" thickBot="1" x14ac:dyDescent="0.25">
      <c r="H230" s="4"/>
      <c r="I230" s="4"/>
      <c r="J230" s="4"/>
      <c r="K230" s="4"/>
      <c r="L230" s="4"/>
      <c r="M230" s="4"/>
      <c r="N230" s="4"/>
      <c r="O230" s="4"/>
      <c r="P230" s="4"/>
      <c r="Q230" s="4"/>
      <c r="R230" s="4"/>
      <c r="S230" s="4"/>
    </row>
    <row r="231" spans="1:19" ht="13.5" thickBot="1" x14ac:dyDescent="0.25">
      <c r="A231" s="194" t="s">
        <v>1</v>
      </c>
      <c r="B231" s="25" t="s">
        <v>14</v>
      </c>
      <c r="H231" s="4"/>
      <c r="I231" s="4"/>
      <c r="J231" s="4"/>
      <c r="K231" s="4"/>
      <c r="L231" s="4"/>
      <c r="M231" s="4"/>
      <c r="N231" s="4"/>
      <c r="O231" s="4"/>
      <c r="P231" s="4"/>
      <c r="Q231" s="4"/>
      <c r="R231" s="4"/>
      <c r="S231" s="4"/>
    </row>
    <row r="232" spans="1:19" x14ac:dyDescent="0.2">
      <c r="A232" s="54">
        <v>0</v>
      </c>
      <c r="B232" s="51">
        <v>20</v>
      </c>
      <c r="H232" s="4"/>
      <c r="I232" s="4"/>
      <c r="J232" s="4"/>
      <c r="K232" s="4"/>
      <c r="L232" s="4"/>
      <c r="M232" s="4"/>
      <c r="N232" s="4"/>
      <c r="O232" s="4"/>
      <c r="P232" s="4"/>
      <c r="Q232" s="4"/>
      <c r="R232" s="4"/>
      <c r="S232" s="4"/>
    </row>
    <row r="233" spans="1:19" x14ac:dyDescent="0.2">
      <c r="A233" s="49">
        <v>50</v>
      </c>
      <c r="B233" s="52">
        <v>10</v>
      </c>
      <c r="H233" s="4"/>
      <c r="I233" s="4"/>
      <c r="J233" s="4"/>
      <c r="K233" s="4"/>
      <c r="L233" s="4"/>
      <c r="M233" s="4"/>
      <c r="N233" s="4"/>
      <c r="O233" s="4"/>
      <c r="P233" s="4"/>
      <c r="Q233" s="4"/>
      <c r="R233" s="4"/>
      <c r="S233" s="4"/>
    </row>
    <row r="234" spans="1:19" x14ac:dyDescent="0.2">
      <c r="A234" s="49">
        <v>55</v>
      </c>
      <c r="B234" s="52">
        <v>10</v>
      </c>
      <c r="H234" s="4"/>
      <c r="I234" s="4"/>
      <c r="J234" s="4"/>
      <c r="K234" s="4"/>
      <c r="L234" s="4"/>
      <c r="M234" s="4"/>
      <c r="N234" s="4"/>
      <c r="O234" s="4"/>
      <c r="P234" s="4"/>
      <c r="Q234" s="4"/>
      <c r="R234" s="4"/>
      <c r="S234" s="4"/>
    </row>
    <row r="235" spans="1:19" x14ac:dyDescent="0.2">
      <c r="A235" s="49">
        <v>60</v>
      </c>
      <c r="B235" s="52">
        <v>10</v>
      </c>
      <c r="H235" s="4"/>
      <c r="I235" s="4"/>
      <c r="J235" s="4"/>
      <c r="K235" s="4"/>
      <c r="L235" s="4"/>
      <c r="M235" s="4"/>
      <c r="N235" s="4"/>
      <c r="O235" s="4"/>
      <c r="P235" s="4"/>
      <c r="Q235" s="4"/>
      <c r="R235" s="4"/>
      <c r="S235" s="4"/>
    </row>
    <row r="236" spans="1:19" x14ac:dyDescent="0.2">
      <c r="A236" s="49">
        <v>75</v>
      </c>
      <c r="B236" s="52">
        <v>10</v>
      </c>
      <c r="H236" s="4"/>
      <c r="I236" s="4"/>
      <c r="J236" s="4"/>
      <c r="K236" s="4"/>
      <c r="L236" s="4"/>
      <c r="M236" s="4"/>
      <c r="N236" s="4"/>
      <c r="O236" s="4"/>
      <c r="P236" s="4"/>
      <c r="Q236" s="4"/>
      <c r="R236" s="4"/>
      <c r="S236" s="4"/>
    </row>
    <row r="237" spans="1:19" x14ac:dyDescent="0.2">
      <c r="A237" s="49">
        <v>88</v>
      </c>
      <c r="B237" s="52">
        <v>5</v>
      </c>
      <c r="H237" s="4"/>
      <c r="I237" s="4"/>
      <c r="J237" s="4"/>
      <c r="K237" s="4"/>
      <c r="L237" s="4"/>
      <c r="M237" s="4"/>
      <c r="N237" s="4"/>
      <c r="O237" s="4"/>
      <c r="P237" s="4"/>
      <c r="Q237" s="4"/>
      <c r="R237" s="4"/>
      <c r="S237" s="4"/>
    </row>
    <row r="238" spans="1:19" x14ac:dyDescent="0.2">
      <c r="A238" s="49">
        <v>94</v>
      </c>
      <c r="B238" s="52">
        <v>3</v>
      </c>
      <c r="H238" s="4"/>
      <c r="I238" s="4"/>
      <c r="J238" s="4"/>
      <c r="K238" s="4"/>
      <c r="L238" s="4"/>
      <c r="M238" s="4"/>
      <c r="N238" s="4"/>
      <c r="O238" s="4"/>
      <c r="P238" s="4"/>
      <c r="Q238" s="4"/>
      <c r="R238" s="4"/>
      <c r="S238" s="4"/>
    </row>
    <row r="239" spans="1:19" ht="13.5" thickBot="1" x14ac:dyDescent="0.25">
      <c r="A239" s="50">
        <v>100</v>
      </c>
      <c r="B239" s="53">
        <v>0</v>
      </c>
      <c r="H239" s="4"/>
      <c r="I239" s="4"/>
      <c r="J239" s="4"/>
      <c r="K239" s="4"/>
      <c r="L239" s="4"/>
      <c r="M239" s="4"/>
      <c r="N239" s="4"/>
      <c r="O239" s="4"/>
      <c r="P239" s="4"/>
      <c r="Q239" s="4"/>
      <c r="R239" s="4"/>
      <c r="S239" s="4"/>
    </row>
    <row r="240" spans="1:19" ht="13.5" thickBot="1" x14ac:dyDescent="0.25">
      <c r="H240" s="4"/>
      <c r="I240" s="4"/>
      <c r="J240" s="4"/>
      <c r="K240" s="4"/>
      <c r="L240" s="4"/>
      <c r="M240" s="4"/>
      <c r="N240" s="4"/>
      <c r="O240" s="4"/>
      <c r="P240" s="4"/>
      <c r="Q240" s="4"/>
      <c r="R240" s="4"/>
      <c r="S240" s="4"/>
    </row>
    <row r="241" spans="1:19" ht="13.5" thickBot="1" x14ac:dyDescent="0.25">
      <c r="A241" s="194" t="s">
        <v>15</v>
      </c>
      <c r="B241" s="25" t="s">
        <v>14</v>
      </c>
      <c r="H241" s="4"/>
      <c r="I241" s="4"/>
      <c r="J241" s="4"/>
      <c r="K241" s="4"/>
      <c r="L241" s="4"/>
      <c r="M241" s="4"/>
      <c r="N241" s="4"/>
      <c r="O241" s="4"/>
      <c r="P241" s="4"/>
      <c r="Q241" s="4"/>
      <c r="R241" s="4"/>
      <c r="S241" s="4"/>
    </row>
    <row r="242" spans="1:19" x14ac:dyDescent="0.2">
      <c r="A242" s="37">
        <f t="shared" ref="A242:A249" si="28">A232*F$4/100</f>
        <v>0</v>
      </c>
      <c r="B242" s="38">
        <f t="shared" ref="B242:B249" si="29">B232</f>
        <v>20</v>
      </c>
      <c r="H242" s="4"/>
      <c r="I242" s="4"/>
      <c r="J242" s="4"/>
      <c r="K242" s="4"/>
      <c r="L242" s="4"/>
      <c r="M242" s="4"/>
      <c r="N242" s="4"/>
      <c r="O242" s="4"/>
      <c r="P242" s="4"/>
      <c r="Q242" s="4"/>
      <c r="R242" s="4"/>
      <c r="S242" s="4"/>
    </row>
    <row r="243" spans="1:19" x14ac:dyDescent="0.2">
      <c r="A243" s="120">
        <f t="shared" si="28"/>
        <v>0.72499999999999998</v>
      </c>
      <c r="B243" s="125">
        <f t="shared" si="29"/>
        <v>10</v>
      </c>
      <c r="H243" s="4"/>
      <c r="I243" s="4"/>
      <c r="J243" s="4"/>
      <c r="K243" s="4"/>
      <c r="L243" s="4"/>
      <c r="M243" s="4"/>
      <c r="N243" s="4"/>
      <c r="O243" s="4"/>
      <c r="P243" s="4"/>
      <c r="Q243" s="4"/>
      <c r="R243" s="4"/>
      <c r="S243" s="4"/>
    </row>
    <row r="244" spans="1:19" x14ac:dyDescent="0.2">
      <c r="A244" s="120">
        <f t="shared" si="28"/>
        <v>0.79749999999999999</v>
      </c>
      <c r="B244" s="125">
        <f t="shared" si="29"/>
        <v>10</v>
      </c>
      <c r="H244" s="4"/>
      <c r="I244" s="4"/>
      <c r="J244" s="4"/>
      <c r="K244" s="4"/>
      <c r="L244" s="4"/>
      <c r="M244" s="4"/>
      <c r="N244" s="4"/>
      <c r="O244" s="4"/>
      <c r="P244" s="4"/>
      <c r="Q244" s="4"/>
      <c r="R244" s="4"/>
      <c r="S244" s="4"/>
    </row>
    <row r="245" spans="1:19" x14ac:dyDescent="0.2">
      <c r="A245" s="120">
        <f t="shared" si="28"/>
        <v>0.87</v>
      </c>
      <c r="B245" s="125">
        <f t="shared" si="29"/>
        <v>10</v>
      </c>
      <c r="H245" s="4"/>
      <c r="I245" s="4"/>
      <c r="J245" s="4"/>
      <c r="K245" s="4"/>
      <c r="L245" s="4"/>
      <c r="M245" s="4"/>
      <c r="N245" s="4"/>
      <c r="O245" s="4"/>
      <c r="P245" s="4"/>
      <c r="Q245" s="4"/>
      <c r="R245" s="4"/>
      <c r="S245" s="4"/>
    </row>
    <row r="246" spans="1:19" x14ac:dyDescent="0.2">
      <c r="A246" s="120">
        <f t="shared" si="28"/>
        <v>1.0874999999999999</v>
      </c>
      <c r="B246" s="125">
        <f t="shared" si="29"/>
        <v>10</v>
      </c>
      <c r="H246" s="4"/>
      <c r="I246" s="4"/>
      <c r="J246" s="4"/>
      <c r="K246" s="4"/>
      <c r="L246" s="4"/>
      <c r="M246" s="4"/>
      <c r="N246" s="4"/>
      <c r="O246" s="4"/>
      <c r="P246" s="4"/>
      <c r="Q246" s="4"/>
      <c r="R246" s="4"/>
      <c r="S246" s="4"/>
    </row>
    <row r="247" spans="1:19" x14ac:dyDescent="0.2">
      <c r="A247" s="120">
        <f t="shared" si="28"/>
        <v>1.276</v>
      </c>
      <c r="B247" s="125">
        <f t="shared" si="29"/>
        <v>5</v>
      </c>
      <c r="H247" s="4"/>
      <c r="I247" s="4"/>
      <c r="J247" s="4"/>
      <c r="K247" s="4"/>
      <c r="L247" s="4"/>
      <c r="M247" s="4"/>
      <c r="N247" s="4"/>
      <c r="O247" s="4"/>
      <c r="P247" s="4"/>
      <c r="Q247" s="4"/>
      <c r="R247" s="4"/>
      <c r="S247" s="4"/>
    </row>
    <row r="248" spans="1:19" x14ac:dyDescent="0.2">
      <c r="A248" s="120">
        <f t="shared" si="28"/>
        <v>1.3629999999999998</v>
      </c>
      <c r="B248" s="125">
        <f t="shared" si="29"/>
        <v>3</v>
      </c>
      <c r="H248" s="4"/>
      <c r="I248" s="4"/>
      <c r="J248" s="4"/>
      <c r="K248" s="4"/>
      <c r="L248" s="4"/>
      <c r="M248" s="4"/>
      <c r="N248" s="4"/>
      <c r="O248" s="4"/>
      <c r="P248" s="4"/>
      <c r="Q248" s="4"/>
      <c r="R248" s="4"/>
      <c r="S248" s="4"/>
    </row>
    <row r="249" spans="1:19" ht="13.5" thickBot="1" x14ac:dyDescent="0.25">
      <c r="A249" s="41">
        <f t="shared" si="28"/>
        <v>1.45</v>
      </c>
      <c r="B249" s="42">
        <f t="shared" si="29"/>
        <v>0</v>
      </c>
      <c r="H249" s="4"/>
      <c r="I249" s="4"/>
      <c r="J249" s="4"/>
      <c r="K249" s="4"/>
      <c r="L249" s="4"/>
      <c r="M249" s="4"/>
      <c r="N249" s="4"/>
      <c r="O249" s="4"/>
      <c r="P249" s="4"/>
      <c r="Q249" s="4"/>
      <c r="R249" s="4"/>
      <c r="S249" s="4"/>
    </row>
    <row r="250" spans="1:19" x14ac:dyDescent="0.2">
      <c r="H250" s="4"/>
      <c r="I250" s="4"/>
      <c r="J250" s="4"/>
      <c r="K250" s="4"/>
      <c r="L250" s="4"/>
      <c r="M250" s="4"/>
      <c r="N250" s="4"/>
      <c r="O250" s="4"/>
      <c r="P250" s="4"/>
      <c r="Q250" s="4"/>
      <c r="R250" s="4"/>
      <c r="S250" s="4"/>
    </row>
    <row r="251" spans="1:19" ht="13.5" thickBot="1" x14ac:dyDescent="0.25">
      <c r="H251" s="4"/>
      <c r="I251" s="4"/>
      <c r="J251" s="4"/>
      <c r="K251" s="4"/>
      <c r="L251" s="4"/>
      <c r="M251" s="4"/>
      <c r="N251" s="4"/>
      <c r="O251" s="4"/>
      <c r="P251" s="4"/>
      <c r="Q251" s="4"/>
      <c r="R251" s="4"/>
      <c r="S251" s="4"/>
    </row>
    <row r="252" spans="1:19" ht="13.5" thickBot="1" x14ac:dyDescent="0.25">
      <c r="A252" s="129" t="s">
        <v>73</v>
      </c>
      <c r="B252" s="25" t="s">
        <v>16</v>
      </c>
      <c r="H252" s="4"/>
      <c r="I252" s="4"/>
      <c r="J252" s="4"/>
      <c r="K252" s="4"/>
      <c r="L252" s="4"/>
      <c r="M252" s="4"/>
      <c r="N252" s="4"/>
      <c r="O252" s="4"/>
      <c r="P252" s="4"/>
      <c r="Q252" s="4"/>
      <c r="R252" s="4"/>
      <c r="S252" s="4"/>
    </row>
    <row r="253" spans="1:19" ht="13.5" thickBot="1" x14ac:dyDescent="0.25">
      <c r="A253" s="311" t="s">
        <v>77</v>
      </c>
      <c r="B253" s="209">
        <v>30</v>
      </c>
      <c r="H253" s="4"/>
      <c r="I253" s="4"/>
      <c r="J253" s="4"/>
      <c r="K253" s="4"/>
      <c r="L253" s="4"/>
      <c r="M253" s="4"/>
      <c r="N253" s="4"/>
      <c r="O253" s="4"/>
      <c r="P253" s="4"/>
      <c r="Q253" s="4"/>
      <c r="R253" s="4"/>
      <c r="S253" s="4"/>
    </row>
    <row r="254" spans="1:19" ht="13.5" thickBot="1" x14ac:dyDescent="0.25">
      <c r="H254" s="4"/>
      <c r="I254" s="4"/>
      <c r="J254" s="4"/>
      <c r="K254" s="4"/>
      <c r="L254" s="4"/>
      <c r="M254" s="4"/>
      <c r="N254" s="4"/>
      <c r="O254" s="4"/>
      <c r="P254" s="4"/>
      <c r="Q254" s="4"/>
      <c r="R254" s="4"/>
      <c r="S254" s="4"/>
    </row>
    <row r="255" spans="1:19" ht="13.5" thickBot="1" x14ac:dyDescent="0.25">
      <c r="A255" s="194" t="s">
        <v>1</v>
      </c>
      <c r="B255" s="25" t="s">
        <v>14</v>
      </c>
      <c r="H255" s="4"/>
      <c r="I255" s="4"/>
      <c r="J255" s="4"/>
      <c r="K255" s="4"/>
      <c r="L255" s="4"/>
      <c r="M255" s="4"/>
      <c r="N255" s="4"/>
      <c r="O255" s="4"/>
      <c r="P255" s="4"/>
      <c r="Q255" s="4"/>
      <c r="R255" s="4"/>
      <c r="S255" s="4"/>
    </row>
    <row r="256" spans="1:19" x14ac:dyDescent="0.2">
      <c r="A256" s="54">
        <v>0</v>
      </c>
      <c r="B256" s="51">
        <v>150</v>
      </c>
      <c r="H256" s="4"/>
      <c r="I256" s="4"/>
      <c r="J256" s="4"/>
      <c r="K256" s="4"/>
      <c r="L256" s="4"/>
      <c r="M256" s="4"/>
      <c r="N256" s="4"/>
      <c r="O256" s="4"/>
      <c r="P256" s="4"/>
      <c r="Q256" s="4"/>
      <c r="R256" s="4"/>
      <c r="S256" s="4"/>
    </row>
    <row r="257" spans="1:19" x14ac:dyDescent="0.2">
      <c r="A257" s="49">
        <v>10</v>
      </c>
      <c r="B257" s="52">
        <v>150</v>
      </c>
      <c r="H257" s="4"/>
      <c r="I257" s="4"/>
      <c r="J257" s="4"/>
      <c r="K257" s="4"/>
      <c r="L257" s="4"/>
      <c r="M257" s="4"/>
      <c r="N257" s="4"/>
      <c r="O257" s="4"/>
      <c r="P257" s="4"/>
      <c r="Q257" s="4"/>
      <c r="R257" s="4"/>
      <c r="S257" s="4"/>
    </row>
    <row r="258" spans="1:19" x14ac:dyDescent="0.2">
      <c r="A258" s="49">
        <v>50</v>
      </c>
      <c r="B258" s="52">
        <v>150</v>
      </c>
      <c r="H258" s="4"/>
      <c r="I258" s="4"/>
      <c r="J258" s="4"/>
      <c r="K258" s="4"/>
      <c r="L258" s="4"/>
      <c r="M258" s="4"/>
      <c r="N258" s="4"/>
      <c r="O258" s="4"/>
      <c r="P258" s="4"/>
      <c r="Q258" s="4"/>
      <c r="R258" s="4"/>
      <c r="S258" s="4"/>
    </row>
    <row r="259" spans="1:19" x14ac:dyDescent="0.2">
      <c r="A259" s="49">
        <v>80</v>
      </c>
      <c r="B259" s="52">
        <v>150</v>
      </c>
      <c r="H259" s="4"/>
      <c r="I259" s="4"/>
      <c r="J259" s="4"/>
      <c r="K259" s="4"/>
      <c r="L259" s="4"/>
      <c r="M259" s="4"/>
      <c r="N259" s="4"/>
      <c r="O259" s="4"/>
      <c r="P259" s="4"/>
      <c r="Q259" s="4"/>
      <c r="R259" s="4"/>
      <c r="S259" s="4"/>
    </row>
    <row r="260" spans="1:19" x14ac:dyDescent="0.2">
      <c r="A260" s="49">
        <v>90</v>
      </c>
      <c r="B260" s="52">
        <v>75</v>
      </c>
      <c r="H260" s="4"/>
      <c r="I260" s="4"/>
      <c r="J260" s="4"/>
      <c r="K260" s="4"/>
      <c r="L260" s="4"/>
      <c r="M260" s="4"/>
      <c r="N260" s="4"/>
      <c r="O260" s="4"/>
      <c r="P260" s="4"/>
      <c r="Q260" s="4"/>
      <c r="R260" s="4"/>
      <c r="S260" s="4"/>
    </row>
    <row r="261" spans="1:19" x14ac:dyDescent="0.2">
      <c r="A261" s="49">
        <v>95</v>
      </c>
      <c r="B261" s="52">
        <v>38</v>
      </c>
      <c r="H261" s="4"/>
      <c r="I261" s="4"/>
      <c r="J261" s="4"/>
      <c r="K261" s="4"/>
      <c r="L261" s="4"/>
      <c r="M261" s="4"/>
      <c r="N261" s="4"/>
      <c r="O261" s="4"/>
      <c r="P261" s="4"/>
      <c r="Q261" s="4"/>
      <c r="R261" s="4"/>
      <c r="S261" s="4"/>
    </row>
    <row r="262" spans="1:19" x14ac:dyDescent="0.2">
      <c r="A262" s="49">
        <v>98</v>
      </c>
      <c r="B262" s="52">
        <v>23</v>
      </c>
      <c r="H262" s="4"/>
      <c r="I262" s="4"/>
      <c r="J262" s="4"/>
      <c r="K262" s="4"/>
      <c r="L262" s="4"/>
      <c r="M262" s="4"/>
      <c r="N262" s="4"/>
      <c r="O262" s="4"/>
      <c r="P262" s="4"/>
      <c r="Q262" s="4"/>
      <c r="R262" s="4"/>
      <c r="S262" s="4"/>
    </row>
    <row r="263" spans="1:19" ht="13.5" thickBot="1" x14ac:dyDescent="0.25">
      <c r="A263" s="50">
        <v>100</v>
      </c>
      <c r="B263" s="53">
        <v>0</v>
      </c>
      <c r="H263" s="4"/>
      <c r="I263" s="4"/>
      <c r="J263" s="4"/>
      <c r="K263" s="4"/>
      <c r="L263" s="4"/>
      <c r="M263" s="4"/>
      <c r="N263" s="4"/>
      <c r="O263" s="4"/>
      <c r="P263" s="4"/>
      <c r="Q263" s="4"/>
      <c r="R263" s="4"/>
      <c r="S263" s="4"/>
    </row>
    <row r="264" spans="1:19" ht="13.5" thickBot="1" x14ac:dyDescent="0.25">
      <c r="A264" s="122"/>
      <c r="B264" s="122"/>
      <c r="H264" s="4"/>
      <c r="I264" s="4"/>
      <c r="J264" s="4"/>
      <c r="K264" s="4"/>
      <c r="L264" s="4"/>
      <c r="M264" s="4"/>
      <c r="N264" s="4"/>
      <c r="O264" s="4"/>
      <c r="P264" s="4"/>
      <c r="Q264" s="4"/>
      <c r="R264" s="4"/>
      <c r="S264" s="4"/>
    </row>
    <row r="265" spans="1:19" ht="13.5" thickBot="1" x14ac:dyDescent="0.25">
      <c r="A265" s="118" t="s">
        <v>15</v>
      </c>
      <c r="B265" s="119" t="s">
        <v>14</v>
      </c>
      <c r="H265" s="4"/>
      <c r="I265" s="4"/>
      <c r="J265" s="4"/>
      <c r="K265" s="4"/>
      <c r="L265" s="4"/>
      <c r="M265" s="4"/>
      <c r="N265" s="4"/>
      <c r="O265" s="4"/>
      <c r="P265" s="4"/>
      <c r="Q265" s="4"/>
      <c r="R265" s="4"/>
      <c r="S265" s="4"/>
    </row>
    <row r="266" spans="1:19" x14ac:dyDescent="0.2">
      <c r="A266" s="131">
        <f t="shared" ref="A266:A273" si="30">A256*F$4/100</f>
        <v>0</v>
      </c>
      <c r="B266" s="132">
        <f t="shared" ref="B266:B273" si="31">B256</f>
        <v>150</v>
      </c>
      <c r="H266" s="4"/>
      <c r="I266" s="4"/>
      <c r="J266" s="4"/>
      <c r="K266" s="4"/>
      <c r="L266" s="4"/>
      <c r="M266" s="4"/>
      <c r="N266" s="4"/>
      <c r="O266" s="4"/>
      <c r="P266" s="4"/>
      <c r="Q266" s="4"/>
      <c r="R266" s="4"/>
      <c r="S266" s="4"/>
    </row>
    <row r="267" spans="1:19" x14ac:dyDescent="0.2">
      <c r="A267" s="120">
        <f t="shared" si="30"/>
        <v>0.14499999999999999</v>
      </c>
      <c r="B267" s="125">
        <f t="shared" si="31"/>
        <v>150</v>
      </c>
      <c r="H267" s="4"/>
      <c r="I267" s="4"/>
      <c r="J267" s="4"/>
      <c r="K267" s="4"/>
      <c r="L267" s="4"/>
      <c r="M267" s="4"/>
      <c r="N267" s="4"/>
      <c r="O267" s="4"/>
      <c r="P267" s="4"/>
      <c r="Q267" s="4"/>
      <c r="R267" s="4"/>
      <c r="S267" s="4"/>
    </row>
    <row r="268" spans="1:19" x14ac:dyDescent="0.2">
      <c r="A268" s="120">
        <f t="shared" si="30"/>
        <v>0.72499999999999998</v>
      </c>
      <c r="B268" s="125">
        <f t="shared" si="31"/>
        <v>150</v>
      </c>
      <c r="H268" s="4"/>
      <c r="I268" s="4"/>
      <c r="J268" s="4"/>
      <c r="K268" s="4"/>
      <c r="L268" s="4"/>
      <c r="M268" s="4"/>
      <c r="N268" s="4"/>
      <c r="O268" s="4"/>
      <c r="P268" s="4"/>
      <c r="Q268" s="4"/>
      <c r="R268" s="4"/>
      <c r="S268" s="4"/>
    </row>
    <row r="269" spans="1:19" x14ac:dyDescent="0.2">
      <c r="A269" s="39">
        <f t="shared" si="30"/>
        <v>1.1599999999999999</v>
      </c>
      <c r="B269" s="40">
        <f t="shared" si="31"/>
        <v>150</v>
      </c>
      <c r="H269" s="4"/>
      <c r="I269" s="4"/>
      <c r="J269" s="4"/>
      <c r="K269" s="4"/>
      <c r="L269" s="4"/>
      <c r="M269" s="4"/>
      <c r="N269" s="4"/>
      <c r="O269" s="4"/>
      <c r="P269" s="4"/>
      <c r="Q269" s="4"/>
      <c r="R269" s="4"/>
      <c r="S269" s="4"/>
    </row>
    <row r="270" spans="1:19" x14ac:dyDescent="0.2">
      <c r="A270" s="39">
        <f t="shared" si="30"/>
        <v>1.3049999999999999</v>
      </c>
      <c r="B270" s="40">
        <f t="shared" si="31"/>
        <v>75</v>
      </c>
      <c r="H270" s="4"/>
      <c r="I270" s="4"/>
      <c r="J270" s="4"/>
      <c r="K270" s="4"/>
      <c r="L270" s="4"/>
      <c r="M270" s="4"/>
      <c r="N270" s="4"/>
      <c r="O270" s="4"/>
      <c r="P270" s="4"/>
      <c r="Q270" s="4"/>
      <c r="R270" s="4"/>
      <c r="S270" s="4"/>
    </row>
    <row r="271" spans="1:19" x14ac:dyDescent="0.2">
      <c r="A271" s="39">
        <f t="shared" si="30"/>
        <v>1.3774999999999999</v>
      </c>
      <c r="B271" s="40">
        <f t="shared" si="31"/>
        <v>38</v>
      </c>
      <c r="H271" s="4"/>
      <c r="I271" s="4"/>
      <c r="J271" s="4"/>
      <c r="K271" s="4"/>
      <c r="L271" s="4"/>
      <c r="M271" s="4"/>
      <c r="N271" s="4"/>
      <c r="O271" s="4"/>
      <c r="P271" s="4"/>
      <c r="Q271" s="4"/>
      <c r="R271" s="4"/>
      <c r="S271" s="4"/>
    </row>
    <row r="272" spans="1:19" x14ac:dyDescent="0.2">
      <c r="A272" s="39">
        <f t="shared" si="30"/>
        <v>1.421</v>
      </c>
      <c r="B272" s="40">
        <f t="shared" si="31"/>
        <v>23</v>
      </c>
      <c r="H272" s="4"/>
      <c r="I272" s="4"/>
      <c r="J272" s="4"/>
      <c r="K272" s="4"/>
      <c r="L272" s="4"/>
      <c r="M272" s="4"/>
      <c r="N272" s="4"/>
      <c r="O272" s="4"/>
      <c r="P272" s="4"/>
      <c r="Q272" s="4"/>
      <c r="R272" s="4"/>
      <c r="S272" s="4"/>
    </row>
    <row r="273" spans="1:19" ht="13.5" thickBot="1" x14ac:dyDescent="0.25">
      <c r="A273" s="41">
        <f t="shared" si="30"/>
        <v>1.45</v>
      </c>
      <c r="B273" s="42">
        <f t="shared" si="31"/>
        <v>0</v>
      </c>
      <c r="H273" s="4"/>
      <c r="I273" s="4"/>
      <c r="J273" s="4"/>
      <c r="K273" s="4"/>
      <c r="L273" s="4"/>
      <c r="M273" s="4"/>
      <c r="N273" s="4"/>
      <c r="O273" s="4"/>
      <c r="P273" s="4"/>
      <c r="Q273" s="4"/>
      <c r="R273" s="4"/>
      <c r="S273" s="4"/>
    </row>
    <row r="274" spans="1:19" x14ac:dyDescent="0.2">
      <c r="H274" s="4"/>
      <c r="I274" s="4"/>
      <c r="J274" s="4"/>
      <c r="K274" s="4"/>
      <c r="L274" s="4"/>
      <c r="M274" s="4"/>
      <c r="N274" s="4"/>
      <c r="O274" s="4"/>
      <c r="P274" s="4"/>
      <c r="Q274" s="4"/>
      <c r="R274" s="4"/>
      <c r="S274" s="4"/>
    </row>
    <row r="275" spans="1:19" ht="13.5" thickBot="1" x14ac:dyDescent="0.25">
      <c r="H275" s="4"/>
      <c r="I275" s="4"/>
      <c r="J275" s="4"/>
      <c r="K275" s="4"/>
      <c r="L275" s="4"/>
      <c r="M275" s="4"/>
      <c r="N275" s="4"/>
      <c r="O275" s="4"/>
      <c r="P275" s="4"/>
      <c r="Q275" s="4"/>
      <c r="R275" s="4"/>
      <c r="S275" s="4"/>
    </row>
    <row r="276" spans="1:19" ht="13.5" thickBot="1" x14ac:dyDescent="0.25">
      <c r="A276" s="129" t="s">
        <v>73</v>
      </c>
      <c r="B276" s="25" t="s">
        <v>16</v>
      </c>
      <c r="H276" s="4"/>
      <c r="I276" s="4"/>
      <c r="J276" s="4"/>
      <c r="K276" s="4"/>
      <c r="L276" s="4"/>
      <c r="M276" s="4"/>
      <c r="N276" s="4"/>
      <c r="O276" s="4"/>
      <c r="P276" s="4"/>
      <c r="Q276" s="4"/>
      <c r="R276" s="4"/>
      <c r="S276" s="4"/>
    </row>
    <row r="277" spans="1:19" ht="13.5" thickBot="1" x14ac:dyDescent="0.25">
      <c r="A277" s="311" t="s">
        <v>78</v>
      </c>
      <c r="B277" s="209">
        <v>60</v>
      </c>
      <c r="H277" s="4"/>
      <c r="I277" s="4"/>
      <c r="J277" s="4"/>
      <c r="K277" s="4"/>
      <c r="L277" s="4"/>
      <c r="M277" s="4"/>
      <c r="N277" s="4"/>
      <c r="O277" s="4"/>
      <c r="P277" s="4"/>
      <c r="Q277" s="4"/>
      <c r="R277" s="4"/>
      <c r="S277" s="4"/>
    </row>
    <row r="278" spans="1:19" ht="13.5" thickBot="1" x14ac:dyDescent="0.25">
      <c r="H278" s="4"/>
      <c r="I278" s="4"/>
      <c r="J278" s="4"/>
      <c r="K278" s="4"/>
      <c r="L278" s="4"/>
      <c r="M278" s="4"/>
      <c r="N278" s="4"/>
      <c r="O278" s="4"/>
      <c r="P278" s="4"/>
      <c r="Q278" s="4"/>
      <c r="R278" s="4"/>
      <c r="S278" s="4"/>
    </row>
    <row r="279" spans="1:19" ht="13.5" thickBot="1" x14ac:dyDescent="0.25">
      <c r="A279" s="194" t="s">
        <v>1</v>
      </c>
      <c r="B279" s="25" t="s">
        <v>14</v>
      </c>
      <c r="H279" s="4"/>
      <c r="I279" s="4"/>
      <c r="J279" s="4"/>
      <c r="K279" s="4"/>
      <c r="L279" s="4"/>
      <c r="M279" s="4"/>
      <c r="N279" s="4"/>
      <c r="O279" s="4"/>
      <c r="P279" s="4"/>
      <c r="Q279" s="4"/>
      <c r="R279" s="4"/>
      <c r="S279" s="4"/>
    </row>
    <row r="280" spans="1:19" x14ac:dyDescent="0.2">
      <c r="A280" s="54">
        <v>0</v>
      </c>
      <c r="B280" s="51">
        <v>125</v>
      </c>
      <c r="H280" s="4"/>
      <c r="I280" s="4"/>
      <c r="J280" s="4"/>
      <c r="K280" s="4"/>
      <c r="L280" s="4"/>
      <c r="M280" s="4"/>
      <c r="N280" s="4"/>
      <c r="O280" s="4"/>
      <c r="P280" s="4"/>
      <c r="Q280" s="4"/>
      <c r="R280" s="4"/>
      <c r="S280" s="4"/>
    </row>
    <row r="281" spans="1:19" x14ac:dyDescent="0.2">
      <c r="A281" s="49">
        <v>40</v>
      </c>
      <c r="B281" s="52">
        <v>0</v>
      </c>
      <c r="H281" s="4"/>
      <c r="I281" s="4"/>
      <c r="J281" s="4"/>
      <c r="K281" s="4"/>
      <c r="L281" s="4"/>
      <c r="M281" s="4"/>
      <c r="N281" s="4"/>
      <c r="O281" s="4"/>
      <c r="P281" s="4"/>
      <c r="Q281" s="4"/>
      <c r="R281" s="4"/>
      <c r="S281" s="4"/>
    </row>
    <row r="282" spans="1:19" x14ac:dyDescent="0.2">
      <c r="A282" s="49">
        <v>70</v>
      </c>
      <c r="B282" s="52">
        <v>0</v>
      </c>
      <c r="H282" s="4"/>
      <c r="I282" s="4"/>
      <c r="J282" s="4"/>
      <c r="K282" s="4"/>
      <c r="L282" s="4"/>
      <c r="M282" s="4"/>
      <c r="N282" s="4"/>
      <c r="O282" s="4"/>
      <c r="P282" s="4"/>
      <c r="Q282" s="4"/>
      <c r="R282" s="4"/>
      <c r="S282" s="4"/>
    </row>
    <row r="283" spans="1:19" x14ac:dyDescent="0.2">
      <c r="A283" s="49">
        <v>85</v>
      </c>
      <c r="B283" s="52">
        <v>0</v>
      </c>
      <c r="H283" s="4"/>
      <c r="I283" s="4"/>
      <c r="J283" s="4"/>
      <c r="K283" s="4"/>
      <c r="L283" s="4"/>
      <c r="M283" s="4"/>
      <c r="N283" s="4"/>
      <c r="O283" s="4"/>
      <c r="P283" s="4"/>
      <c r="Q283" s="4"/>
      <c r="R283" s="4"/>
      <c r="S283" s="4"/>
    </row>
    <row r="284" spans="1:19" x14ac:dyDescent="0.2">
      <c r="A284" s="49">
        <v>93</v>
      </c>
      <c r="B284" s="52">
        <v>0</v>
      </c>
      <c r="H284" s="4"/>
      <c r="I284" s="4"/>
      <c r="J284" s="4"/>
      <c r="K284" s="4"/>
      <c r="L284" s="4"/>
      <c r="M284" s="4"/>
      <c r="N284" s="4"/>
      <c r="O284" s="4"/>
      <c r="P284" s="4"/>
      <c r="Q284" s="4"/>
      <c r="R284" s="4"/>
      <c r="S284" s="4"/>
    </row>
    <row r="285" spans="1:19" x14ac:dyDescent="0.2">
      <c r="A285" s="49">
        <v>95</v>
      </c>
      <c r="B285" s="52">
        <v>0</v>
      </c>
      <c r="H285" s="4"/>
      <c r="I285" s="4"/>
      <c r="J285" s="4"/>
      <c r="K285" s="4"/>
      <c r="L285" s="4"/>
      <c r="M285" s="4"/>
      <c r="N285" s="4"/>
      <c r="O285" s="4"/>
      <c r="P285" s="4"/>
      <c r="Q285" s="4"/>
      <c r="R285" s="4"/>
      <c r="S285" s="4"/>
    </row>
    <row r="286" spans="1:19" x14ac:dyDescent="0.2">
      <c r="A286" s="49">
        <v>98</v>
      </c>
      <c r="B286" s="52">
        <v>0</v>
      </c>
      <c r="H286" s="4"/>
      <c r="I286" s="4"/>
      <c r="J286" s="4"/>
      <c r="K286" s="4"/>
      <c r="L286" s="4"/>
      <c r="M286" s="4"/>
      <c r="N286" s="4"/>
      <c r="O286" s="4"/>
      <c r="P286" s="4"/>
      <c r="Q286" s="4"/>
      <c r="R286" s="4"/>
      <c r="S286" s="4"/>
    </row>
    <row r="287" spans="1:19" ht="13.5" thickBot="1" x14ac:dyDescent="0.25">
      <c r="A287" s="50">
        <v>100</v>
      </c>
      <c r="B287" s="53">
        <v>0</v>
      </c>
      <c r="H287" s="4"/>
      <c r="I287" s="4"/>
      <c r="J287" s="4"/>
      <c r="K287" s="4"/>
      <c r="L287" s="4"/>
      <c r="M287" s="4"/>
      <c r="N287" s="4"/>
      <c r="O287" s="4"/>
      <c r="P287" s="4"/>
      <c r="Q287" s="4"/>
      <c r="R287" s="4"/>
      <c r="S287" s="4"/>
    </row>
    <row r="288" spans="1:19" ht="13.5" thickBot="1" x14ac:dyDescent="0.25">
      <c r="H288" s="4"/>
      <c r="I288" s="4"/>
      <c r="J288" s="4"/>
      <c r="K288" s="4"/>
      <c r="L288" s="4"/>
      <c r="M288" s="4"/>
      <c r="N288" s="4"/>
      <c r="O288" s="4"/>
      <c r="P288" s="4"/>
      <c r="Q288" s="4"/>
      <c r="R288" s="4"/>
      <c r="S288" s="4"/>
    </row>
    <row r="289" spans="1:19" ht="13.5" thickBot="1" x14ac:dyDescent="0.25">
      <c r="A289" s="194" t="s">
        <v>15</v>
      </c>
      <c r="B289" s="25" t="s">
        <v>14</v>
      </c>
      <c r="H289" s="4"/>
      <c r="I289" s="4"/>
      <c r="J289" s="4"/>
      <c r="K289" s="4"/>
      <c r="L289" s="4"/>
      <c r="M289" s="4"/>
      <c r="N289" s="4"/>
      <c r="O289" s="4"/>
      <c r="P289" s="4"/>
      <c r="Q289" s="4"/>
      <c r="R289" s="4"/>
      <c r="S289" s="4"/>
    </row>
    <row r="290" spans="1:19" x14ac:dyDescent="0.2">
      <c r="A290" s="37">
        <f t="shared" ref="A290:A297" si="32">A280*F$4/100</f>
        <v>0</v>
      </c>
      <c r="B290" s="38">
        <f t="shared" ref="B290:B297" si="33">B280</f>
        <v>125</v>
      </c>
      <c r="H290" s="4"/>
      <c r="I290" s="4"/>
      <c r="J290" s="4"/>
      <c r="K290" s="4"/>
      <c r="L290" s="4"/>
      <c r="M290" s="4"/>
      <c r="N290" s="4"/>
      <c r="O290" s="4"/>
      <c r="P290" s="4"/>
      <c r="Q290" s="4"/>
      <c r="R290" s="4"/>
      <c r="S290" s="4"/>
    </row>
    <row r="291" spans="1:19" x14ac:dyDescent="0.2">
      <c r="A291" s="39">
        <f t="shared" si="32"/>
        <v>0.57999999999999996</v>
      </c>
      <c r="B291" s="40">
        <f t="shared" si="33"/>
        <v>0</v>
      </c>
      <c r="H291" s="4"/>
      <c r="I291" s="4"/>
      <c r="J291" s="4"/>
      <c r="K291" s="4"/>
      <c r="L291" s="4"/>
      <c r="M291" s="4"/>
      <c r="N291" s="4"/>
      <c r="O291" s="4"/>
      <c r="P291" s="4"/>
      <c r="Q291" s="4"/>
      <c r="R291" s="4"/>
      <c r="S291" s="4"/>
    </row>
    <row r="292" spans="1:19" x14ac:dyDescent="0.2">
      <c r="A292" s="39">
        <f t="shared" si="32"/>
        <v>1.0149999999999999</v>
      </c>
      <c r="B292" s="40">
        <f t="shared" si="33"/>
        <v>0</v>
      </c>
      <c r="H292" s="4"/>
      <c r="I292" s="4"/>
      <c r="J292" s="4"/>
      <c r="K292" s="4"/>
      <c r="L292" s="4"/>
      <c r="M292" s="4"/>
      <c r="N292" s="4"/>
      <c r="O292" s="4"/>
      <c r="P292" s="4"/>
      <c r="Q292" s="4"/>
      <c r="R292" s="4"/>
      <c r="S292" s="4"/>
    </row>
    <row r="293" spans="1:19" x14ac:dyDescent="0.2">
      <c r="A293" s="39">
        <f t="shared" si="32"/>
        <v>1.2324999999999999</v>
      </c>
      <c r="B293" s="40">
        <f t="shared" si="33"/>
        <v>0</v>
      </c>
      <c r="H293" s="4"/>
      <c r="I293" s="4"/>
      <c r="J293" s="4"/>
      <c r="K293" s="4"/>
      <c r="L293" s="4"/>
      <c r="M293" s="4"/>
      <c r="N293" s="4"/>
      <c r="O293" s="4"/>
      <c r="P293" s="4"/>
      <c r="Q293" s="4"/>
      <c r="R293" s="4"/>
      <c r="S293" s="4"/>
    </row>
    <row r="294" spans="1:19" x14ac:dyDescent="0.2">
      <c r="A294" s="39">
        <f t="shared" si="32"/>
        <v>1.3485</v>
      </c>
      <c r="B294" s="40">
        <f t="shared" si="33"/>
        <v>0</v>
      </c>
      <c r="H294" s="4"/>
      <c r="I294" s="4"/>
      <c r="J294" s="4"/>
      <c r="K294" s="4"/>
      <c r="L294" s="4"/>
      <c r="M294" s="4"/>
      <c r="N294" s="4"/>
      <c r="O294" s="4"/>
      <c r="P294" s="4"/>
      <c r="Q294" s="4"/>
      <c r="R294" s="4"/>
      <c r="S294" s="4"/>
    </row>
    <row r="295" spans="1:19" x14ac:dyDescent="0.2">
      <c r="A295" s="39">
        <f t="shared" si="32"/>
        <v>1.3774999999999999</v>
      </c>
      <c r="B295" s="40">
        <f t="shared" si="33"/>
        <v>0</v>
      </c>
      <c r="H295" s="4"/>
      <c r="I295" s="4"/>
      <c r="J295" s="4"/>
      <c r="K295" s="4"/>
      <c r="L295" s="4"/>
      <c r="M295" s="4"/>
      <c r="N295" s="4"/>
      <c r="O295" s="4"/>
      <c r="P295" s="4"/>
      <c r="Q295" s="4"/>
      <c r="R295" s="4"/>
      <c r="S295" s="4"/>
    </row>
    <row r="296" spans="1:19" x14ac:dyDescent="0.2">
      <c r="A296" s="39">
        <f t="shared" si="32"/>
        <v>1.421</v>
      </c>
      <c r="B296" s="40">
        <f t="shared" si="33"/>
        <v>0</v>
      </c>
      <c r="H296" s="4"/>
      <c r="I296" s="4"/>
      <c r="J296" s="4"/>
      <c r="K296" s="4"/>
      <c r="L296" s="4"/>
      <c r="M296" s="4"/>
      <c r="N296" s="4"/>
      <c r="O296" s="4"/>
      <c r="P296" s="4"/>
      <c r="Q296" s="4"/>
      <c r="R296" s="4"/>
      <c r="S296" s="4"/>
    </row>
    <row r="297" spans="1:19" ht="13.5" thickBot="1" x14ac:dyDescent="0.25">
      <c r="A297" s="41">
        <f t="shared" si="32"/>
        <v>1.45</v>
      </c>
      <c r="B297" s="133">
        <f t="shared" si="33"/>
        <v>0</v>
      </c>
      <c r="H297" s="4"/>
      <c r="I297" s="4"/>
      <c r="J297" s="4"/>
      <c r="K297" s="4"/>
      <c r="L297" s="4"/>
      <c r="M297" s="4"/>
      <c r="N297" s="4"/>
      <c r="O297" s="4"/>
      <c r="P297" s="4"/>
      <c r="Q297" s="4"/>
      <c r="R297" s="4"/>
      <c r="S297" s="4"/>
    </row>
    <row r="298" spans="1:19" x14ac:dyDescent="0.2">
      <c r="H298" s="4"/>
      <c r="I298" s="4"/>
      <c r="J298" s="4"/>
      <c r="K298" s="4"/>
      <c r="L298" s="4"/>
      <c r="M298" s="4"/>
      <c r="N298" s="4"/>
      <c r="O298" s="4"/>
      <c r="P298" s="4"/>
      <c r="Q298" s="4"/>
      <c r="R298" s="4"/>
      <c r="S298" s="4"/>
    </row>
    <row r="299" spans="1:19" ht="13.5" thickBot="1" x14ac:dyDescent="0.25">
      <c r="H299" s="4"/>
      <c r="I299" s="4"/>
      <c r="J299" s="4"/>
      <c r="K299" s="4"/>
      <c r="L299" s="4"/>
      <c r="M299" s="4"/>
      <c r="N299" s="4"/>
      <c r="O299" s="4"/>
      <c r="P299" s="4"/>
      <c r="Q299" s="4"/>
      <c r="R299" s="4"/>
      <c r="S299" s="4"/>
    </row>
    <row r="300" spans="1:19" ht="13.5" thickBot="1" x14ac:dyDescent="0.25">
      <c r="A300" s="129" t="s">
        <v>73</v>
      </c>
      <c r="B300" s="119" t="s">
        <v>16</v>
      </c>
      <c r="H300" s="4"/>
      <c r="I300" s="4"/>
      <c r="J300" s="4"/>
      <c r="K300" s="4"/>
      <c r="L300" s="4"/>
      <c r="M300" s="4"/>
      <c r="N300" s="4"/>
      <c r="O300" s="4"/>
      <c r="P300" s="4"/>
      <c r="Q300" s="4"/>
      <c r="R300" s="4"/>
      <c r="S300" s="4"/>
    </row>
    <row r="301" spans="1:19" ht="13.5" thickBot="1" x14ac:dyDescent="0.25">
      <c r="A301" s="311" t="s">
        <v>79</v>
      </c>
      <c r="B301" s="210">
        <v>60</v>
      </c>
      <c r="H301" s="4"/>
      <c r="I301" s="4"/>
      <c r="J301" s="4"/>
      <c r="K301" s="4"/>
      <c r="L301" s="4"/>
      <c r="M301" s="4"/>
      <c r="N301" s="4"/>
      <c r="O301" s="4"/>
      <c r="P301" s="4"/>
      <c r="Q301" s="4"/>
      <c r="R301" s="4"/>
      <c r="S301" s="4"/>
    </row>
    <row r="302" spans="1:19" ht="13.5" thickBot="1" x14ac:dyDescent="0.25">
      <c r="A302" s="134"/>
      <c r="B302" s="134"/>
      <c r="H302" s="4"/>
      <c r="I302" s="4"/>
      <c r="J302" s="4"/>
      <c r="K302" s="4"/>
      <c r="L302" s="4"/>
      <c r="M302" s="4"/>
      <c r="N302" s="4"/>
      <c r="O302" s="4"/>
      <c r="P302" s="4"/>
      <c r="Q302" s="4"/>
      <c r="R302" s="4"/>
      <c r="S302" s="4"/>
    </row>
    <row r="303" spans="1:19" ht="13.5" thickBot="1" x14ac:dyDescent="0.25">
      <c r="A303" s="118" t="s">
        <v>1</v>
      </c>
      <c r="B303" s="119" t="s">
        <v>14</v>
      </c>
      <c r="H303" s="4"/>
      <c r="I303" s="4"/>
      <c r="J303" s="4"/>
      <c r="K303" s="4"/>
      <c r="L303" s="4"/>
      <c r="M303" s="4"/>
      <c r="N303" s="4"/>
      <c r="O303" s="4"/>
      <c r="P303" s="4"/>
      <c r="Q303" s="4"/>
      <c r="R303" s="4"/>
      <c r="S303" s="4"/>
    </row>
    <row r="304" spans="1:19" x14ac:dyDescent="0.2">
      <c r="A304" s="54">
        <v>0</v>
      </c>
      <c r="B304" s="51">
        <v>0</v>
      </c>
      <c r="H304" s="4"/>
      <c r="I304" s="4"/>
      <c r="J304" s="4"/>
      <c r="K304" s="4"/>
      <c r="L304" s="4"/>
      <c r="M304" s="4"/>
      <c r="N304" s="4"/>
      <c r="O304" s="4"/>
      <c r="P304" s="4"/>
      <c r="Q304" s="4"/>
      <c r="R304" s="4"/>
      <c r="S304" s="4"/>
    </row>
    <row r="305" spans="1:19" x14ac:dyDescent="0.2">
      <c r="A305" s="49">
        <v>10</v>
      </c>
      <c r="B305" s="52">
        <v>0</v>
      </c>
      <c r="H305" s="4"/>
      <c r="I305" s="4"/>
      <c r="J305" s="4"/>
      <c r="K305" s="4"/>
      <c r="L305" s="4"/>
      <c r="M305" s="4"/>
      <c r="N305" s="4"/>
      <c r="O305" s="4"/>
      <c r="P305" s="4"/>
      <c r="Q305" s="4"/>
      <c r="R305" s="4"/>
      <c r="S305" s="4"/>
    </row>
    <row r="306" spans="1:19" x14ac:dyDescent="0.2">
      <c r="A306" s="49">
        <v>50</v>
      </c>
      <c r="B306" s="52">
        <v>0</v>
      </c>
      <c r="H306" s="4"/>
      <c r="I306" s="4"/>
      <c r="J306" s="4"/>
      <c r="K306" s="4"/>
      <c r="L306" s="4"/>
      <c r="M306" s="4"/>
      <c r="N306" s="4"/>
      <c r="O306" s="4"/>
      <c r="P306" s="4"/>
      <c r="Q306" s="4"/>
      <c r="R306" s="4"/>
      <c r="S306" s="4"/>
    </row>
    <row r="307" spans="1:19" x14ac:dyDescent="0.2">
      <c r="A307" s="49">
        <v>75</v>
      </c>
      <c r="B307" s="52">
        <v>0</v>
      </c>
      <c r="H307" s="4"/>
      <c r="I307" s="4"/>
      <c r="J307" s="4"/>
      <c r="K307" s="4"/>
      <c r="L307" s="4"/>
      <c r="M307" s="4"/>
      <c r="N307" s="4"/>
      <c r="O307" s="4"/>
      <c r="P307" s="4"/>
      <c r="Q307" s="4"/>
      <c r="R307" s="4"/>
      <c r="S307" s="4"/>
    </row>
    <row r="308" spans="1:19" x14ac:dyDescent="0.2">
      <c r="A308" s="49">
        <v>88</v>
      </c>
      <c r="B308" s="52">
        <v>0</v>
      </c>
      <c r="H308" s="4"/>
      <c r="I308" s="4"/>
      <c r="J308" s="4"/>
      <c r="K308" s="4"/>
      <c r="L308" s="4"/>
      <c r="M308" s="4"/>
      <c r="N308" s="4"/>
      <c r="O308" s="4"/>
      <c r="P308" s="4"/>
      <c r="Q308" s="4"/>
      <c r="R308" s="4"/>
      <c r="S308" s="4"/>
    </row>
    <row r="309" spans="1:19" x14ac:dyDescent="0.2">
      <c r="A309" s="49">
        <v>94</v>
      </c>
      <c r="B309" s="52">
        <v>0</v>
      </c>
      <c r="H309" s="4"/>
      <c r="I309" s="4"/>
      <c r="J309" s="4"/>
      <c r="K309" s="4"/>
      <c r="L309" s="4"/>
      <c r="M309" s="4"/>
      <c r="N309" s="4"/>
      <c r="O309" s="4"/>
      <c r="P309" s="4"/>
      <c r="Q309" s="4"/>
      <c r="R309" s="4"/>
      <c r="S309" s="4"/>
    </row>
    <row r="310" spans="1:19" x14ac:dyDescent="0.2">
      <c r="A310" s="49">
        <v>95</v>
      </c>
      <c r="B310" s="52">
        <v>0</v>
      </c>
      <c r="H310" s="4"/>
      <c r="I310" s="4"/>
      <c r="J310" s="4"/>
      <c r="K310" s="4"/>
      <c r="L310" s="4"/>
      <c r="M310" s="4"/>
      <c r="N310" s="4"/>
      <c r="O310" s="4"/>
      <c r="P310" s="4"/>
      <c r="Q310" s="4"/>
      <c r="R310" s="4"/>
      <c r="S310" s="4"/>
    </row>
    <row r="311" spans="1:19" ht="13.5" thickBot="1" x14ac:dyDescent="0.25">
      <c r="A311" s="50">
        <v>100</v>
      </c>
      <c r="B311" s="53">
        <v>0</v>
      </c>
      <c r="H311" s="4"/>
      <c r="I311" s="4"/>
      <c r="J311" s="4"/>
      <c r="K311" s="4"/>
      <c r="L311" s="4"/>
      <c r="M311" s="4"/>
      <c r="N311" s="4"/>
      <c r="O311" s="4"/>
      <c r="P311" s="4"/>
      <c r="Q311" s="4"/>
      <c r="R311" s="4"/>
      <c r="S311" s="4"/>
    </row>
    <row r="312" spans="1:19" ht="13.5" thickBot="1" x14ac:dyDescent="0.25">
      <c r="H312" s="4"/>
      <c r="I312" s="4"/>
      <c r="J312" s="4"/>
      <c r="K312" s="4"/>
      <c r="L312" s="4"/>
      <c r="M312" s="4"/>
      <c r="N312" s="4"/>
      <c r="O312" s="4"/>
      <c r="P312" s="4"/>
      <c r="Q312" s="4"/>
      <c r="R312" s="4"/>
      <c r="S312" s="4"/>
    </row>
    <row r="313" spans="1:19" ht="13.5" thickBot="1" x14ac:dyDescent="0.25">
      <c r="A313" s="194" t="s">
        <v>15</v>
      </c>
      <c r="B313" s="25" t="s">
        <v>14</v>
      </c>
      <c r="H313" s="4"/>
      <c r="I313" s="4"/>
      <c r="J313" s="4"/>
      <c r="K313" s="4"/>
      <c r="L313" s="4"/>
      <c r="M313" s="4"/>
      <c r="N313" s="4"/>
      <c r="O313" s="4"/>
      <c r="P313" s="4"/>
      <c r="Q313" s="4"/>
      <c r="R313" s="4"/>
      <c r="S313" s="4"/>
    </row>
    <row r="314" spans="1:19" x14ac:dyDescent="0.2">
      <c r="A314" s="37">
        <f t="shared" ref="A314:A321" si="34">A304*F$4/100</f>
        <v>0</v>
      </c>
      <c r="B314" s="38">
        <f t="shared" ref="B314:B321" si="35">B304</f>
        <v>0</v>
      </c>
      <c r="H314" s="4"/>
      <c r="I314" s="4"/>
      <c r="J314" s="4"/>
      <c r="K314" s="4"/>
      <c r="L314" s="4"/>
      <c r="M314" s="4"/>
      <c r="N314" s="4"/>
      <c r="O314" s="4"/>
      <c r="P314" s="4"/>
      <c r="Q314" s="4"/>
      <c r="R314" s="4"/>
      <c r="S314" s="4"/>
    </row>
    <row r="315" spans="1:19" x14ac:dyDescent="0.2">
      <c r="A315" s="39">
        <f t="shared" si="34"/>
        <v>0.14499999999999999</v>
      </c>
      <c r="B315" s="40">
        <f t="shared" si="35"/>
        <v>0</v>
      </c>
      <c r="H315" s="4"/>
      <c r="I315" s="4"/>
      <c r="J315" s="4"/>
      <c r="K315" s="4"/>
      <c r="L315" s="4"/>
      <c r="M315" s="4"/>
      <c r="N315" s="4"/>
      <c r="O315" s="4"/>
      <c r="P315" s="4"/>
      <c r="Q315" s="4"/>
      <c r="R315" s="4"/>
      <c r="S315" s="4"/>
    </row>
    <row r="316" spans="1:19" x14ac:dyDescent="0.2">
      <c r="A316" s="39">
        <f t="shared" si="34"/>
        <v>0.72499999999999998</v>
      </c>
      <c r="B316" s="40">
        <f t="shared" si="35"/>
        <v>0</v>
      </c>
      <c r="H316" s="4"/>
      <c r="I316" s="4"/>
      <c r="J316" s="4"/>
      <c r="K316" s="4"/>
      <c r="L316" s="4"/>
      <c r="M316" s="4"/>
      <c r="N316" s="4"/>
      <c r="O316" s="4"/>
      <c r="P316" s="4"/>
      <c r="Q316" s="4"/>
      <c r="R316" s="4"/>
      <c r="S316" s="4"/>
    </row>
    <row r="317" spans="1:19" x14ac:dyDescent="0.2">
      <c r="A317" s="39">
        <f t="shared" si="34"/>
        <v>1.0874999999999999</v>
      </c>
      <c r="B317" s="123">
        <f t="shared" si="35"/>
        <v>0</v>
      </c>
      <c r="H317" s="4"/>
      <c r="I317" s="4"/>
      <c r="J317" s="4"/>
      <c r="K317" s="4"/>
      <c r="L317" s="4"/>
      <c r="M317" s="4"/>
      <c r="N317" s="4"/>
      <c r="O317" s="4"/>
      <c r="P317" s="4"/>
      <c r="Q317" s="4"/>
      <c r="R317" s="4"/>
      <c r="S317" s="4"/>
    </row>
    <row r="318" spans="1:19" x14ac:dyDescent="0.2">
      <c r="A318" s="39">
        <f t="shared" si="34"/>
        <v>1.276</v>
      </c>
      <c r="B318" s="40">
        <f t="shared" si="35"/>
        <v>0</v>
      </c>
      <c r="H318" s="4"/>
      <c r="I318" s="4"/>
      <c r="J318" s="4"/>
      <c r="K318" s="4"/>
      <c r="L318" s="4"/>
      <c r="M318" s="4"/>
      <c r="N318" s="4"/>
      <c r="O318" s="4"/>
      <c r="P318" s="4"/>
      <c r="Q318" s="4"/>
      <c r="R318" s="4"/>
      <c r="S318" s="4"/>
    </row>
    <row r="319" spans="1:19" x14ac:dyDescent="0.2">
      <c r="A319" s="39">
        <f t="shared" si="34"/>
        <v>1.3629999999999998</v>
      </c>
      <c r="B319" s="40">
        <f t="shared" si="35"/>
        <v>0</v>
      </c>
      <c r="H319" s="4"/>
      <c r="I319" s="4"/>
      <c r="J319" s="4"/>
      <c r="K319" s="4"/>
      <c r="L319" s="4"/>
      <c r="M319" s="4"/>
      <c r="N319" s="4"/>
      <c r="O319" s="4"/>
      <c r="P319" s="4"/>
      <c r="Q319" s="4"/>
      <c r="R319" s="4"/>
      <c r="S319" s="4"/>
    </row>
    <row r="320" spans="1:19" x14ac:dyDescent="0.2">
      <c r="A320" s="135">
        <f t="shared" si="34"/>
        <v>1.3774999999999999</v>
      </c>
      <c r="B320" s="136">
        <f t="shared" si="35"/>
        <v>0</v>
      </c>
      <c r="H320" s="4"/>
      <c r="I320" s="4"/>
      <c r="J320" s="4"/>
      <c r="K320" s="4"/>
      <c r="L320" s="4"/>
      <c r="M320" s="4"/>
      <c r="N320" s="4"/>
      <c r="O320" s="4"/>
      <c r="P320" s="4"/>
      <c r="Q320" s="4"/>
      <c r="R320" s="4"/>
      <c r="S320" s="4"/>
    </row>
    <row r="321" spans="1:19" ht="13.5" thickBot="1" x14ac:dyDescent="0.25">
      <c r="A321" s="137">
        <f t="shared" si="34"/>
        <v>1.45</v>
      </c>
      <c r="B321" s="138">
        <f t="shared" si="35"/>
        <v>0</v>
      </c>
      <c r="H321" s="4"/>
      <c r="I321" s="4"/>
      <c r="J321" s="4"/>
      <c r="K321" s="4"/>
      <c r="L321" s="4"/>
      <c r="M321" s="4"/>
      <c r="N321" s="4"/>
      <c r="O321" s="4"/>
      <c r="P321" s="4"/>
      <c r="Q321" s="4"/>
      <c r="R321" s="4"/>
      <c r="S321" s="4"/>
    </row>
    <row r="322" spans="1:19" x14ac:dyDescent="0.2">
      <c r="A322" s="134"/>
      <c r="B322" s="134"/>
      <c r="H322" s="4"/>
      <c r="I322" s="4"/>
      <c r="J322" s="4"/>
      <c r="K322" s="4"/>
      <c r="L322" s="4"/>
      <c r="M322" s="4"/>
      <c r="N322" s="4"/>
      <c r="O322" s="4"/>
      <c r="P322" s="4"/>
      <c r="Q322" s="4"/>
      <c r="R322" s="4"/>
      <c r="S322" s="4"/>
    </row>
    <row r="323" spans="1:19" ht="13.5" thickBot="1" x14ac:dyDescent="0.25">
      <c r="A323" s="134"/>
      <c r="B323" s="134"/>
      <c r="H323" s="4"/>
      <c r="I323" s="4"/>
      <c r="J323" s="4"/>
      <c r="K323" s="4"/>
      <c r="L323" s="4"/>
      <c r="M323" s="4"/>
      <c r="N323" s="4"/>
      <c r="O323" s="4"/>
      <c r="P323" s="4"/>
      <c r="Q323" s="4"/>
      <c r="R323" s="4"/>
      <c r="S323" s="4"/>
    </row>
    <row r="324" spans="1:19" ht="13.5" thickBot="1" x14ac:dyDescent="0.25">
      <c r="A324" s="129" t="s">
        <v>73</v>
      </c>
      <c r="B324" s="119" t="s">
        <v>16</v>
      </c>
      <c r="H324" s="4"/>
      <c r="I324" s="4"/>
      <c r="J324" s="4"/>
      <c r="K324" s="4"/>
      <c r="L324" s="4"/>
      <c r="M324" s="4"/>
      <c r="N324" s="4"/>
      <c r="O324" s="4"/>
      <c r="P324" s="4"/>
      <c r="Q324" s="4"/>
      <c r="R324" s="4"/>
      <c r="S324" s="4"/>
    </row>
    <row r="325" spans="1:19" ht="13.5" thickBot="1" x14ac:dyDescent="0.25">
      <c r="A325" s="311" t="s">
        <v>80</v>
      </c>
      <c r="B325" s="210">
        <v>60</v>
      </c>
      <c r="H325" s="4"/>
      <c r="I325" s="4"/>
      <c r="J325" s="4"/>
      <c r="K325" s="4"/>
      <c r="L325" s="4"/>
      <c r="M325" s="4"/>
      <c r="N325" s="4"/>
      <c r="O325" s="4"/>
      <c r="P325" s="4"/>
      <c r="Q325" s="4"/>
      <c r="R325" s="4"/>
      <c r="S325" s="4"/>
    </row>
    <row r="326" spans="1:19" ht="13.5" thickBot="1" x14ac:dyDescent="0.25">
      <c r="H326" s="4"/>
      <c r="I326" s="4"/>
      <c r="J326" s="4"/>
      <c r="K326" s="4"/>
      <c r="L326" s="4"/>
      <c r="M326" s="4"/>
      <c r="N326" s="4"/>
      <c r="O326" s="4"/>
      <c r="P326" s="4"/>
      <c r="Q326" s="4"/>
      <c r="R326" s="4"/>
      <c r="S326" s="4"/>
    </row>
    <row r="327" spans="1:19" ht="13.5" thickBot="1" x14ac:dyDescent="0.25">
      <c r="A327" s="194" t="s">
        <v>1</v>
      </c>
      <c r="B327" s="25" t="s">
        <v>14</v>
      </c>
      <c r="H327" s="4"/>
      <c r="I327" s="4"/>
      <c r="J327" s="4"/>
      <c r="K327" s="4"/>
      <c r="L327" s="4"/>
      <c r="M327" s="4"/>
      <c r="N327" s="4"/>
      <c r="O327" s="4"/>
      <c r="P327" s="4"/>
      <c r="Q327" s="4"/>
      <c r="R327" s="4"/>
      <c r="S327" s="4"/>
    </row>
    <row r="328" spans="1:19" x14ac:dyDescent="0.2">
      <c r="A328" s="54">
        <v>0</v>
      </c>
      <c r="B328" s="51">
        <v>50</v>
      </c>
      <c r="H328" s="4"/>
      <c r="I328" s="4"/>
      <c r="J328" s="4"/>
      <c r="K328" s="4"/>
      <c r="L328" s="4"/>
      <c r="M328" s="4"/>
      <c r="N328" s="4"/>
      <c r="O328" s="4"/>
      <c r="P328" s="4"/>
      <c r="Q328" s="4"/>
      <c r="R328" s="4"/>
      <c r="S328" s="4"/>
    </row>
    <row r="329" spans="1:19" x14ac:dyDescent="0.2">
      <c r="A329" s="49">
        <v>10</v>
      </c>
      <c r="B329" s="52">
        <v>50</v>
      </c>
      <c r="H329" s="4"/>
      <c r="I329" s="4"/>
      <c r="J329" s="4"/>
      <c r="K329" s="4"/>
      <c r="L329" s="4"/>
      <c r="M329" s="4"/>
      <c r="N329" s="4"/>
      <c r="O329" s="4"/>
      <c r="P329" s="4"/>
      <c r="Q329" s="4"/>
      <c r="R329" s="4"/>
      <c r="S329" s="4"/>
    </row>
    <row r="330" spans="1:19" x14ac:dyDescent="0.2">
      <c r="A330" s="49">
        <v>50</v>
      </c>
      <c r="B330" s="52">
        <v>50</v>
      </c>
      <c r="H330" s="4"/>
      <c r="I330" s="4"/>
      <c r="J330" s="4"/>
      <c r="K330" s="4"/>
      <c r="L330" s="4"/>
      <c r="M330" s="4"/>
      <c r="N330" s="4"/>
      <c r="O330" s="4"/>
      <c r="P330" s="4"/>
      <c r="Q330" s="4"/>
      <c r="R330" s="4"/>
      <c r="S330" s="4"/>
    </row>
    <row r="331" spans="1:19" x14ac:dyDescent="0.2">
      <c r="A331" s="49">
        <v>75</v>
      </c>
      <c r="B331" s="52">
        <v>50</v>
      </c>
      <c r="H331" s="4"/>
      <c r="I331" s="4"/>
      <c r="J331" s="4"/>
      <c r="K331" s="4"/>
      <c r="L331" s="4"/>
      <c r="M331" s="4"/>
      <c r="N331" s="4"/>
      <c r="O331" s="4"/>
      <c r="P331" s="4"/>
      <c r="Q331" s="4"/>
      <c r="R331" s="4"/>
      <c r="S331" s="4"/>
    </row>
    <row r="332" spans="1:19" x14ac:dyDescent="0.2">
      <c r="A332" s="49">
        <v>88</v>
      </c>
      <c r="B332" s="52">
        <v>50</v>
      </c>
      <c r="H332" s="4"/>
      <c r="I332" s="4"/>
      <c r="J332" s="4"/>
      <c r="K332" s="4"/>
      <c r="L332" s="4"/>
      <c r="M332" s="4"/>
      <c r="N332" s="4"/>
      <c r="O332" s="4"/>
      <c r="P332" s="4"/>
      <c r="Q332" s="4"/>
      <c r="R332" s="4"/>
      <c r="S332" s="4"/>
    </row>
    <row r="333" spans="1:19" x14ac:dyDescent="0.2">
      <c r="A333" s="49">
        <v>94</v>
      </c>
      <c r="B333" s="52">
        <v>50</v>
      </c>
      <c r="H333" s="4"/>
      <c r="I333" s="4"/>
      <c r="J333" s="4"/>
      <c r="K333" s="4"/>
      <c r="L333" s="4"/>
      <c r="M333" s="4"/>
      <c r="N333" s="4"/>
      <c r="O333" s="4"/>
      <c r="P333" s="4"/>
      <c r="Q333" s="4"/>
      <c r="R333" s="4"/>
      <c r="S333" s="4"/>
    </row>
    <row r="334" spans="1:19" x14ac:dyDescent="0.2">
      <c r="A334" s="49">
        <v>95</v>
      </c>
      <c r="B334" s="52">
        <v>50</v>
      </c>
      <c r="H334" s="4"/>
      <c r="I334" s="4"/>
      <c r="J334" s="4"/>
      <c r="K334" s="4"/>
      <c r="L334" s="4"/>
      <c r="M334" s="4"/>
      <c r="N334" s="4"/>
      <c r="O334" s="4"/>
      <c r="P334" s="4"/>
      <c r="Q334" s="4"/>
      <c r="R334" s="4"/>
      <c r="S334" s="4"/>
    </row>
    <row r="335" spans="1:19" ht="13.5" thickBot="1" x14ac:dyDescent="0.25">
      <c r="A335" s="50">
        <v>100</v>
      </c>
      <c r="B335" s="53">
        <v>50</v>
      </c>
      <c r="H335" s="4"/>
      <c r="I335" s="4"/>
      <c r="J335" s="4"/>
      <c r="K335" s="4"/>
      <c r="L335" s="4"/>
      <c r="M335" s="4"/>
      <c r="N335" s="4"/>
      <c r="O335" s="4"/>
      <c r="P335" s="4"/>
      <c r="Q335" s="4"/>
      <c r="R335" s="4"/>
      <c r="S335" s="4"/>
    </row>
    <row r="336" spans="1:19" ht="13.5" thickBot="1" x14ac:dyDescent="0.25">
      <c r="H336" s="4"/>
      <c r="I336" s="4"/>
      <c r="J336" s="4"/>
      <c r="K336" s="4"/>
      <c r="L336" s="4"/>
      <c r="M336" s="4"/>
      <c r="N336" s="4"/>
      <c r="O336" s="4"/>
      <c r="P336" s="4"/>
      <c r="Q336" s="4"/>
      <c r="R336" s="4"/>
      <c r="S336" s="4"/>
    </row>
    <row r="337" spans="1:19" ht="13.5" thickBot="1" x14ac:dyDescent="0.25">
      <c r="A337" s="194" t="s">
        <v>15</v>
      </c>
      <c r="B337" s="119" t="s">
        <v>14</v>
      </c>
      <c r="H337" s="4"/>
      <c r="I337" s="4"/>
      <c r="J337" s="4"/>
      <c r="K337" s="4"/>
      <c r="L337" s="4"/>
      <c r="M337" s="4"/>
      <c r="N337" s="4"/>
      <c r="O337" s="4"/>
      <c r="P337" s="4"/>
      <c r="Q337" s="4"/>
      <c r="R337" s="4"/>
      <c r="S337" s="4"/>
    </row>
    <row r="338" spans="1:19" x14ac:dyDescent="0.2">
      <c r="A338" s="199">
        <f t="shared" ref="A338:A345" si="36">A328*F$4/100</f>
        <v>0</v>
      </c>
      <c r="B338" s="200">
        <f t="shared" ref="B338:B345" si="37">B328</f>
        <v>50</v>
      </c>
      <c r="H338" s="4"/>
      <c r="I338" s="4"/>
      <c r="J338" s="4"/>
      <c r="K338" s="4"/>
      <c r="L338" s="4"/>
      <c r="M338" s="4"/>
      <c r="N338" s="4"/>
      <c r="O338" s="4"/>
      <c r="P338" s="4"/>
      <c r="Q338" s="4"/>
      <c r="R338" s="4"/>
      <c r="S338" s="4"/>
    </row>
    <row r="339" spans="1:19" x14ac:dyDescent="0.2">
      <c r="A339" s="124">
        <f t="shared" si="36"/>
        <v>0.14499999999999999</v>
      </c>
      <c r="B339" s="123">
        <f t="shared" si="37"/>
        <v>50</v>
      </c>
      <c r="H339" s="4"/>
      <c r="I339" s="4"/>
      <c r="J339" s="4"/>
      <c r="K339" s="4"/>
      <c r="L339" s="4"/>
      <c r="M339" s="4"/>
      <c r="N339" s="4"/>
      <c r="O339" s="4"/>
      <c r="P339" s="4"/>
      <c r="Q339" s="4"/>
      <c r="R339" s="4"/>
      <c r="S339" s="4"/>
    </row>
    <row r="340" spans="1:19" x14ac:dyDescent="0.2">
      <c r="A340" s="120">
        <f t="shared" si="36"/>
        <v>0.72499999999999998</v>
      </c>
      <c r="B340" s="125">
        <f t="shared" si="37"/>
        <v>50</v>
      </c>
      <c r="H340" s="4"/>
      <c r="I340" s="4"/>
      <c r="J340" s="4"/>
      <c r="K340" s="4"/>
      <c r="L340" s="4"/>
      <c r="M340" s="4"/>
      <c r="N340" s="4"/>
      <c r="O340" s="4"/>
      <c r="P340" s="4"/>
      <c r="Q340" s="4"/>
      <c r="R340" s="4"/>
      <c r="S340" s="4"/>
    </row>
    <row r="341" spans="1:19" x14ac:dyDescent="0.2">
      <c r="A341" s="120">
        <f t="shared" si="36"/>
        <v>1.0874999999999999</v>
      </c>
      <c r="B341" s="125">
        <f t="shared" si="37"/>
        <v>50</v>
      </c>
      <c r="H341" s="4"/>
      <c r="I341" s="4"/>
      <c r="J341" s="4"/>
      <c r="K341" s="4"/>
      <c r="L341" s="4"/>
      <c r="M341" s="4"/>
      <c r="N341" s="4"/>
      <c r="O341" s="4"/>
      <c r="P341" s="4"/>
      <c r="Q341" s="4"/>
      <c r="R341" s="4"/>
      <c r="S341" s="4"/>
    </row>
    <row r="342" spans="1:19" x14ac:dyDescent="0.2">
      <c r="A342" s="120">
        <f t="shared" si="36"/>
        <v>1.276</v>
      </c>
      <c r="B342" s="125">
        <f t="shared" si="37"/>
        <v>50</v>
      </c>
      <c r="H342" s="4"/>
      <c r="I342" s="4"/>
      <c r="J342" s="4"/>
      <c r="K342" s="4"/>
      <c r="L342" s="4"/>
      <c r="M342" s="4"/>
      <c r="N342" s="4"/>
      <c r="O342" s="4"/>
      <c r="P342" s="4"/>
      <c r="Q342" s="4"/>
      <c r="R342" s="4"/>
      <c r="S342" s="4"/>
    </row>
    <row r="343" spans="1:19" x14ac:dyDescent="0.2">
      <c r="A343" s="120">
        <f t="shared" si="36"/>
        <v>1.3629999999999998</v>
      </c>
      <c r="B343" s="125">
        <f t="shared" si="37"/>
        <v>50</v>
      </c>
      <c r="H343" s="4"/>
      <c r="I343" s="4"/>
      <c r="J343" s="4"/>
      <c r="K343" s="4"/>
      <c r="L343" s="4"/>
      <c r="M343" s="4"/>
      <c r="N343" s="4"/>
      <c r="O343" s="4"/>
      <c r="P343" s="4"/>
      <c r="Q343" s="4"/>
      <c r="R343" s="4"/>
      <c r="S343" s="4"/>
    </row>
    <row r="344" spans="1:19" x14ac:dyDescent="0.2">
      <c r="A344" s="120">
        <f t="shared" si="36"/>
        <v>1.3774999999999999</v>
      </c>
      <c r="B344" s="125">
        <f t="shared" si="37"/>
        <v>50</v>
      </c>
      <c r="H344" s="4"/>
      <c r="I344" s="4"/>
      <c r="J344" s="4"/>
      <c r="K344" s="4"/>
      <c r="L344" s="4"/>
      <c r="M344" s="4"/>
      <c r="N344" s="4"/>
      <c r="O344" s="4"/>
      <c r="P344" s="4"/>
      <c r="Q344" s="4"/>
      <c r="R344" s="4"/>
      <c r="S344" s="4"/>
    </row>
    <row r="345" spans="1:19" ht="13.5" thickBot="1" x14ac:dyDescent="0.25">
      <c r="A345" s="126">
        <f t="shared" si="36"/>
        <v>1.45</v>
      </c>
      <c r="B345" s="127">
        <f t="shared" si="37"/>
        <v>50</v>
      </c>
      <c r="H345" s="4"/>
      <c r="I345" s="4"/>
      <c r="J345" s="4"/>
      <c r="K345" s="4"/>
      <c r="L345" s="4"/>
      <c r="M345" s="4"/>
      <c r="N345" s="4"/>
      <c r="O345" s="4"/>
      <c r="P345" s="4"/>
      <c r="Q345" s="4"/>
      <c r="R345" s="4"/>
      <c r="S345" s="4"/>
    </row>
    <row r="346" spans="1:19" x14ac:dyDescent="0.2">
      <c r="H346" s="4"/>
      <c r="I346" s="4"/>
      <c r="J346" s="4"/>
      <c r="K346" s="4"/>
      <c r="L346" s="4"/>
      <c r="M346" s="4"/>
      <c r="N346" s="4"/>
      <c r="O346" s="4"/>
      <c r="P346" s="4"/>
      <c r="Q346" s="4"/>
      <c r="R346" s="4"/>
      <c r="S346" s="4"/>
    </row>
    <row r="347" spans="1:19" ht="13.5" thickBot="1" x14ac:dyDescent="0.25">
      <c r="H347" s="4"/>
      <c r="I347" s="4"/>
      <c r="J347" s="4"/>
      <c r="K347" s="4"/>
      <c r="L347" s="4"/>
      <c r="M347" s="4"/>
      <c r="N347" s="4"/>
      <c r="O347" s="4"/>
      <c r="P347" s="4"/>
      <c r="Q347" s="4"/>
      <c r="R347" s="4"/>
      <c r="S347" s="4"/>
    </row>
    <row r="348" spans="1:19" ht="13.5" thickBot="1" x14ac:dyDescent="0.25">
      <c r="A348" s="129" t="s">
        <v>73</v>
      </c>
      <c r="B348" s="25" t="s">
        <v>16</v>
      </c>
      <c r="H348" s="4"/>
      <c r="I348" s="4"/>
      <c r="J348" s="4"/>
      <c r="K348" s="4"/>
      <c r="L348" s="4"/>
      <c r="M348" s="4"/>
      <c r="N348" s="4"/>
      <c r="O348" s="4"/>
      <c r="P348" s="4"/>
      <c r="Q348" s="4"/>
      <c r="R348" s="4"/>
      <c r="S348" s="4"/>
    </row>
    <row r="349" spans="1:19" ht="13.5" thickBot="1" x14ac:dyDescent="0.25">
      <c r="A349" s="311" t="s">
        <v>81</v>
      </c>
      <c r="B349" s="209">
        <v>30</v>
      </c>
      <c r="H349" s="4"/>
      <c r="I349" s="4"/>
      <c r="J349" s="4"/>
      <c r="K349" s="4"/>
      <c r="L349" s="4"/>
      <c r="M349" s="4"/>
      <c r="N349" s="4"/>
      <c r="O349" s="4"/>
      <c r="P349" s="4"/>
      <c r="Q349" s="4"/>
      <c r="R349" s="4"/>
      <c r="S349" s="4"/>
    </row>
    <row r="350" spans="1:19" ht="13.5" thickBot="1" x14ac:dyDescent="0.25">
      <c r="H350" s="4"/>
      <c r="I350" s="4"/>
      <c r="J350" s="4"/>
      <c r="K350" s="4"/>
      <c r="L350" s="4"/>
      <c r="M350" s="4"/>
      <c r="N350" s="4"/>
      <c r="O350" s="4"/>
      <c r="P350" s="4"/>
      <c r="Q350" s="4"/>
      <c r="R350" s="4"/>
      <c r="S350" s="4"/>
    </row>
    <row r="351" spans="1:19" ht="13.5" thickBot="1" x14ac:dyDescent="0.25">
      <c r="A351" s="194" t="s">
        <v>1</v>
      </c>
      <c r="B351" s="25" t="s">
        <v>14</v>
      </c>
      <c r="H351" s="4"/>
      <c r="I351" s="4"/>
      <c r="J351" s="4"/>
      <c r="K351" s="4"/>
      <c r="L351" s="4"/>
      <c r="M351" s="4"/>
      <c r="N351" s="4"/>
      <c r="O351" s="4"/>
      <c r="P351" s="4"/>
      <c r="Q351" s="4"/>
      <c r="R351" s="4"/>
      <c r="S351" s="4"/>
    </row>
    <row r="352" spans="1:19" x14ac:dyDescent="0.2">
      <c r="A352" s="54">
        <v>0</v>
      </c>
      <c r="B352" s="51">
        <v>0</v>
      </c>
      <c r="H352" s="4"/>
      <c r="I352" s="4"/>
      <c r="J352" s="4"/>
      <c r="K352" s="4"/>
      <c r="L352" s="4"/>
      <c r="M352" s="4"/>
      <c r="N352" s="4"/>
      <c r="O352" s="4"/>
      <c r="P352" s="4"/>
      <c r="Q352" s="4"/>
      <c r="R352" s="4"/>
      <c r="S352" s="4"/>
    </row>
    <row r="353" spans="1:19" x14ac:dyDescent="0.2">
      <c r="A353" s="49">
        <v>10</v>
      </c>
      <c r="B353" s="52">
        <v>0</v>
      </c>
      <c r="H353" s="4"/>
      <c r="I353" s="4"/>
      <c r="J353" s="4"/>
      <c r="K353" s="4"/>
      <c r="L353" s="4"/>
      <c r="M353" s="4"/>
      <c r="N353" s="4"/>
      <c r="O353" s="4"/>
      <c r="P353" s="4"/>
      <c r="Q353" s="4"/>
      <c r="R353" s="4"/>
      <c r="S353" s="4"/>
    </row>
    <row r="354" spans="1:19" x14ac:dyDescent="0.2">
      <c r="A354" s="49">
        <v>50</v>
      </c>
      <c r="B354" s="52">
        <v>0</v>
      </c>
      <c r="H354" s="4"/>
      <c r="I354" s="4"/>
      <c r="J354" s="4"/>
      <c r="K354" s="4"/>
      <c r="L354" s="4"/>
      <c r="M354" s="4"/>
      <c r="N354" s="4"/>
      <c r="O354" s="4"/>
      <c r="P354" s="4"/>
      <c r="Q354" s="4"/>
      <c r="R354" s="4"/>
      <c r="S354" s="4"/>
    </row>
    <row r="355" spans="1:19" x14ac:dyDescent="0.2">
      <c r="A355" s="49">
        <v>75</v>
      </c>
      <c r="B355" s="52">
        <v>0</v>
      </c>
      <c r="H355" s="4"/>
      <c r="I355" s="4"/>
      <c r="J355" s="4"/>
      <c r="K355" s="4"/>
      <c r="L355" s="4"/>
      <c r="M355" s="4"/>
      <c r="N355" s="4"/>
      <c r="O355" s="4"/>
      <c r="P355" s="4"/>
      <c r="Q355" s="4"/>
      <c r="R355" s="4"/>
      <c r="S355" s="4"/>
    </row>
    <row r="356" spans="1:19" x14ac:dyDescent="0.2">
      <c r="A356" s="49">
        <v>88</v>
      </c>
      <c r="B356" s="52">
        <v>0</v>
      </c>
      <c r="H356" s="4"/>
      <c r="I356" s="4"/>
      <c r="J356" s="4"/>
      <c r="K356" s="4"/>
      <c r="L356" s="4"/>
      <c r="M356" s="4"/>
      <c r="N356" s="4"/>
      <c r="O356" s="4"/>
      <c r="P356" s="4"/>
      <c r="Q356" s="4"/>
      <c r="R356" s="4"/>
      <c r="S356" s="4"/>
    </row>
    <row r="357" spans="1:19" x14ac:dyDescent="0.2">
      <c r="A357" s="49">
        <v>94</v>
      </c>
      <c r="B357" s="52">
        <v>0</v>
      </c>
      <c r="H357" s="4"/>
      <c r="I357" s="4"/>
      <c r="J357" s="4"/>
      <c r="K357" s="4"/>
      <c r="L357" s="4"/>
      <c r="M357" s="4"/>
      <c r="N357" s="4"/>
      <c r="O357" s="4"/>
      <c r="P357" s="4"/>
      <c r="Q357" s="4"/>
      <c r="R357" s="4"/>
      <c r="S357" s="4"/>
    </row>
    <row r="358" spans="1:19" x14ac:dyDescent="0.2">
      <c r="A358" s="49">
        <v>95</v>
      </c>
      <c r="B358" s="52">
        <v>0</v>
      </c>
      <c r="H358" s="4"/>
      <c r="I358" s="4"/>
      <c r="J358" s="4"/>
      <c r="K358" s="4"/>
      <c r="L358" s="4"/>
      <c r="M358" s="4"/>
      <c r="N358" s="4"/>
      <c r="O358" s="4"/>
      <c r="P358" s="4"/>
      <c r="Q358" s="4"/>
      <c r="R358" s="4"/>
      <c r="S358" s="4"/>
    </row>
    <row r="359" spans="1:19" ht="13.5" thickBot="1" x14ac:dyDescent="0.25">
      <c r="A359" s="50">
        <v>100</v>
      </c>
      <c r="B359" s="53">
        <v>0</v>
      </c>
      <c r="H359" s="4"/>
      <c r="I359" s="4"/>
      <c r="J359" s="4"/>
      <c r="K359" s="4"/>
      <c r="L359" s="4"/>
      <c r="M359" s="4"/>
      <c r="N359" s="4"/>
      <c r="O359" s="4"/>
      <c r="P359" s="4"/>
      <c r="Q359" s="4"/>
      <c r="R359" s="4"/>
      <c r="S359" s="4"/>
    </row>
    <row r="360" spans="1:19" ht="13.5" thickBot="1" x14ac:dyDescent="0.25">
      <c r="A360" s="134"/>
      <c r="B360" s="134"/>
      <c r="H360" s="4"/>
      <c r="I360" s="4"/>
      <c r="J360" s="4"/>
      <c r="K360" s="4"/>
      <c r="L360" s="4"/>
      <c r="M360" s="4"/>
      <c r="N360" s="4"/>
      <c r="O360" s="4"/>
      <c r="P360" s="4"/>
      <c r="Q360" s="4"/>
      <c r="R360" s="4"/>
      <c r="S360" s="4"/>
    </row>
    <row r="361" spans="1:19" ht="13.5" thickBot="1" x14ac:dyDescent="0.25">
      <c r="A361" s="118" t="s">
        <v>15</v>
      </c>
      <c r="B361" s="119" t="s">
        <v>14</v>
      </c>
      <c r="H361" s="4"/>
      <c r="I361" s="4"/>
      <c r="J361" s="4"/>
      <c r="K361" s="4"/>
      <c r="L361" s="4"/>
      <c r="M361" s="4"/>
      <c r="N361" s="4"/>
      <c r="O361" s="4"/>
      <c r="P361" s="4"/>
      <c r="Q361" s="4"/>
      <c r="R361" s="4"/>
      <c r="S361" s="4"/>
    </row>
    <row r="362" spans="1:19" x14ac:dyDescent="0.2">
      <c r="A362" s="131">
        <f t="shared" ref="A362:A369" si="38">A352*F$4/100</f>
        <v>0</v>
      </c>
      <c r="B362" s="132">
        <f t="shared" ref="B362:B369" si="39">B352</f>
        <v>0</v>
      </c>
      <c r="H362" s="4"/>
      <c r="I362" s="4"/>
      <c r="J362" s="4"/>
      <c r="K362" s="4"/>
      <c r="L362" s="4"/>
      <c r="M362" s="4"/>
      <c r="N362" s="4"/>
      <c r="O362" s="4"/>
      <c r="P362" s="4"/>
      <c r="Q362" s="4"/>
      <c r="R362" s="4"/>
      <c r="S362" s="4"/>
    </row>
    <row r="363" spans="1:19" x14ac:dyDescent="0.2">
      <c r="A363" s="135">
        <f t="shared" si="38"/>
        <v>0.14499999999999999</v>
      </c>
      <c r="B363" s="136">
        <f t="shared" si="39"/>
        <v>0</v>
      </c>
      <c r="H363" s="4"/>
      <c r="I363" s="4"/>
      <c r="J363" s="4"/>
      <c r="K363" s="4"/>
      <c r="L363" s="4"/>
      <c r="M363" s="4"/>
      <c r="N363" s="4"/>
      <c r="O363" s="4"/>
      <c r="P363" s="4"/>
      <c r="Q363" s="4"/>
      <c r="R363" s="4"/>
      <c r="S363" s="4"/>
    </row>
    <row r="364" spans="1:19" x14ac:dyDescent="0.2">
      <c r="A364" s="135">
        <f t="shared" si="38"/>
        <v>0.72499999999999998</v>
      </c>
      <c r="B364" s="136">
        <f t="shared" si="39"/>
        <v>0</v>
      </c>
      <c r="H364" s="4"/>
      <c r="I364" s="4"/>
      <c r="J364" s="4"/>
      <c r="K364" s="4"/>
      <c r="L364" s="4"/>
      <c r="M364" s="4"/>
      <c r="N364" s="4"/>
      <c r="O364" s="4"/>
      <c r="P364" s="4"/>
      <c r="Q364" s="4"/>
      <c r="R364" s="4"/>
      <c r="S364" s="4"/>
    </row>
    <row r="365" spans="1:19" x14ac:dyDescent="0.2">
      <c r="A365" s="135">
        <f t="shared" si="38"/>
        <v>1.0874999999999999</v>
      </c>
      <c r="B365" s="136">
        <f t="shared" si="39"/>
        <v>0</v>
      </c>
      <c r="H365" s="4"/>
      <c r="I365" s="4"/>
      <c r="J365" s="4"/>
      <c r="K365" s="4"/>
      <c r="L365" s="4"/>
      <c r="M365" s="4"/>
      <c r="N365" s="4"/>
      <c r="O365" s="4"/>
      <c r="P365" s="4"/>
      <c r="Q365" s="4"/>
      <c r="R365" s="4"/>
      <c r="S365" s="4"/>
    </row>
    <row r="366" spans="1:19" x14ac:dyDescent="0.2">
      <c r="A366" s="39">
        <f t="shared" si="38"/>
        <v>1.276</v>
      </c>
      <c r="B366" s="40">
        <f t="shared" si="39"/>
        <v>0</v>
      </c>
      <c r="H366" s="4"/>
      <c r="I366" s="4"/>
      <c r="J366" s="4"/>
      <c r="K366" s="4"/>
      <c r="L366" s="4"/>
      <c r="M366" s="4"/>
      <c r="N366" s="4"/>
      <c r="O366" s="4"/>
      <c r="P366" s="4"/>
      <c r="Q366" s="4"/>
      <c r="R366" s="4"/>
      <c r="S366" s="4"/>
    </row>
    <row r="367" spans="1:19" x14ac:dyDescent="0.2">
      <c r="A367" s="39">
        <f t="shared" si="38"/>
        <v>1.3629999999999998</v>
      </c>
      <c r="B367" s="40">
        <f t="shared" si="39"/>
        <v>0</v>
      </c>
      <c r="H367" s="4"/>
      <c r="I367" s="4"/>
      <c r="J367" s="4"/>
      <c r="K367" s="4"/>
      <c r="L367" s="4"/>
      <c r="M367" s="4"/>
      <c r="N367" s="4"/>
      <c r="O367" s="4"/>
      <c r="P367" s="4"/>
      <c r="Q367" s="4"/>
      <c r="R367" s="4"/>
      <c r="S367" s="4"/>
    </row>
    <row r="368" spans="1:19" x14ac:dyDescent="0.2">
      <c r="A368" s="39">
        <f t="shared" si="38"/>
        <v>1.3774999999999999</v>
      </c>
      <c r="B368" s="40">
        <f t="shared" si="39"/>
        <v>0</v>
      </c>
      <c r="H368" s="4"/>
      <c r="I368" s="4"/>
      <c r="J368" s="4"/>
      <c r="K368" s="4"/>
      <c r="L368" s="4"/>
      <c r="M368" s="4"/>
      <c r="N368" s="4"/>
      <c r="O368" s="4"/>
      <c r="P368" s="4"/>
      <c r="Q368" s="4"/>
      <c r="R368" s="4"/>
      <c r="S368" s="4"/>
    </row>
    <row r="369" spans="1:19" ht="13.5" thickBot="1" x14ac:dyDescent="0.25">
      <c r="A369" s="41">
        <f t="shared" si="38"/>
        <v>1.45</v>
      </c>
      <c r="B369" s="42">
        <f t="shared" si="39"/>
        <v>0</v>
      </c>
      <c r="H369" s="4"/>
      <c r="I369" s="4"/>
      <c r="J369" s="4"/>
      <c r="K369" s="4"/>
      <c r="L369" s="4"/>
      <c r="M369" s="4"/>
      <c r="N369" s="4"/>
      <c r="O369" s="4"/>
      <c r="P369" s="4"/>
      <c r="Q369" s="4"/>
      <c r="R369" s="4"/>
      <c r="S369" s="4"/>
    </row>
    <row r="370" spans="1:19" x14ac:dyDescent="0.2">
      <c r="H370" s="4"/>
      <c r="I370" s="4"/>
      <c r="J370" s="4"/>
      <c r="K370" s="4"/>
      <c r="L370" s="4"/>
      <c r="M370" s="4"/>
      <c r="N370" s="4"/>
      <c r="O370" s="4"/>
      <c r="P370" s="4"/>
      <c r="Q370" s="4"/>
      <c r="R370" s="4"/>
      <c r="S370" s="4"/>
    </row>
    <row r="371" spans="1:19" ht="13.5" thickBot="1" x14ac:dyDescent="0.25">
      <c r="H371" s="4"/>
      <c r="I371" s="4"/>
      <c r="J371" s="4"/>
      <c r="K371" s="4"/>
      <c r="L371" s="4"/>
      <c r="M371" s="4"/>
      <c r="N371" s="4"/>
      <c r="O371" s="4"/>
      <c r="P371" s="4"/>
      <c r="Q371" s="4"/>
      <c r="R371" s="4"/>
      <c r="S371" s="4"/>
    </row>
    <row r="372" spans="1:19" ht="13.5" thickBot="1" x14ac:dyDescent="0.25">
      <c r="A372" s="129" t="s">
        <v>73</v>
      </c>
      <c r="B372" s="25" t="s">
        <v>16</v>
      </c>
      <c r="H372" s="4"/>
      <c r="I372" s="4"/>
      <c r="J372" s="4"/>
      <c r="K372" s="4"/>
      <c r="L372" s="4"/>
      <c r="M372" s="4"/>
      <c r="N372" s="4"/>
      <c r="O372" s="4"/>
      <c r="P372" s="4"/>
      <c r="Q372" s="4"/>
      <c r="R372" s="4"/>
      <c r="S372" s="4"/>
    </row>
    <row r="373" spans="1:19" ht="13.5" thickBot="1" x14ac:dyDescent="0.25">
      <c r="A373" s="311" t="s">
        <v>82</v>
      </c>
      <c r="B373" s="209">
        <v>60</v>
      </c>
      <c r="C373" s="198"/>
      <c r="D373" s="198"/>
      <c r="E373" s="198"/>
      <c r="F373" s="198"/>
      <c r="G373" s="198"/>
      <c r="H373" s="4"/>
      <c r="I373" s="4"/>
      <c r="J373" s="4"/>
      <c r="K373" s="4"/>
      <c r="L373" s="4"/>
      <c r="M373" s="4"/>
      <c r="N373" s="4"/>
      <c r="O373" s="4"/>
      <c r="P373" s="4"/>
      <c r="Q373" s="4"/>
      <c r="R373" s="4"/>
      <c r="S373" s="4"/>
    </row>
    <row r="374" spans="1:19" ht="13.5" thickBot="1" x14ac:dyDescent="0.25">
      <c r="C374" s="71"/>
      <c r="D374" s="71"/>
      <c r="E374" s="71"/>
      <c r="F374" s="71"/>
      <c r="G374" s="71"/>
      <c r="H374" s="4"/>
      <c r="I374" s="4"/>
      <c r="J374" s="4"/>
      <c r="K374" s="4"/>
      <c r="L374" s="4"/>
      <c r="M374" s="4"/>
      <c r="N374" s="4"/>
      <c r="O374" s="4"/>
      <c r="P374" s="4"/>
      <c r="Q374" s="4"/>
      <c r="R374" s="4"/>
      <c r="S374" s="4"/>
    </row>
    <row r="375" spans="1:19" ht="13.5" thickBot="1" x14ac:dyDescent="0.25">
      <c r="A375" s="194" t="s">
        <v>1</v>
      </c>
      <c r="B375" s="25" t="s">
        <v>14</v>
      </c>
      <c r="C375" s="9"/>
      <c r="D375" s="9"/>
      <c r="E375" s="9"/>
      <c r="F375" s="9"/>
      <c r="G375" s="9"/>
      <c r="H375" s="4"/>
      <c r="I375" s="4"/>
      <c r="J375" s="4"/>
      <c r="K375" s="4"/>
      <c r="L375" s="4"/>
      <c r="M375" s="4"/>
      <c r="N375" s="4"/>
      <c r="O375" s="4"/>
      <c r="P375" s="4"/>
      <c r="Q375" s="4"/>
      <c r="R375" s="4"/>
      <c r="S375" s="4"/>
    </row>
    <row r="376" spans="1:19" x14ac:dyDescent="0.2">
      <c r="A376" s="54">
        <v>0</v>
      </c>
      <c r="B376" s="51">
        <v>100</v>
      </c>
      <c r="H376" s="4"/>
      <c r="I376" s="4"/>
      <c r="J376" s="4"/>
      <c r="K376" s="4"/>
      <c r="L376" s="4"/>
      <c r="M376" s="4"/>
      <c r="N376" s="4"/>
      <c r="O376" s="4"/>
      <c r="P376" s="4"/>
      <c r="Q376" s="4"/>
      <c r="R376" s="4"/>
      <c r="S376" s="4"/>
    </row>
    <row r="377" spans="1:19" x14ac:dyDescent="0.2">
      <c r="A377" s="49">
        <v>7.89</v>
      </c>
      <c r="B377" s="52">
        <v>100</v>
      </c>
      <c r="C377" s="190"/>
      <c r="D377" s="190"/>
      <c r="F377" s="190"/>
      <c r="G377" s="190"/>
      <c r="H377" s="4"/>
      <c r="I377" s="4"/>
      <c r="J377" s="4"/>
      <c r="K377" s="4"/>
      <c r="L377" s="4"/>
      <c r="M377" s="4"/>
      <c r="N377" s="4"/>
      <c r="O377" s="4"/>
      <c r="P377" s="4"/>
      <c r="Q377" s="4"/>
      <c r="R377" s="4"/>
      <c r="S377" s="4"/>
    </row>
    <row r="378" spans="1:19" x14ac:dyDescent="0.2">
      <c r="A378" s="49">
        <v>20</v>
      </c>
      <c r="B378" s="52">
        <v>100</v>
      </c>
      <c r="C378" s="19"/>
      <c r="D378" s="70"/>
      <c r="F378" s="191"/>
      <c r="G378" s="70"/>
      <c r="H378" s="4"/>
      <c r="I378" s="4"/>
      <c r="J378" s="4"/>
      <c r="K378" s="4"/>
      <c r="L378" s="4"/>
      <c r="M378" s="4"/>
      <c r="N378" s="4"/>
      <c r="O378" s="4"/>
      <c r="P378" s="4"/>
      <c r="Q378" s="4"/>
      <c r="R378" s="4"/>
      <c r="S378" s="4"/>
    </row>
    <row r="379" spans="1:19" x14ac:dyDescent="0.2">
      <c r="A379" s="49">
        <v>55.26</v>
      </c>
      <c r="B379" s="52">
        <v>100</v>
      </c>
      <c r="C379" s="19"/>
      <c r="D379" s="70"/>
      <c r="F379" s="191"/>
      <c r="G379" s="70"/>
      <c r="H379" s="4"/>
      <c r="I379" s="4"/>
      <c r="J379" s="4"/>
      <c r="K379" s="4"/>
      <c r="L379" s="4"/>
      <c r="M379" s="4"/>
      <c r="N379" s="4"/>
      <c r="O379" s="4"/>
      <c r="P379" s="4"/>
      <c r="Q379" s="4"/>
      <c r="R379" s="4"/>
      <c r="S379" s="4"/>
    </row>
    <row r="380" spans="1:19" x14ac:dyDescent="0.2">
      <c r="A380" s="49">
        <v>60</v>
      </c>
      <c r="B380" s="52">
        <v>100</v>
      </c>
      <c r="C380" s="19"/>
      <c r="D380" s="70"/>
      <c r="F380" s="191"/>
      <c r="G380" s="70"/>
      <c r="H380" s="4"/>
      <c r="I380" s="4"/>
      <c r="J380" s="4"/>
      <c r="K380" s="4"/>
      <c r="L380" s="4"/>
      <c r="M380" s="4"/>
      <c r="N380" s="4"/>
      <c r="O380" s="4"/>
      <c r="P380" s="4"/>
      <c r="Q380" s="4"/>
      <c r="R380" s="4"/>
      <c r="S380" s="4"/>
    </row>
    <row r="381" spans="1:19" x14ac:dyDescent="0.2">
      <c r="A381" s="49">
        <v>65</v>
      </c>
      <c r="B381" s="52">
        <v>100</v>
      </c>
      <c r="C381" s="19"/>
      <c r="D381" s="70"/>
      <c r="F381" s="191"/>
      <c r="G381" s="70"/>
      <c r="H381" s="4"/>
      <c r="I381" s="4"/>
      <c r="J381" s="4"/>
      <c r="K381" s="4"/>
      <c r="L381" s="4"/>
      <c r="M381" s="4"/>
      <c r="N381" s="4"/>
      <c r="O381" s="4"/>
      <c r="P381" s="4"/>
      <c r="Q381" s="4"/>
      <c r="R381" s="4"/>
      <c r="S381" s="4"/>
    </row>
    <row r="382" spans="1:19" x14ac:dyDescent="0.2">
      <c r="A382" s="49">
        <v>71.05</v>
      </c>
      <c r="B382" s="52">
        <v>100</v>
      </c>
      <c r="C382" s="19"/>
      <c r="D382" s="70"/>
      <c r="F382" s="191"/>
      <c r="G382" s="70"/>
      <c r="H382" s="4"/>
      <c r="I382" s="4"/>
      <c r="J382" s="4"/>
      <c r="K382" s="4"/>
      <c r="L382" s="4"/>
      <c r="M382" s="4"/>
      <c r="N382" s="4"/>
      <c r="O382" s="4"/>
      <c r="P382" s="4"/>
      <c r="Q382" s="4"/>
      <c r="R382" s="4"/>
      <c r="S382" s="4"/>
    </row>
    <row r="383" spans="1:19" ht="13.5" thickBot="1" x14ac:dyDescent="0.25">
      <c r="A383" s="50">
        <v>100</v>
      </c>
      <c r="B383" s="53">
        <v>100</v>
      </c>
      <c r="C383" s="19"/>
      <c r="D383" s="70"/>
      <c r="F383" s="191"/>
      <c r="G383" s="70"/>
      <c r="H383" s="4"/>
      <c r="I383" s="4"/>
      <c r="J383" s="4"/>
      <c r="K383" s="4"/>
      <c r="L383" s="4"/>
      <c r="M383" s="4"/>
      <c r="N383" s="4"/>
      <c r="O383" s="4"/>
      <c r="P383" s="4"/>
      <c r="Q383" s="4"/>
      <c r="R383" s="4"/>
      <c r="S383" s="4"/>
    </row>
    <row r="384" spans="1:19" ht="13.5" thickBot="1" x14ac:dyDescent="0.25">
      <c r="A384" s="134"/>
      <c r="B384" s="134"/>
      <c r="C384" s="19"/>
      <c r="D384" s="70"/>
      <c r="F384" s="191"/>
      <c r="G384" s="70"/>
      <c r="H384" s="4"/>
      <c r="I384" s="4"/>
      <c r="J384" s="4"/>
      <c r="K384" s="4"/>
      <c r="L384" s="4"/>
      <c r="M384" s="4"/>
      <c r="N384" s="4"/>
      <c r="O384" s="4"/>
      <c r="P384" s="4"/>
      <c r="Q384" s="4"/>
      <c r="R384" s="4"/>
      <c r="S384" s="4"/>
    </row>
    <row r="385" spans="1:19" ht="13.5" thickBot="1" x14ac:dyDescent="0.25">
      <c r="A385" s="118" t="s">
        <v>15</v>
      </c>
      <c r="B385" s="119" t="s">
        <v>14</v>
      </c>
      <c r="C385" s="19"/>
      <c r="D385" s="70"/>
      <c r="F385" s="191"/>
      <c r="G385" s="8"/>
      <c r="H385" s="4"/>
      <c r="I385" s="4"/>
      <c r="J385" s="4"/>
      <c r="K385" s="4"/>
      <c r="L385" s="4"/>
      <c r="M385" s="4"/>
      <c r="N385" s="4"/>
      <c r="O385" s="4"/>
      <c r="P385" s="4"/>
      <c r="Q385" s="4"/>
      <c r="R385" s="4"/>
      <c r="S385" s="4"/>
    </row>
    <row r="386" spans="1:19" x14ac:dyDescent="0.2">
      <c r="A386" s="37">
        <f t="shared" ref="A386:A393" si="40">A376*F$4/100</f>
        <v>0</v>
      </c>
      <c r="B386" s="38">
        <f t="shared" ref="B386:B393" si="41">B376</f>
        <v>100</v>
      </c>
      <c r="H386" s="4"/>
      <c r="I386" s="4"/>
      <c r="J386" s="4"/>
      <c r="K386" s="4"/>
      <c r="L386" s="4"/>
      <c r="M386" s="4"/>
      <c r="N386" s="4"/>
      <c r="O386" s="4"/>
      <c r="P386" s="4"/>
      <c r="Q386" s="4"/>
      <c r="R386" s="4"/>
      <c r="S386" s="4"/>
    </row>
    <row r="387" spans="1:19" x14ac:dyDescent="0.2">
      <c r="A387" s="39">
        <f t="shared" si="40"/>
        <v>0.11440499999999998</v>
      </c>
      <c r="B387" s="40">
        <f t="shared" si="41"/>
        <v>100</v>
      </c>
      <c r="C387" s="28"/>
      <c r="D387" s="28"/>
      <c r="E387" s="28"/>
      <c r="F387" s="28"/>
      <c r="G387" s="28"/>
      <c r="H387" s="4"/>
      <c r="I387" s="4"/>
      <c r="J387" s="4"/>
      <c r="K387" s="4"/>
      <c r="L387" s="4"/>
      <c r="M387" s="4"/>
      <c r="N387" s="4"/>
      <c r="O387" s="4"/>
      <c r="P387" s="4"/>
      <c r="Q387" s="4"/>
      <c r="R387" s="4"/>
      <c r="S387" s="4"/>
    </row>
    <row r="388" spans="1:19" x14ac:dyDescent="0.2">
      <c r="A388" s="39">
        <f t="shared" si="40"/>
        <v>0.28999999999999998</v>
      </c>
      <c r="B388" s="40">
        <f t="shared" si="41"/>
        <v>100</v>
      </c>
      <c r="C388" s="28"/>
      <c r="D388" s="28"/>
      <c r="E388" s="28"/>
      <c r="F388" s="28"/>
      <c r="G388" s="28"/>
      <c r="H388" s="4"/>
      <c r="I388" s="4"/>
      <c r="J388" s="4"/>
      <c r="K388" s="4"/>
      <c r="L388" s="4"/>
      <c r="M388" s="4"/>
      <c r="N388" s="4"/>
      <c r="O388" s="4"/>
      <c r="P388" s="4"/>
      <c r="Q388" s="4"/>
      <c r="R388" s="4"/>
      <c r="S388" s="4"/>
    </row>
    <row r="389" spans="1:19" x14ac:dyDescent="0.2">
      <c r="A389" s="39">
        <f t="shared" si="40"/>
        <v>0.80126999999999993</v>
      </c>
      <c r="B389" s="40">
        <f t="shared" si="41"/>
        <v>100</v>
      </c>
      <c r="C389" s="28"/>
      <c r="D389" s="28"/>
      <c r="E389" s="28"/>
      <c r="F389" s="28"/>
      <c r="G389" s="28"/>
      <c r="H389" s="4"/>
      <c r="I389" s="4"/>
      <c r="J389" s="4"/>
      <c r="K389" s="4"/>
      <c r="L389" s="4"/>
      <c r="M389" s="4"/>
      <c r="N389" s="4"/>
      <c r="O389" s="4"/>
      <c r="P389" s="4"/>
      <c r="Q389" s="4"/>
      <c r="R389" s="4"/>
      <c r="S389" s="4"/>
    </row>
    <row r="390" spans="1:19" x14ac:dyDescent="0.2">
      <c r="A390" s="39">
        <f t="shared" si="40"/>
        <v>0.87</v>
      </c>
      <c r="B390" s="40">
        <f t="shared" si="41"/>
        <v>100</v>
      </c>
      <c r="C390" s="28"/>
      <c r="D390" s="28"/>
      <c r="E390" s="28"/>
      <c r="F390" s="28"/>
      <c r="G390" s="28"/>
      <c r="H390" s="4"/>
      <c r="I390" s="4"/>
      <c r="J390" s="4"/>
      <c r="K390" s="4"/>
      <c r="L390" s="4"/>
      <c r="M390" s="4"/>
      <c r="N390" s="4"/>
      <c r="O390" s="4"/>
      <c r="P390" s="4"/>
      <c r="Q390" s="4"/>
      <c r="R390" s="4"/>
      <c r="S390" s="4"/>
    </row>
    <row r="391" spans="1:19" x14ac:dyDescent="0.2">
      <c r="A391" s="39">
        <f t="shared" si="40"/>
        <v>0.9425</v>
      </c>
      <c r="B391" s="40">
        <f t="shared" si="41"/>
        <v>100</v>
      </c>
      <c r="C391" s="28"/>
      <c r="D391" s="28"/>
      <c r="E391" s="28"/>
      <c r="F391" s="28"/>
      <c r="G391" s="28"/>
      <c r="H391" s="4"/>
      <c r="I391" s="4"/>
      <c r="J391" s="4"/>
      <c r="K391" s="4"/>
      <c r="L391" s="4"/>
      <c r="M391" s="4"/>
      <c r="N391" s="4"/>
      <c r="O391" s="4"/>
      <c r="P391" s="4"/>
      <c r="Q391" s="4"/>
      <c r="R391" s="4"/>
      <c r="S391" s="4"/>
    </row>
    <row r="392" spans="1:19" x14ac:dyDescent="0.2">
      <c r="A392" s="39">
        <f t="shared" si="40"/>
        <v>1.0302249999999999</v>
      </c>
      <c r="B392" s="40">
        <f t="shared" si="41"/>
        <v>100</v>
      </c>
      <c r="C392" s="28"/>
      <c r="D392" s="28"/>
      <c r="E392" s="28"/>
      <c r="F392" s="28"/>
      <c r="G392" s="28"/>
      <c r="H392" s="4"/>
      <c r="I392" s="4"/>
      <c r="J392" s="4"/>
      <c r="K392" s="4"/>
      <c r="L392" s="4"/>
      <c r="M392" s="4"/>
      <c r="N392" s="4"/>
      <c r="O392" s="4"/>
      <c r="P392" s="4"/>
      <c r="Q392" s="4"/>
      <c r="R392" s="4"/>
      <c r="S392" s="4"/>
    </row>
    <row r="393" spans="1:19" ht="13.5" thickBot="1" x14ac:dyDescent="0.25">
      <c r="A393" s="41">
        <f t="shared" si="40"/>
        <v>1.45</v>
      </c>
      <c r="B393" s="42">
        <f t="shared" si="41"/>
        <v>100</v>
      </c>
      <c r="C393" s="28"/>
      <c r="D393" s="28"/>
      <c r="E393" s="28"/>
      <c r="F393" s="28"/>
      <c r="G393" s="28"/>
      <c r="H393" s="4"/>
      <c r="I393" s="4"/>
      <c r="J393" s="4"/>
      <c r="K393" s="4"/>
      <c r="L393" s="4"/>
      <c r="M393" s="4"/>
      <c r="N393" s="4"/>
      <c r="O393" s="4"/>
      <c r="P393" s="4"/>
      <c r="Q393" s="4"/>
      <c r="R393" s="4"/>
      <c r="S393" s="4"/>
    </row>
    <row r="394" spans="1:19" x14ac:dyDescent="0.2">
      <c r="A394" s="68"/>
      <c r="B394" s="66"/>
      <c r="C394" s="28"/>
      <c r="D394" s="28"/>
      <c r="E394" s="28"/>
      <c r="F394" s="28"/>
      <c r="G394" s="28"/>
      <c r="H394" s="4"/>
      <c r="I394" s="4"/>
      <c r="J394" s="4"/>
      <c r="K394" s="4"/>
      <c r="L394" s="4"/>
      <c r="M394" s="4"/>
      <c r="N394" s="4"/>
      <c r="O394" s="4"/>
      <c r="P394" s="4"/>
      <c r="Q394" s="4"/>
      <c r="R394" s="4"/>
      <c r="S394" s="4"/>
    </row>
    <row r="395" spans="1:19" ht="13.5" thickBot="1" x14ac:dyDescent="0.25">
      <c r="A395" s="68"/>
      <c r="B395" s="66"/>
      <c r="C395" s="28"/>
      <c r="D395" s="28"/>
      <c r="E395" s="28"/>
      <c r="F395" s="28"/>
      <c r="G395" s="28"/>
      <c r="H395" s="4"/>
      <c r="I395" s="4"/>
      <c r="J395" s="4"/>
      <c r="K395" s="4"/>
      <c r="L395" s="4"/>
      <c r="M395" s="4"/>
      <c r="N395" s="4"/>
      <c r="O395" s="4"/>
      <c r="P395" s="4"/>
      <c r="Q395" s="4"/>
      <c r="R395" s="4"/>
      <c r="S395" s="4"/>
    </row>
    <row r="396" spans="1:19" ht="13.5" thickBot="1" x14ac:dyDescent="0.25">
      <c r="A396" s="129" t="s">
        <v>73</v>
      </c>
      <c r="B396" s="25" t="s">
        <v>16</v>
      </c>
      <c r="C396" s="28"/>
      <c r="D396" s="28"/>
      <c r="E396" s="28"/>
      <c r="F396" s="28"/>
      <c r="G396" s="28"/>
      <c r="H396" s="4"/>
      <c r="I396" s="4"/>
      <c r="J396" s="4"/>
      <c r="K396" s="4"/>
      <c r="L396" s="4"/>
      <c r="M396" s="4"/>
      <c r="N396" s="4"/>
      <c r="O396" s="4"/>
      <c r="P396" s="4"/>
      <c r="Q396" s="4"/>
      <c r="R396" s="4"/>
      <c r="S396" s="4"/>
    </row>
    <row r="397" spans="1:19" ht="13.5" thickBot="1" x14ac:dyDescent="0.25">
      <c r="A397" s="311" t="s">
        <v>83</v>
      </c>
      <c r="B397" s="209">
        <v>60</v>
      </c>
      <c r="C397" s="28"/>
      <c r="D397" s="28"/>
      <c r="E397" s="28"/>
      <c r="F397" s="28"/>
      <c r="G397" s="28"/>
      <c r="H397" s="4"/>
      <c r="I397" s="4"/>
      <c r="J397" s="4"/>
      <c r="K397" s="4"/>
      <c r="L397" s="4"/>
      <c r="M397" s="4"/>
      <c r="N397" s="4"/>
      <c r="O397" s="4"/>
      <c r="P397" s="4"/>
      <c r="Q397" s="4"/>
      <c r="R397" s="4"/>
      <c r="S397" s="4"/>
    </row>
    <row r="398" spans="1:19" ht="13.5" thickBot="1" x14ac:dyDescent="0.25">
      <c r="C398" s="28"/>
      <c r="D398" s="28"/>
      <c r="E398" s="28"/>
      <c r="F398" s="28"/>
      <c r="G398" s="28"/>
      <c r="H398" s="4"/>
      <c r="I398" s="4"/>
      <c r="J398" s="4"/>
      <c r="K398" s="4"/>
      <c r="L398" s="4"/>
      <c r="M398" s="4"/>
      <c r="N398" s="4"/>
      <c r="O398" s="4"/>
      <c r="P398" s="4"/>
      <c r="Q398" s="4"/>
      <c r="R398" s="4"/>
      <c r="S398" s="4"/>
    </row>
    <row r="399" spans="1:19" ht="13.5" thickBot="1" x14ac:dyDescent="0.25">
      <c r="A399" s="194" t="s">
        <v>1</v>
      </c>
      <c r="B399" s="25" t="s">
        <v>14</v>
      </c>
      <c r="C399" s="28"/>
      <c r="D399" s="28"/>
      <c r="E399" s="28"/>
      <c r="F399" s="28"/>
      <c r="G399" s="28"/>
      <c r="H399" s="4"/>
      <c r="I399" s="4"/>
      <c r="J399" s="4"/>
      <c r="K399" s="4"/>
      <c r="L399" s="4"/>
      <c r="M399" s="4"/>
      <c r="N399" s="4"/>
      <c r="O399" s="4"/>
      <c r="P399" s="4"/>
      <c r="Q399" s="4"/>
      <c r="R399" s="4"/>
      <c r="S399" s="4"/>
    </row>
    <row r="400" spans="1:19" x14ac:dyDescent="0.2">
      <c r="A400" s="54">
        <v>0</v>
      </c>
      <c r="B400" s="51">
        <v>200</v>
      </c>
      <c r="C400" s="28"/>
      <c r="D400" s="28"/>
      <c r="E400" s="28"/>
      <c r="F400" s="28"/>
      <c r="G400" s="28"/>
      <c r="H400" s="4"/>
      <c r="I400" s="4"/>
      <c r="J400" s="4"/>
      <c r="K400" s="4"/>
      <c r="L400" s="4"/>
      <c r="M400" s="4"/>
      <c r="N400" s="4"/>
      <c r="O400" s="4"/>
      <c r="P400" s="4"/>
      <c r="Q400" s="4"/>
      <c r="R400" s="4"/>
      <c r="S400" s="4"/>
    </row>
    <row r="401" spans="1:19" x14ac:dyDescent="0.2">
      <c r="A401" s="49">
        <v>7.89</v>
      </c>
      <c r="B401" s="52">
        <v>200</v>
      </c>
      <c r="C401" s="28"/>
      <c r="D401" s="28"/>
      <c r="E401" s="28"/>
      <c r="F401" s="28"/>
      <c r="G401" s="28"/>
      <c r="H401" s="4"/>
      <c r="I401" s="4"/>
      <c r="J401" s="4"/>
      <c r="K401" s="4"/>
      <c r="L401" s="4"/>
      <c r="M401" s="4"/>
      <c r="N401" s="4"/>
      <c r="O401" s="4"/>
      <c r="P401" s="4"/>
      <c r="Q401" s="4"/>
      <c r="R401" s="4"/>
      <c r="S401" s="4"/>
    </row>
    <row r="402" spans="1:19" x14ac:dyDescent="0.2">
      <c r="A402" s="49">
        <v>20</v>
      </c>
      <c r="B402" s="52">
        <v>200</v>
      </c>
      <c r="C402" s="28"/>
      <c r="D402" s="28"/>
      <c r="E402" s="28"/>
      <c r="F402" s="28"/>
      <c r="G402" s="28"/>
      <c r="H402" s="4"/>
      <c r="I402" s="4"/>
      <c r="J402" s="4"/>
      <c r="K402" s="4"/>
      <c r="L402" s="4"/>
      <c r="M402" s="4"/>
      <c r="N402" s="4"/>
      <c r="O402" s="4"/>
      <c r="P402" s="4"/>
      <c r="Q402" s="4"/>
      <c r="R402" s="4"/>
      <c r="S402" s="4"/>
    </row>
    <row r="403" spans="1:19" x14ac:dyDescent="0.2">
      <c r="A403" s="49">
        <v>55.26</v>
      </c>
      <c r="B403" s="52">
        <v>200</v>
      </c>
      <c r="C403" s="28"/>
      <c r="D403" s="28"/>
      <c r="E403" s="28"/>
      <c r="F403" s="28"/>
      <c r="G403" s="28"/>
      <c r="H403" s="4"/>
      <c r="I403" s="4"/>
      <c r="J403" s="4"/>
      <c r="K403" s="4"/>
      <c r="L403" s="4"/>
      <c r="M403" s="4"/>
      <c r="N403" s="4"/>
      <c r="O403" s="4"/>
      <c r="P403" s="4"/>
      <c r="Q403" s="4"/>
      <c r="R403" s="4"/>
      <c r="S403" s="4"/>
    </row>
    <row r="404" spans="1:19" x14ac:dyDescent="0.2">
      <c r="A404" s="49">
        <v>60</v>
      </c>
      <c r="B404" s="52">
        <v>200</v>
      </c>
      <c r="C404" s="28"/>
      <c r="D404" s="28"/>
      <c r="E404" s="28"/>
      <c r="F404" s="28"/>
      <c r="G404" s="28"/>
      <c r="H404" s="4"/>
      <c r="I404" s="4"/>
      <c r="J404" s="4"/>
      <c r="K404" s="4"/>
      <c r="L404" s="4"/>
      <c r="M404" s="4"/>
      <c r="N404" s="4"/>
      <c r="O404" s="4"/>
      <c r="P404" s="4"/>
      <c r="Q404" s="4"/>
      <c r="R404" s="4"/>
      <c r="S404" s="4"/>
    </row>
    <row r="405" spans="1:19" x14ac:dyDescent="0.2">
      <c r="A405" s="49">
        <v>65</v>
      </c>
      <c r="B405" s="52">
        <v>200</v>
      </c>
      <c r="C405" s="28"/>
      <c r="D405" s="28"/>
      <c r="E405" s="28"/>
      <c r="F405" s="28"/>
      <c r="G405" s="28"/>
      <c r="H405" s="4"/>
      <c r="I405" s="4"/>
      <c r="J405" s="4"/>
      <c r="K405" s="4"/>
      <c r="L405" s="4"/>
      <c r="M405" s="4"/>
      <c r="N405" s="4"/>
      <c r="O405" s="4"/>
      <c r="P405" s="4"/>
      <c r="Q405" s="4"/>
      <c r="R405" s="4"/>
      <c r="S405" s="4"/>
    </row>
    <row r="406" spans="1:19" x14ac:dyDescent="0.2">
      <c r="A406" s="49">
        <v>71.05</v>
      </c>
      <c r="B406" s="52">
        <v>200</v>
      </c>
      <c r="C406" s="28"/>
      <c r="D406" s="28"/>
      <c r="E406" s="28"/>
      <c r="F406" s="28"/>
      <c r="G406" s="28"/>
      <c r="H406" s="4"/>
      <c r="I406" s="4"/>
      <c r="J406" s="4"/>
      <c r="K406" s="4"/>
      <c r="L406" s="4"/>
      <c r="M406" s="4"/>
      <c r="N406" s="4"/>
      <c r="O406" s="4"/>
      <c r="P406" s="4"/>
      <c r="Q406" s="4"/>
      <c r="R406" s="4"/>
      <c r="S406" s="4"/>
    </row>
    <row r="407" spans="1:19" ht="13.5" thickBot="1" x14ac:dyDescent="0.25">
      <c r="A407" s="50">
        <v>100</v>
      </c>
      <c r="B407" s="53">
        <v>200</v>
      </c>
      <c r="C407" s="28"/>
      <c r="D407" s="28"/>
      <c r="E407" s="28"/>
      <c r="F407" s="28"/>
      <c r="G407" s="28"/>
      <c r="H407" s="4"/>
      <c r="I407" s="4"/>
      <c r="J407" s="4"/>
      <c r="K407" s="4"/>
      <c r="L407" s="4"/>
      <c r="M407" s="4"/>
      <c r="N407" s="4"/>
      <c r="O407" s="4"/>
      <c r="P407" s="4"/>
      <c r="Q407" s="4"/>
      <c r="R407" s="4"/>
      <c r="S407" s="4"/>
    </row>
    <row r="408" spans="1:19" ht="13.5" thickBot="1" x14ac:dyDescent="0.25">
      <c r="C408" s="28"/>
      <c r="D408" s="28"/>
      <c r="E408" s="28"/>
      <c r="F408" s="28"/>
      <c r="G408" s="28"/>
      <c r="H408" s="4"/>
      <c r="I408" s="4"/>
      <c r="J408" s="4"/>
      <c r="K408" s="4"/>
      <c r="L408" s="4"/>
      <c r="M408" s="4"/>
      <c r="N408" s="4"/>
      <c r="O408" s="4"/>
      <c r="P408" s="4"/>
      <c r="Q408" s="4"/>
      <c r="R408" s="4"/>
      <c r="S408" s="4"/>
    </row>
    <row r="409" spans="1:19" ht="13.5" thickBot="1" x14ac:dyDescent="0.25">
      <c r="A409" s="194" t="s">
        <v>15</v>
      </c>
      <c r="B409" s="25" t="s">
        <v>14</v>
      </c>
      <c r="C409" s="28"/>
      <c r="D409" s="28"/>
      <c r="E409" s="28"/>
      <c r="F409" s="28"/>
      <c r="G409" s="28"/>
      <c r="H409" s="4"/>
      <c r="I409" s="4"/>
      <c r="J409" s="4"/>
      <c r="K409" s="4"/>
      <c r="L409" s="4"/>
      <c r="M409" s="4"/>
      <c r="N409" s="4"/>
      <c r="O409" s="4"/>
      <c r="P409" s="4"/>
      <c r="Q409" s="4"/>
      <c r="R409" s="4"/>
      <c r="S409" s="4"/>
    </row>
    <row r="410" spans="1:19" x14ac:dyDescent="0.2">
      <c r="A410" s="37">
        <f t="shared" ref="A410:A417" si="42">A400*F$4/100</f>
        <v>0</v>
      </c>
      <c r="B410" s="38">
        <f t="shared" ref="B410:B417" si="43">B400</f>
        <v>200</v>
      </c>
      <c r="C410" s="28"/>
      <c r="D410" s="28"/>
      <c r="E410" s="28"/>
      <c r="F410" s="28"/>
      <c r="G410" s="28"/>
      <c r="H410" s="4"/>
      <c r="I410" s="4"/>
      <c r="J410" s="4"/>
      <c r="K410" s="4"/>
      <c r="L410" s="4"/>
      <c r="M410" s="4"/>
      <c r="N410" s="4"/>
      <c r="O410" s="4"/>
      <c r="P410" s="4"/>
      <c r="Q410" s="4"/>
      <c r="R410" s="4"/>
      <c r="S410" s="4"/>
    </row>
    <row r="411" spans="1:19" x14ac:dyDescent="0.2">
      <c r="A411" s="39">
        <f t="shared" si="42"/>
        <v>0.11440499999999998</v>
      </c>
      <c r="B411" s="40">
        <f t="shared" si="43"/>
        <v>200</v>
      </c>
      <c r="C411" s="28"/>
      <c r="D411" s="28"/>
      <c r="E411" s="28"/>
      <c r="F411" s="28"/>
      <c r="G411" s="28"/>
      <c r="H411" s="4"/>
      <c r="I411" s="4"/>
      <c r="J411" s="4"/>
      <c r="K411" s="4"/>
      <c r="L411" s="4"/>
      <c r="M411" s="4"/>
      <c r="N411" s="4"/>
      <c r="O411" s="4"/>
      <c r="P411" s="4"/>
      <c r="Q411" s="4"/>
      <c r="R411" s="4"/>
      <c r="S411" s="4"/>
    </row>
    <row r="412" spans="1:19" x14ac:dyDescent="0.2">
      <c r="A412" s="39">
        <f t="shared" si="42"/>
        <v>0.28999999999999998</v>
      </c>
      <c r="B412" s="40">
        <f t="shared" si="43"/>
        <v>200</v>
      </c>
      <c r="C412" s="28"/>
      <c r="D412" s="28"/>
      <c r="E412" s="28"/>
      <c r="F412" s="28"/>
      <c r="G412" s="28"/>
      <c r="H412" s="4"/>
      <c r="I412" s="4"/>
      <c r="J412" s="4"/>
      <c r="K412" s="4"/>
      <c r="L412" s="4"/>
      <c r="M412" s="4"/>
      <c r="N412" s="4"/>
      <c r="O412" s="4"/>
      <c r="P412" s="4"/>
      <c r="Q412" s="4"/>
      <c r="R412" s="4"/>
      <c r="S412" s="4"/>
    </row>
    <row r="413" spans="1:19" x14ac:dyDescent="0.2">
      <c r="A413" s="39">
        <f t="shared" si="42"/>
        <v>0.80126999999999993</v>
      </c>
      <c r="B413" s="40">
        <f t="shared" si="43"/>
        <v>200</v>
      </c>
      <c r="C413" s="28"/>
      <c r="D413" s="28"/>
      <c r="E413" s="28"/>
      <c r="F413" s="28"/>
      <c r="G413" s="28"/>
      <c r="H413" s="4"/>
      <c r="I413" s="4"/>
      <c r="J413" s="4"/>
      <c r="K413" s="4"/>
      <c r="L413" s="4"/>
      <c r="M413" s="4"/>
      <c r="N413" s="4"/>
      <c r="O413" s="4"/>
      <c r="P413" s="4"/>
      <c r="Q413" s="4"/>
      <c r="R413" s="4"/>
      <c r="S413" s="4"/>
    </row>
    <row r="414" spans="1:19" x14ac:dyDescent="0.2">
      <c r="A414" s="39">
        <f t="shared" si="42"/>
        <v>0.87</v>
      </c>
      <c r="B414" s="40">
        <f t="shared" si="43"/>
        <v>200</v>
      </c>
      <c r="C414" s="28"/>
      <c r="D414" s="28"/>
      <c r="E414" s="28"/>
      <c r="F414" s="28"/>
      <c r="G414" s="28"/>
      <c r="H414" s="4"/>
      <c r="I414" s="4"/>
      <c r="J414" s="4"/>
      <c r="K414" s="4"/>
      <c r="L414" s="4"/>
      <c r="M414" s="4"/>
      <c r="N414" s="4"/>
      <c r="O414" s="4"/>
      <c r="P414" s="4"/>
      <c r="Q414" s="4"/>
      <c r="R414" s="4"/>
      <c r="S414" s="4"/>
    </row>
    <row r="415" spans="1:19" x14ac:dyDescent="0.2">
      <c r="A415" s="39">
        <f t="shared" si="42"/>
        <v>0.9425</v>
      </c>
      <c r="B415" s="40">
        <f t="shared" si="43"/>
        <v>200</v>
      </c>
      <c r="C415" s="28"/>
      <c r="D415" s="28"/>
      <c r="E415" s="28"/>
      <c r="F415" s="28"/>
      <c r="G415" s="28"/>
      <c r="H415" s="4"/>
      <c r="I415" s="4"/>
      <c r="J415" s="4"/>
      <c r="K415" s="4"/>
      <c r="L415" s="4"/>
      <c r="M415" s="4"/>
      <c r="N415" s="4"/>
      <c r="O415" s="4"/>
      <c r="P415" s="4"/>
      <c r="Q415" s="4"/>
      <c r="R415" s="4"/>
      <c r="S415" s="4"/>
    </row>
    <row r="416" spans="1:19" x14ac:dyDescent="0.2">
      <c r="A416" s="39">
        <f t="shared" si="42"/>
        <v>1.0302249999999999</v>
      </c>
      <c r="B416" s="40">
        <f t="shared" si="43"/>
        <v>200</v>
      </c>
      <c r="C416" s="28"/>
      <c r="D416" s="28"/>
      <c r="E416" s="28"/>
      <c r="F416" s="28"/>
      <c r="G416" s="28"/>
      <c r="H416" s="4"/>
      <c r="I416" s="4"/>
      <c r="J416" s="4"/>
      <c r="K416" s="4"/>
      <c r="L416" s="4"/>
      <c r="M416" s="4"/>
      <c r="N416" s="4"/>
      <c r="O416" s="4"/>
      <c r="P416" s="4"/>
      <c r="Q416" s="4"/>
      <c r="R416" s="4"/>
      <c r="S416" s="4"/>
    </row>
    <row r="417" spans="1:19" ht="13.5" thickBot="1" x14ac:dyDescent="0.25">
      <c r="A417" s="41">
        <f t="shared" si="42"/>
        <v>1.45</v>
      </c>
      <c r="B417" s="138">
        <f t="shared" si="43"/>
        <v>200</v>
      </c>
      <c r="C417" s="28"/>
      <c r="D417" s="28"/>
      <c r="E417" s="28"/>
      <c r="F417" s="28"/>
      <c r="G417" s="28"/>
      <c r="H417" s="4"/>
      <c r="I417" s="4"/>
      <c r="J417" s="4"/>
      <c r="K417" s="4"/>
      <c r="L417" s="4"/>
      <c r="M417" s="4"/>
      <c r="N417" s="4"/>
      <c r="O417" s="4"/>
      <c r="P417" s="4"/>
      <c r="Q417" s="4"/>
      <c r="R417" s="4"/>
      <c r="S417" s="4"/>
    </row>
    <row r="418" spans="1:19" x14ac:dyDescent="0.2">
      <c r="A418" s="67"/>
      <c r="B418" s="66"/>
      <c r="C418" s="28"/>
      <c r="D418" s="28"/>
      <c r="E418" s="28"/>
      <c r="F418" s="28"/>
      <c r="G418" s="28"/>
      <c r="H418" s="4"/>
      <c r="I418" s="4"/>
      <c r="J418" s="4"/>
      <c r="K418" s="4"/>
      <c r="L418" s="4"/>
      <c r="M418" s="4"/>
      <c r="N418" s="4"/>
      <c r="O418" s="4"/>
      <c r="P418" s="4"/>
      <c r="Q418" s="4"/>
      <c r="R418" s="4"/>
      <c r="S418" s="4"/>
    </row>
    <row r="419" spans="1:19" ht="13.5" thickBot="1" x14ac:dyDescent="0.25">
      <c r="A419" s="64"/>
      <c r="B419" s="64"/>
      <c r="C419" s="28"/>
      <c r="D419" s="28"/>
      <c r="E419" s="28"/>
      <c r="F419" s="28"/>
      <c r="G419" s="28"/>
      <c r="H419" s="4"/>
      <c r="I419" s="4"/>
      <c r="J419" s="4"/>
      <c r="K419" s="4"/>
      <c r="L419" s="4"/>
      <c r="M419" s="4"/>
      <c r="N419" s="4"/>
      <c r="O419" s="4"/>
      <c r="P419" s="4"/>
      <c r="Q419" s="4"/>
      <c r="R419" s="4"/>
      <c r="S419" s="4"/>
    </row>
    <row r="420" spans="1:19" ht="13.5" thickBot="1" x14ac:dyDescent="0.25">
      <c r="A420" s="129" t="s">
        <v>73</v>
      </c>
      <c r="B420" s="119" t="s">
        <v>16</v>
      </c>
      <c r="C420" s="28"/>
      <c r="D420" s="28"/>
      <c r="E420" s="28"/>
      <c r="F420" s="28"/>
      <c r="G420" s="28"/>
      <c r="H420" s="4"/>
      <c r="I420" s="4"/>
      <c r="J420" s="4"/>
      <c r="K420" s="4"/>
      <c r="L420" s="4"/>
      <c r="M420" s="4"/>
      <c r="N420" s="4"/>
      <c r="O420" s="4"/>
      <c r="P420" s="4"/>
      <c r="Q420" s="4"/>
      <c r="R420" s="4"/>
      <c r="S420" s="4"/>
    </row>
    <row r="421" spans="1:19" ht="13.5" thickBot="1" x14ac:dyDescent="0.25">
      <c r="A421" s="311" t="s">
        <v>84</v>
      </c>
      <c r="B421" s="210">
        <v>30</v>
      </c>
      <c r="C421" s="28"/>
      <c r="D421" s="28"/>
      <c r="E421" s="28"/>
      <c r="F421" s="28"/>
      <c r="G421" s="28"/>
      <c r="H421" s="4"/>
      <c r="I421" s="4"/>
      <c r="J421" s="4"/>
      <c r="K421" s="4"/>
      <c r="L421" s="4"/>
      <c r="M421" s="4"/>
      <c r="N421" s="4"/>
      <c r="O421" s="4"/>
      <c r="P421" s="4"/>
      <c r="Q421" s="4"/>
      <c r="R421" s="4"/>
      <c r="S421" s="4"/>
    </row>
    <row r="422" spans="1:19" ht="13.5" thickBot="1" x14ac:dyDescent="0.25">
      <c r="A422" s="134"/>
      <c r="B422" s="134"/>
      <c r="C422" s="28"/>
      <c r="D422" s="28"/>
      <c r="E422" s="28"/>
      <c r="F422" s="28"/>
      <c r="G422" s="28"/>
      <c r="H422" s="4"/>
      <c r="I422" s="4"/>
      <c r="J422" s="4"/>
      <c r="K422" s="4"/>
      <c r="L422" s="4"/>
      <c r="M422" s="4"/>
      <c r="N422" s="4"/>
      <c r="O422" s="4"/>
      <c r="P422" s="4"/>
      <c r="Q422" s="4"/>
      <c r="R422" s="4"/>
      <c r="S422" s="4"/>
    </row>
    <row r="423" spans="1:19" ht="13.5" thickBot="1" x14ac:dyDescent="0.25">
      <c r="A423" s="118" t="s">
        <v>1</v>
      </c>
      <c r="B423" s="119" t="s">
        <v>14</v>
      </c>
      <c r="C423" s="28"/>
      <c r="D423" s="28"/>
      <c r="E423" s="28"/>
      <c r="F423" s="28"/>
      <c r="G423" s="28"/>
      <c r="H423" s="4"/>
      <c r="I423" s="4"/>
      <c r="J423" s="4"/>
      <c r="K423" s="4"/>
      <c r="L423" s="4"/>
      <c r="M423" s="4"/>
      <c r="N423" s="4"/>
      <c r="O423" s="4"/>
      <c r="P423" s="4"/>
      <c r="Q423" s="4"/>
      <c r="R423" s="4"/>
      <c r="S423" s="4"/>
    </row>
    <row r="424" spans="1:19" x14ac:dyDescent="0.2">
      <c r="A424" s="54">
        <v>0</v>
      </c>
      <c r="B424" s="51">
        <v>0</v>
      </c>
      <c r="C424" s="28"/>
      <c r="D424" s="28"/>
      <c r="E424" s="28"/>
      <c r="F424" s="28"/>
      <c r="G424" s="28"/>
      <c r="H424" s="4"/>
      <c r="I424" s="4"/>
      <c r="J424" s="4"/>
      <c r="K424" s="4"/>
      <c r="L424" s="4"/>
      <c r="M424" s="4"/>
      <c r="N424" s="4"/>
      <c r="O424" s="4"/>
      <c r="P424" s="4"/>
      <c r="Q424" s="4"/>
      <c r="R424" s="4"/>
      <c r="S424" s="4"/>
    </row>
    <row r="425" spans="1:19" x14ac:dyDescent="0.2">
      <c r="A425" s="49">
        <v>7.89</v>
      </c>
      <c r="B425" s="52">
        <v>0</v>
      </c>
      <c r="C425" s="28"/>
      <c r="D425" s="28"/>
      <c r="E425" s="28"/>
      <c r="F425" s="28"/>
      <c r="G425" s="28"/>
      <c r="H425" s="4"/>
      <c r="I425" s="4"/>
      <c r="J425" s="4"/>
      <c r="K425" s="4"/>
      <c r="L425" s="4"/>
      <c r="M425" s="4"/>
      <c r="N425" s="4"/>
      <c r="O425" s="4"/>
      <c r="P425" s="4"/>
      <c r="Q425" s="4"/>
      <c r="R425" s="4"/>
      <c r="S425" s="4"/>
    </row>
    <row r="426" spans="1:19" x14ac:dyDescent="0.2">
      <c r="A426" s="49">
        <v>20</v>
      </c>
      <c r="B426" s="52">
        <v>0</v>
      </c>
      <c r="C426" s="28"/>
      <c r="D426" s="28"/>
      <c r="E426" s="28"/>
      <c r="F426" s="28"/>
      <c r="G426" s="28"/>
      <c r="H426" s="4"/>
      <c r="I426" s="4"/>
      <c r="J426" s="4"/>
      <c r="K426" s="4"/>
      <c r="L426" s="4"/>
      <c r="M426" s="4"/>
      <c r="N426" s="4"/>
      <c r="O426" s="4"/>
      <c r="P426" s="4"/>
      <c r="Q426" s="4"/>
      <c r="R426" s="4"/>
      <c r="S426" s="4"/>
    </row>
    <row r="427" spans="1:19" x14ac:dyDescent="0.2">
      <c r="A427" s="49">
        <v>55.26</v>
      </c>
      <c r="B427" s="52">
        <v>0</v>
      </c>
      <c r="C427" s="28"/>
      <c r="D427" s="28"/>
      <c r="E427" s="28"/>
      <c r="F427" s="28"/>
      <c r="G427" s="28"/>
      <c r="H427" s="4"/>
      <c r="I427" s="4"/>
      <c r="J427" s="4"/>
      <c r="K427" s="4"/>
      <c r="L427" s="4"/>
      <c r="M427" s="4"/>
      <c r="N427" s="4"/>
      <c r="O427" s="4"/>
      <c r="P427" s="4"/>
      <c r="Q427" s="4"/>
      <c r="R427" s="4"/>
      <c r="S427" s="4"/>
    </row>
    <row r="428" spans="1:19" x14ac:dyDescent="0.2">
      <c r="A428" s="49">
        <v>60</v>
      </c>
      <c r="B428" s="52">
        <v>0</v>
      </c>
      <c r="C428" s="28"/>
      <c r="D428" s="28"/>
      <c r="E428" s="28"/>
      <c r="F428" s="28"/>
      <c r="G428" s="28"/>
      <c r="H428" s="4"/>
      <c r="I428" s="4"/>
      <c r="J428" s="4"/>
      <c r="K428" s="4"/>
      <c r="L428" s="4"/>
      <c r="M428" s="4"/>
      <c r="N428" s="4"/>
      <c r="O428" s="4"/>
      <c r="P428" s="4"/>
      <c r="Q428" s="4"/>
      <c r="R428" s="4"/>
      <c r="S428" s="4"/>
    </row>
    <row r="429" spans="1:19" x14ac:dyDescent="0.2">
      <c r="A429" s="49">
        <v>65</v>
      </c>
      <c r="B429" s="52">
        <v>0</v>
      </c>
      <c r="C429" s="28"/>
      <c r="D429" s="28"/>
      <c r="E429" s="28"/>
      <c r="F429" s="28"/>
      <c r="G429" s="28"/>
      <c r="H429" s="4"/>
      <c r="I429" s="4"/>
      <c r="J429" s="4"/>
      <c r="K429" s="4"/>
      <c r="L429" s="4"/>
      <c r="M429" s="4"/>
      <c r="N429" s="4"/>
      <c r="O429" s="4"/>
      <c r="P429" s="4"/>
      <c r="Q429" s="4"/>
      <c r="R429" s="4"/>
      <c r="S429" s="4"/>
    </row>
    <row r="430" spans="1:19" x14ac:dyDescent="0.2">
      <c r="A430" s="49">
        <v>71.05</v>
      </c>
      <c r="B430" s="52">
        <v>0</v>
      </c>
      <c r="C430" s="28"/>
      <c r="D430" s="28"/>
      <c r="E430" s="28"/>
      <c r="F430" s="28"/>
      <c r="G430" s="28"/>
      <c r="H430" s="4"/>
      <c r="I430" s="4"/>
      <c r="J430" s="4"/>
      <c r="K430" s="4"/>
      <c r="L430" s="4"/>
      <c r="M430" s="4"/>
      <c r="N430" s="4"/>
      <c r="O430" s="4"/>
      <c r="P430" s="4"/>
      <c r="Q430" s="4"/>
      <c r="R430" s="4"/>
      <c r="S430" s="4"/>
    </row>
    <row r="431" spans="1:19" ht="13.5" thickBot="1" x14ac:dyDescent="0.25">
      <c r="A431" s="50">
        <v>100</v>
      </c>
      <c r="B431" s="53">
        <v>0</v>
      </c>
      <c r="C431" s="28"/>
      <c r="D431" s="28"/>
      <c r="E431" s="28"/>
      <c r="F431" s="28"/>
      <c r="G431" s="28"/>
      <c r="H431" s="4"/>
      <c r="I431" s="4"/>
      <c r="J431" s="4"/>
      <c r="K431" s="4"/>
      <c r="L431" s="4"/>
      <c r="M431" s="4"/>
      <c r="N431" s="4"/>
      <c r="O431" s="4"/>
      <c r="P431" s="4"/>
      <c r="Q431" s="4"/>
      <c r="R431" s="4"/>
      <c r="S431" s="4"/>
    </row>
    <row r="432" spans="1:19" ht="13.5" thickBot="1" x14ac:dyDescent="0.25">
      <c r="C432" s="28"/>
      <c r="D432" s="28"/>
      <c r="E432" s="28"/>
      <c r="F432" s="28"/>
      <c r="G432" s="28"/>
      <c r="H432" s="4"/>
      <c r="I432" s="4"/>
      <c r="J432" s="4"/>
      <c r="K432" s="4"/>
      <c r="L432" s="4"/>
      <c r="M432" s="4"/>
      <c r="N432" s="4"/>
      <c r="O432" s="4"/>
      <c r="P432" s="4"/>
      <c r="Q432" s="4"/>
      <c r="R432" s="4"/>
      <c r="S432" s="4"/>
    </row>
    <row r="433" spans="1:19" ht="13.5" thickBot="1" x14ac:dyDescent="0.25">
      <c r="A433" s="194" t="s">
        <v>15</v>
      </c>
      <c r="B433" s="25" t="s">
        <v>14</v>
      </c>
      <c r="C433" s="28"/>
      <c r="D433" s="28"/>
      <c r="E433" s="28"/>
      <c r="F433" s="28"/>
      <c r="G433" s="28"/>
      <c r="H433" s="4"/>
      <c r="I433" s="4"/>
      <c r="J433" s="4"/>
      <c r="K433" s="4"/>
      <c r="L433" s="4"/>
      <c r="M433" s="4"/>
      <c r="N433" s="4"/>
      <c r="O433" s="4"/>
      <c r="P433" s="4"/>
      <c r="Q433" s="4"/>
      <c r="R433" s="4"/>
      <c r="S433" s="4"/>
    </row>
    <row r="434" spans="1:19" x14ac:dyDescent="0.2">
      <c r="A434" s="37">
        <f t="shared" ref="A434:A441" si="44">A424*F$4/100</f>
        <v>0</v>
      </c>
      <c r="B434" s="38">
        <f t="shared" ref="B434:B441" si="45">B424</f>
        <v>0</v>
      </c>
      <c r="C434" s="28"/>
      <c r="D434" s="28"/>
      <c r="E434" s="28"/>
      <c r="F434" s="28"/>
      <c r="G434" s="28"/>
      <c r="H434" s="4"/>
      <c r="I434" s="4"/>
      <c r="J434" s="4"/>
      <c r="K434" s="4"/>
      <c r="L434" s="4"/>
      <c r="M434" s="4"/>
      <c r="N434" s="4"/>
      <c r="O434" s="4"/>
      <c r="P434" s="4"/>
      <c r="Q434" s="4"/>
      <c r="R434" s="4"/>
      <c r="S434" s="4"/>
    </row>
    <row r="435" spans="1:19" x14ac:dyDescent="0.2">
      <c r="A435" s="39">
        <f t="shared" si="44"/>
        <v>0.11440499999999998</v>
      </c>
      <c r="B435" s="40">
        <f t="shared" si="45"/>
        <v>0</v>
      </c>
      <c r="C435" s="28"/>
      <c r="D435" s="28"/>
      <c r="E435" s="28"/>
      <c r="F435" s="28"/>
      <c r="G435" s="28"/>
      <c r="H435" s="4"/>
      <c r="I435" s="4"/>
      <c r="J435" s="4"/>
      <c r="K435" s="4"/>
      <c r="L435" s="4"/>
      <c r="M435" s="4"/>
      <c r="N435" s="4"/>
      <c r="O435" s="4"/>
      <c r="P435" s="4"/>
      <c r="Q435" s="4"/>
      <c r="R435" s="4"/>
      <c r="S435" s="4"/>
    </row>
    <row r="436" spans="1:19" x14ac:dyDescent="0.2">
      <c r="A436" s="39">
        <f t="shared" si="44"/>
        <v>0.28999999999999998</v>
      </c>
      <c r="B436" s="40">
        <f t="shared" si="45"/>
        <v>0</v>
      </c>
      <c r="C436" s="28"/>
      <c r="D436" s="28"/>
      <c r="E436" s="28"/>
      <c r="F436" s="28"/>
      <c r="G436" s="28"/>
      <c r="H436" s="4"/>
      <c r="I436" s="4"/>
      <c r="J436" s="4"/>
      <c r="K436" s="4"/>
      <c r="L436" s="4"/>
      <c r="M436" s="4"/>
      <c r="N436" s="4"/>
      <c r="O436" s="4"/>
      <c r="P436" s="4"/>
      <c r="Q436" s="4"/>
      <c r="R436" s="4"/>
      <c r="S436" s="4"/>
    </row>
    <row r="437" spans="1:19" x14ac:dyDescent="0.2">
      <c r="A437" s="39">
        <f t="shared" si="44"/>
        <v>0.80126999999999993</v>
      </c>
      <c r="B437" s="40">
        <f t="shared" si="45"/>
        <v>0</v>
      </c>
      <c r="C437" s="28"/>
      <c r="D437" s="28"/>
      <c r="E437" s="28"/>
      <c r="F437" s="28"/>
      <c r="G437" s="28"/>
      <c r="H437" s="4"/>
      <c r="I437" s="4"/>
      <c r="J437" s="4"/>
      <c r="K437" s="4"/>
      <c r="L437" s="4"/>
      <c r="M437" s="4"/>
      <c r="N437" s="4"/>
      <c r="O437" s="4"/>
      <c r="P437" s="4"/>
      <c r="Q437" s="4"/>
      <c r="R437" s="4"/>
      <c r="S437" s="4"/>
    </row>
    <row r="438" spans="1:19" x14ac:dyDescent="0.2">
      <c r="A438" s="39">
        <f t="shared" si="44"/>
        <v>0.87</v>
      </c>
      <c r="B438" s="40">
        <f t="shared" si="45"/>
        <v>0</v>
      </c>
      <c r="C438" s="28"/>
      <c r="D438" s="28"/>
      <c r="E438" s="28"/>
      <c r="F438" s="28"/>
      <c r="G438" s="28"/>
      <c r="H438" s="4"/>
      <c r="I438" s="4"/>
      <c r="J438" s="4"/>
      <c r="K438" s="4"/>
      <c r="L438" s="4"/>
      <c r="M438" s="4"/>
      <c r="N438" s="4"/>
      <c r="O438" s="4"/>
      <c r="P438" s="4"/>
      <c r="Q438" s="4"/>
      <c r="R438" s="4"/>
      <c r="S438" s="4"/>
    </row>
    <row r="439" spans="1:19" x14ac:dyDescent="0.2">
      <c r="A439" s="39">
        <f t="shared" si="44"/>
        <v>0.9425</v>
      </c>
      <c r="B439" s="40">
        <f t="shared" si="45"/>
        <v>0</v>
      </c>
      <c r="C439" s="28"/>
      <c r="D439" s="28"/>
      <c r="E439" s="28"/>
      <c r="F439" s="28"/>
      <c r="G439" s="28"/>
      <c r="H439" s="4"/>
      <c r="I439" s="4"/>
      <c r="J439" s="4"/>
      <c r="K439" s="4"/>
      <c r="L439" s="4"/>
      <c r="M439" s="4"/>
      <c r="N439" s="4"/>
      <c r="O439" s="4"/>
      <c r="P439" s="4"/>
      <c r="Q439" s="4"/>
      <c r="R439" s="4"/>
      <c r="S439" s="4"/>
    </row>
    <row r="440" spans="1:19" x14ac:dyDescent="0.2">
      <c r="A440" s="39">
        <f t="shared" si="44"/>
        <v>1.0302249999999999</v>
      </c>
      <c r="B440" s="40">
        <f t="shared" si="45"/>
        <v>0</v>
      </c>
      <c r="C440" s="28"/>
      <c r="D440" s="28"/>
      <c r="E440" s="28"/>
      <c r="F440" s="28"/>
      <c r="G440" s="28"/>
      <c r="H440" s="4"/>
      <c r="I440" s="4"/>
      <c r="J440" s="4"/>
      <c r="K440" s="4"/>
      <c r="L440" s="4"/>
      <c r="M440" s="4"/>
      <c r="N440" s="4"/>
      <c r="O440" s="4"/>
      <c r="P440" s="4"/>
      <c r="Q440" s="4"/>
      <c r="R440" s="4"/>
      <c r="S440" s="4"/>
    </row>
    <row r="441" spans="1:19" ht="13.5" thickBot="1" x14ac:dyDescent="0.25">
      <c r="A441" s="41">
        <f t="shared" si="44"/>
        <v>1.45</v>
      </c>
      <c r="B441" s="42">
        <f t="shared" si="45"/>
        <v>0</v>
      </c>
      <c r="C441" s="28"/>
      <c r="D441" s="28"/>
      <c r="E441" s="28"/>
      <c r="F441" s="28"/>
      <c r="G441" s="28"/>
      <c r="H441" s="4"/>
      <c r="I441" s="4"/>
      <c r="J441" s="4"/>
      <c r="K441" s="4"/>
      <c r="L441" s="4"/>
      <c r="M441" s="4"/>
      <c r="N441" s="4"/>
      <c r="O441" s="4"/>
      <c r="P441" s="4"/>
      <c r="Q441" s="4"/>
      <c r="R441" s="4"/>
      <c r="S441" s="4"/>
    </row>
    <row r="442" spans="1:19" x14ac:dyDescent="0.2">
      <c r="A442" s="20"/>
      <c r="B442" s="21"/>
      <c r="C442" s="28"/>
      <c r="D442" s="28"/>
      <c r="E442" s="28"/>
      <c r="F442" s="28"/>
      <c r="G442" s="28"/>
      <c r="H442" s="4"/>
      <c r="I442" s="202"/>
      <c r="J442" s="202"/>
      <c r="K442" s="4"/>
      <c r="L442" s="4"/>
      <c r="M442" s="4"/>
      <c r="N442" s="4"/>
      <c r="O442" s="4"/>
      <c r="P442" s="4"/>
      <c r="Q442" s="4"/>
      <c r="R442" s="4"/>
      <c r="S442" s="4"/>
    </row>
    <row r="443" spans="1:19" ht="13.5" thickBot="1" x14ac:dyDescent="0.25">
      <c r="A443" s="20"/>
      <c r="B443" s="21"/>
      <c r="C443" s="28"/>
      <c r="D443" s="28"/>
      <c r="E443" s="28"/>
      <c r="F443" s="28"/>
      <c r="G443" s="28"/>
      <c r="H443" s="4"/>
      <c r="I443" s="202"/>
      <c r="J443" s="202"/>
      <c r="K443" s="4"/>
      <c r="L443" s="4"/>
      <c r="M443" s="4"/>
      <c r="N443" s="4"/>
      <c r="O443" s="4"/>
      <c r="P443" s="4"/>
      <c r="Q443" s="4"/>
      <c r="R443" s="4"/>
      <c r="S443" s="4"/>
    </row>
    <row r="444" spans="1:19" ht="13.5" thickBot="1" x14ac:dyDescent="0.25">
      <c r="A444" s="129" t="s">
        <v>73</v>
      </c>
      <c r="B444" s="25" t="s">
        <v>16</v>
      </c>
      <c r="C444" s="28"/>
      <c r="D444" s="28"/>
      <c r="E444" s="28"/>
      <c r="F444" s="28"/>
      <c r="G444" s="28"/>
      <c r="H444" s="4"/>
      <c r="I444" s="202"/>
      <c r="J444" s="202"/>
      <c r="K444" s="4"/>
      <c r="L444" s="4"/>
      <c r="M444" s="4"/>
      <c r="N444" s="4"/>
      <c r="O444" s="4"/>
      <c r="P444" s="4"/>
      <c r="Q444" s="4"/>
      <c r="R444" s="4"/>
      <c r="S444" s="4"/>
    </row>
    <row r="445" spans="1:19" ht="13.5" thickBot="1" x14ac:dyDescent="0.25">
      <c r="A445" s="311" t="s">
        <v>85</v>
      </c>
      <c r="B445" s="209">
        <v>30</v>
      </c>
      <c r="C445" s="28"/>
      <c r="D445" s="28"/>
      <c r="E445" s="28"/>
      <c r="F445" s="28"/>
      <c r="G445" s="28"/>
      <c r="H445" s="4"/>
      <c r="I445" s="202"/>
      <c r="J445" s="202"/>
      <c r="K445" s="4"/>
      <c r="L445" s="4"/>
      <c r="M445" s="4"/>
      <c r="N445" s="4"/>
      <c r="O445" s="4"/>
      <c r="P445" s="4"/>
      <c r="Q445" s="4"/>
      <c r="R445" s="4"/>
      <c r="S445" s="4"/>
    </row>
    <row r="446" spans="1:19" ht="13.5" thickBot="1" x14ac:dyDescent="0.25">
      <c r="C446" s="28"/>
      <c r="D446" s="28"/>
      <c r="E446" s="28"/>
      <c r="F446" s="28"/>
      <c r="G446" s="28"/>
      <c r="H446" s="4"/>
      <c r="I446" s="202"/>
      <c r="J446" s="202"/>
      <c r="K446" s="4"/>
      <c r="L446" s="4"/>
      <c r="M446" s="4"/>
      <c r="N446" s="4"/>
      <c r="O446" s="4"/>
      <c r="P446" s="4"/>
      <c r="Q446" s="4"/>
      <c r="R446" s="4"/>
      <c r="S446" s="4"/>
    </row>
    <row r="447" spans="1:19" ht="13.5" thickBot="1" x14ac:dyDescent="0.25">
      <c r="A447" s="194" t="s">
        <v>1</v>
      </c>
      <c r="B447" s="25" t="s">
        <v>14</v>
      </c>
      <c r="C447" s="28"/>
      <c r="D447" s="28"/>
      <c r="E447" s="28"/>
      <c r="F447" s="28"/>
      <c r="G447" s="28"/>
      <c r="H447" s="4"/>
      <c r="I447" s="202"/>
      <c r="J447" s="202"/>
      <c r="K447" s="4"/>
      <c r="L447" s="4"/>
      <c r="M447" s="4"/>
      <c r="N447" s="4"/>
      <c r="O447" s="4"/>
      <c r="P447" s="4"/>
      <c r="Q447" s="4"/>
      <c r="R447" s="4"/>
      <c r="S447" s="4"/>
    </row>
    <row r="448" spans="1:19" x14ac:dyDescent="0.2">
      <c r="A448" s="54">
        <v>0</v>
      </c>
      <c r="B448" s="51">
        <v>80</v>
      </c>
      <c r="C448" s="28"/>
      <c r="D448" s="28"/>
      <c r="E448" s="28"/>
      <c r="F448" s="28"/>
      <c r="G448" s="28"/>
      <c r="H448" s="4"/>
      <c r="I448" s="202"/>
      <c r="J448" s="202"/>
      <c r="K448" s="4"/>
      <c r="L448" s="4"/>
      <c r="M448" s="4"/>
      <c r="N448" s="4"/>
      <c r="O448" s="4"/>
      <c r="P448" s="4"/>
      <c r="Q448" s="4"/>
      <c r="R448" s="4"/>
      <c r="S448" s="4"/>
    </row>
    <row r="449" spans="1:19" x14ac:dyDescent="0.2">
      <c r="A449" s="49">
        <v>7.89</v>
      </c>
      <c r="B449" s="52">
        <v>80</v>
      </c>
      <c r="C449" s="28"/>
      <c r="D449" s="28"/>
      <c r="E449" s="28"/>
      <c r="F449" s="28"/>
      <c r="G449" s="28"/>
      <c r="H449" s="4"/>
      <c r="I449" s="202"/>
      <c r="J449" s="202"/>
      <c r="K449" s="4"/>
      <c r="L449" s="4"/>
      <c r="M449" s="4"/>
      <c r="N449" s="4"/>
      <c r="O449" s="4"/>
      <c r="P449" s="4"/>
      <c r="Q449" s="4"/>
      <c r="R449" s="4"/>
      <c r="S449" s="4"/>
    </row>
    <row r="450" spans="1:19" x14ac:dyDescent="0.2">
      <c r="A450" s="49">
        <v>20</v>
      </c>
      <c r="B450" s="52">
        <v>80</v>
      </c>
      <c r="C450" s="28"/>
      <c r="D450" s="28"/>
      <c r="E450" s="28"/>
      <c r="F450" s="28"/>
      <c r="G450" s="28"/>
      <c r="H450" s="4"/>
      <c r="I450" s="202"/>
      <c r="J450" s="202"/>
      <c r="K450" s="4"/>
      <c r="L450" s="4"/>
      <c r="M450" s="4"/>
      <c r="N450" s="4"/>
      <c r="O450" s="4"/>
      <c r="P450" s="4"/>
      <c r="Q450" s="4"/>
      <c r="R450" s="4"/>
      <c r="S450" s="4"/>
    </row>
    <row r="451" spans="1:19" x14ac:dyDescent="0.2">
      <c r="A451" s="49">
        <v>55.26</v>
      </c>
      <c r="B451" s="52">
        <v>80</v>
      </c>
      <c r="C451" s="28"/>
      <c r="D451" s="28"/>
      <c r="E451" s="28"/>
      <c r="F451" s="28"/>
      <c r="G451" s="28"/>
      <c r="H451" s="4"/>
      <c r="I451" s="202"/>
      <c r="J451" s="202"/>
      <c r="K451" s="4"/>
      <c r="L451" s="4"/>
      <c r="M451" s="4"/>
      <c r="N451" s="4"/>
      <c r="O451" s="4"/>
      <c r="P451" s="4"/>
      <c r="Q451" s="4"/>
      <c r="R451" s="4"/>
      <c r="S451" s="4"/>
    </row>
    <row r="452" spans="1:19" x14ac:dyDescent="0.2">
      <c r="A452" s="49">
        <v>60</v>
      </c>
      <c r="B452" s="52">
        <v>80</v>
      </c>
      <c r="C452" s="28"/>
      <c r="D452" s="28"/>
      <c r="E452" s="28"/>
      <c r="F452" s="28"/>
      <c r="G452" s="28"/>
      <c r="H452" s="4"/>
      <c r="I452" s="202"/>
      <c r="J452" s="202"/>
      <c r="K452" s="4"/>
      <c r="L452" s="4"/>
      <c r="M452" s="4"/>
      <c r="N452" s="4"/>
      <c r="O452" s="4"/>
      <c r="P452" s="4"/>
      <c r="Q452" s="4"/>
      <c r="R452" s="4"/>
      <c r="S452" s="4"/>
    </row>
    <row r="453" spans="1:19" x14ac:dyDescent="0.2">
      <c r="A453" s="49">
        <v>65</v>
      </c>
      <c r="B453" s="52">
        <v>80</v>
      </c>
      <c r="C453" s="28"/>
      <c r="D453" s="28"/>
      <c r="E453" s="28"/>
      <c r="F453" s="28"/>
      <c r="G453" s="28"/>
      <c r="H453" s="4"/>
      <c r="I453" s="202"/>
      <c r="J453" s="202"/>
      <c r="K453" s="4"/>
      <c r="L453" s="4"/>
      <c r="M453" s="4"/>
      <c r="N453" s="4"/>
      <c r="O453" s="4"/>
      <c r="P453" s="4"/>
      <c r="Q453" s="4"/>
      <c r="R453" s="4"/>
      <c r="S453" s="4"/>
    </row>
    <row r="454" spans="1:19" x14ac:dyDescent="0.2">
      <c r="A454" s="49">
        <v>71.05</v>
      </c>
      <c r="B454" s="52">
        <v>80</v>
      </c>
      <c r="C454" s="28"/>
      <c r="D454" s="28"/>
      <c r="E454" s="28"/>
      <c r="F454" s="28"/>
      <c r="G454" s="28"/>
      <c r="H454" s="4"/>
      <c r="I454" s="202"/>
      <c r="J454" s="202"/>
      <c r="K454" s="4"/>
      <c r="L454" s="4"/>
      <c r="M454" s="4"/>
      <c r="N454" s="4"/>
      <c r="O454" s="4"/>
      <c r="P454" s="4"/>
      <c r="Q454" s="4"/>
      <c r="R454" s="4"/>
      <c r="S454" s="4"/>
    </row>
    <row r="455" spans="1:19" ht="13.5" thickBot="1" x14ac:dyDescent="0.25">
      <c r="A455" s="50">
        <v>100</v>
      </c>
      <c r="B455" s="53">
        <v>80</v>
      </c>
      <c r="C455" s="28"/>
      <c r="D455" s="28"/>
      <c r="E455" s="28"/>
      <c r="F455" s="28"/>
      <c r="G455" s="28"/>
      <c r="H455" s="4"/>
      <c r="I455" s="202"/>
      <c r="J455" s="202"/>
      <c r="K455" s="4"/>
      <c r="L455" s="4"/>
      <c r="M455" s="4"/>
      <c r="N455" s="4"/>
      <c r="O455" s="4"/>
      <c r="P455" s="4"/>
      <c r="Q455" s="4"/>
      <c r="R455" s="4"/>
      <c r="S455" s="4"/>
    </row>
    <row r="456" spans="1:19" ht="13.5" thickBot="1" x14ac:dyDescent="0.25">
      <c r="C456" s="28"/>
      <c r="D456" s="28"/>
      <c r="E456" s="28"/>
      <c r="F456" s="28"/>
      <c r="G456" s="28"/>
      <c r="H456" s="4"/>
      <c r="I456" s="202"/>
      <c r="J456" s="202"/>
      <c r="K456" s="4"/>
      <c r="L456" s="4"/>
      <c r="M456" s="4"/>
      <c r="N456" s="4"/>
      <c r="O456" s="4"/>
      <c r="P456" s="4"/>
      <c r="Q456" s="4"/>
      <c r="R456" s="4"/>
      <c r="S456" s="4"/>
    </row>
    <row r="457" spans="1:19" ht="13.5" thickBot="1" x14ac:dyDescent="0.25">
      <c r="A457" s="194" t="s">
        <v>15</v>
      </c>
      <c r="B457" s="25" t="s">
        <v>14</v>
      </c>
      <c r="C457" s="28"/>
      <c r="D457" s="28"/>
      <c r="E457" s="28"/>
      <c r="F457" s="28"/>
      <c r="G457" s="28"/>
      <c r="H457" s="4"/>
      <c r="I457" s="202"/>
      <c r="J457" s="202"/>
      <c r="K457" s="4"/>
      <c r="L457" s="4"/>
      <c r="M457" s="4"/>
      <c r="N457" s="4"/>
      <c r="O457" s="4"/>
      <c r="P457" s="4"/>
      <c r="Q457" s="4"/>
      <c r="R457" s="4"/>
      <c r="S457" s="4"/>
    </row>
    <row r="458" spans="1:19" x14ac:dyDescent="0.2">
      <c r="A458" s="37">
        <f t="shared" ref="A458:A465" si="46">A448*F$4/100</f>
        <v>0</v>
      </c>
      <c r="B458" s="38">
        <f t="shared" ref="B458:B465" si="47">B448</f>
        <v>80</v>
      </c>
      <c r="C458" s="28"/>
      <c r="D458" s="28"/>
      <c r="E458" s="28"/>
      <c r="F458" s="28"/>
      <c r="G458" s="28"/>
      <c r="H458" s="4"/>
      <c r="I458" s="202"/>
      <c r="J458" s="202"/>
      <c r="K458" s="4"/>
      <c r="L458" s="4"/>
      <c r="M458" s="4"/>
      <c r="N458" s="4"/>
      <c r="O458" s="4"/>
      <c r="P458" s="4"/>
      <c r="Q458" s="4"/>
      <c r="R458" s="4"/>
      <c r="S458" s="4"/>
    </row>
    <row r="459" spans="1:19" x14ac:dyDescent="0.2">
      <c r="A459" s="39">
        <f t="shared" si="46"/>
        <v>0.11440499999999998</v>
      </c>
      <c r="B459" s="40">
        <f t="shared" si="47"/>
        <v>80</v>
      </c>
      <c r="C459" s="28"/>
      <c r="D459" s="28"/>
      <c r="E459" s="28"/>
      <c r="F459" s="28"/>
      <c r="G459" s="28"/>
      <c r="H459" s="4"/>
      <c r="I459" s="202"/>
      <c r="J459" s="202"/>
      <c r="K459" s="4"/>
      <c r="L459" s="4"/>
      <c r="M459" s="4"/>
      <c r="N459" s="4"/>
      <c r="O459" s="4"/>
      <c r="P459" s="4"/>
      <c r="Q459" s="4"/>
      <c r="R459" s="4"/>
      <c r="S459" s="4"/>
    </row>
    <row r="460" spans="1:19" x14ac:dyDescent="0.2">
      <c r="A460" s="39">
        <f t="shared" si="46"/>
        <v>0.28999999999999998</v>
      </c>
      <c r="B460" s="40">
        <f t="shared" si="47"/>
        <v>80</v>
      </c>
      <c r="C460" s="28"/>
      <c r="D460" s="28"/>
      <c r="E460" s="28"/>
      <c r="F460" s="28"/>
      <c r="G460" s="28"/>
      <c r="H460" s="4"/>
      <c r="I460" s="202"/>
      <c r="J460" s="202"/>
      <c r="K460" s="4"/>
      <c r="L460" s="4"/>
      <c r="M460" s="4"/>
      <c r="N460" s="4"/>
      <c r="O460" s="4"/>
      <c r="P460" s="4"/>
      <c r="Q460" s="4"/>
      <c r="R460" s="4"/>
      <c r="S460" s="4"/>
    </row>
    <row r="461" spans="1:19" x14ac:dyDescent="0.2">
      <c r="A461" s="39">
        <f t="shared" si="46"/>
        <v>0.80126999999999993</v>
      </c>
      <c r="B461" s="40">
        <f t="shared" si="47"/>
        <v>80</v>
      </c>
      <c r="C461" s="28"/>
      <c r="D461" s="28"/>
      <c r="E461" s="28"/>
      <c r="F461" s="28"/>
      <c r="G461" s="28"/>
      <c r="H461" s="4"/>
      <c r="I461" s="202"/>
      <c r="J461" s="202"/>
      <c r="K461" s="4"/>
      <c r="L461" s="4"/>
      <c r="M461" s="4"/>
      <c r="N461" s="4"/>
      <c r="O461" s="4"/>
      <c r="P461" s="4"/>
      <c r="Q461" s="4"/>
      <c r="R461" s="4"/>
      <c r="S461" s="4"/>
    </row>
    <row r="462" spans="1:19" x14ac:dyDescent="0.2">
      <c r="A462" s="39">
        <f t="shared" si="46"/>
        <v>0.87</v>
      </c>
      <c r="B462" s="40">
        <f t="shared" si="47"/>
        <v>80</v>
      </c>
      <c r="C462" s="28"/>
      <c r="D462" s="28"/>
      <c r="E462" s="28"/>
      <c r="F462" s="28"/>
      <c r="G462" s="28"/>
      <c r="H462" s="4"/>
      <c r="I462" s="202"/>
      <c r="J462" s="202"/>
      <c r="K462" s="4"/>
      <c r="L462" s="4"/>
      <c r="M462" s="4"/>
      <c r="N462" s="4"/>
      <c r="O462" s="4"/>
      <c r="P462" s="4"/>
      <c r="Q462" s="4"/>
      <c r="R462" s="4"/>
      <c r="S462" s="4"/>
    </row>
    <row r="463" spans="1:19" x14ac:dyDescent="0.2">
      <c r="A463" s="39">
        <f t="shared" si="46"/>
        <v>0.9425</v>
      </c>
      <c r="B463" s="40">
        <f t="shared" si="47"/>
        <v>80</v>
      </c>
      <c r="C463" s="28"/>
      <c r="D463" s="28"/>
      <c r="E463" s="28"/>
      <c r="F463" s="28"/>
      <c r="G463" s="28"/>
      <c r="H463" s="4"/>
      <c r="I463" s="202"/>
      <c r="J463" s="202"/>
      <c r="K463" s="4"/>
      <c r="L463" s="4"/>
      <c r="M463" s="4"/>
      <c r="N463" s="4"/>
      <c r="O463" s="4"/>
      <c r="P463" s="4"/>
      <c r="Q463" s="4"/>
      <c r="R463" s="4"/>
      <c r="S463" s="4"/>
    </row>
    <row r="464" spans="1:19" x14ac:dyDescent="0.2">
      <c r="A464" s="39">
        <f t="shared" si="46"/>
        <v>1.0302249999999999</v>
      </c>
      <c r="B464" s="40">
        <f t="shared" si="47"/>
        <v>80</v>
      </c>
      <c r="C464" s="28"/>
      <c r="D464" s="28"/>
      <c r="E464" s="28"/>
      <c r="F464" s="28"/>
      <c r="G464" s="28"/>
      <c r="H464" s="4"/>
      <c r="I464" s="202"/>
      <c r="J464" s="202"/>
      <c r="K464" s="4"/>
      <c r="L464" s="4"/>
      <c r="M464" s="4"/>
      <c r="N464" s="4"/>
      <c r="O464" s="4"/>
      <c r="P464" s="4"/>
      <c r="Q464" s="4"/>
      <c r="R464" s="4"/>
      <c r="S464" s="4"/>
    </row>
    <row r="465" spans="1:19" ht="13.5" thickBot="1" x14ac:dyDescent="0.25">
      <c r="A465" s="41">
        <f t="shared" si="46"/>
        <v>1.45</v>
      </c>
      <c r="B465" s="42">
        <f t="shared" si="47"/>
        <v>80</v>
      </c>
      <c r="C465" s="28"/>
      <c r="D465" s="28"/>
      <c r="E465" s="28"/>
      <c r="F465" s="28"/>
      <c r="G465" s="28"/>
      <c r="H465" s="4"/>
      <c r="I465" s="202"/>
      <c r="J465" s="202"/>
      <c r="K465" s="4"/>
      <c r="L465" s="4"/>
      <c r="M465" s="4"/>
      <c r="N465" s="4"/>
      <c r="O465" s="4"/>
      <c r="P465" s="4"/>
      <c r="Q465" s="4"/>
      <c r="R465" s="4"/>
      <c r="S465" s="4"/>
    </row>
    <row r="466" spans="1:19" x14ac:dyDescent="0.2">
      <c r="A466" s="20"/>
      <c r="B466" s="21"/>
      <c r="C466" s="28"/>
      <c r="D466" s="28"/>
      <c r="E466" s="28"/>
      <c r="F466" s="28"/>
      <c r="G466" s="28"/>
      <c r="H466" s="4"/>
      <c r="I466" s="202"/>
      <c r="J466" s="202"/>
      <c r="K466" s="4"/>
      <c r="L466" s="4"/>
      <c r="M466" s="4"/>
      <c r="N466" s="4"/>
      <c r="O466" s="4"/>
      <c r="P466" s="4"/>
      <c r="Q466" s="4"/>
      <c r="R466" s="4"/>
      <c r="S466" s="4"/>
    </row>
    <row r="467" spans="1:19" x14ac:dyDescent="0.2">
      <c r="A467" s="28"/>
      <c r="B467" s="28"/>
      <c r="C467" s="28"/>
      <c r="D467" s="28"/>
      <c r="E467" s="28"/>
      <c r="F467" s="28"/>
      <c r="G467" s="28"/>
      <c r="H467" s="4"/>
      <c r="I467" s="202"/>
      <c r="J467" s="202"/>
      <c r="K467" s="4"/>
      <c r="L467" s="4"/>
      <c r="M467" s="4"/>
      <c r="N467" s="4"/>
      <c r="O467" s="4"/>
      <c r="P467" s="4"/>
      <c r="Q467" s="4"/>
      <c r="R467" s="4"/>
      <c r="S467" s="4"/>
    </row>
    <row r="468" spans="1:19" ht="13.5" thickBot="1" x14ac:dyDescent="0.25">
      <c r="A468" s="28"/>
      <c r="B468" s="28"/>
      <c r="C468" s="28"/>
      <c r="D468" s="28"/>
      <c r="E468" s="28"/>
      <c r="F468" s="28"/>
      <c r="G468" s="28"/>
      <c r="H468" s="4"/>
      <c r="I468" s="202"/>
      <c r="J468" s="202"/>
      <c r="K468" s="4"/>
      <c r="L468" s="4"/>
      <c r="M468" s="4"/>
      <c r="N468" s="4"/>
      <c r="O468" s="4"/>
      <c r="P468" s="4"/>
      <c r="Q468" s="4"/>
      <c r="R468" s="4"/>
      <c r="S468" s="4"/>
    </row>
    <row r="469" spans="1:19" ht="13.5" thickBot="1" x14ac:dyDescent="0.25">
      <c r="A469" s="129" t="s">
        <v>73</v>
      </c>
      <c r="B469" s="25" t="s">
        <v>16</v>
      </c>
      <c r="C469" s="191"/>
      <c r="D469" s="191"/>
      <c r="E469" s="191"/>
      <c r="F469" s="191"/>
      <c r="G469" s="191"/>
      <c r="H469" s="4"/>
      <c r="I469" s="202"/>
      <c r="J469" s="202"/>
      <c r="K469" s="4"/>
      <c r="L469" s="4"/>
      <c r="M469" s="4"/>
      <c r="N469" s="4"/>
      <c r="O469" s="4"/>
      <c r="P469" s="4"/>
      <c r="Q469" s="4"/>
      <c r="R469" s="4"/>
      <c r="S469" s="4"/>
    </row>
    <row r="470" spans="1:19" ht="13.5" thickBot="1" x14ac:dyDescent="0.25">
      <c r="A470" s="311" t="s">
        <v>86</v>
      </c>
      <c r="B470" s="209">
        <v>60</v>
      </c>
      <c r="C470" s="191"/>
      <c r="D470" s="191"/>
      <c r="E470" s="191"/>
      <c r="F470" s="191"/>
      <c r="G470" s="191"/>
      <c r="H470" s="4"/>
      <c r="I470" s="202"/>
      <c r="J470" s="202"/>
      <c r="K470" s="4"/>
      <c r="L470" s="4"/>
      <c r="M470" s="4"/>
      <c r="N470" s="4"/>
      <c r="O470" s="4"/>
      <c r="P470" s="4"/>
      <c r="Q470" s="4"/>
      <c r="R470" s="4"/>
      <c r="S470" s="4"/>
    </row>
    <row r="471" spans="1:19" ht="13.5" thickBot="1" x14ac:dyDescent="0.25">
      <c r="A471" s="1"/>
      <c r="B471" s="193"/>
      <c r="C471" s="191"/>
      <c r="D471" s="191"/>
      <c r="E471" s="191"/>
      <c r="F471" s="191"/>
      <c r="G471" s="191"/>
      <c r="H471" s="4"/>
      <c r="I471" s="202"/>
      <c r="J471" s="202"/>
      <c r="K471" s="4"/>
      <c r="L471" s="4"/>
      <c r="M471" s="4"/>
      <c r="N471" s="4"/>
      <c r="O471" s="4"/>
      <c r="P471" s="4"/>
      <c r="Q471" s="4"/>
      <c r="R471" s="4"/>
      <c r="S471" s="4"/>
    </row>
    <row r="472" spans="1:19" ht="13.5" thickBot="1" x14ac:dyDescent="0.25">
      <c r="A472" s="194" t="s">
        <v>1</v>
      </c>
      <c r="B472" s="25" t="s">
        <v>14</v>
      </c>
      <c r="C472" s="191"/>
      <c r="D472" s="191"/>
      <c r="E472" s="191"/>
      <c r="F472" s="191"/>
      <c r="G472" s="191"/>
      <c r="H472" s="4"/>
      <c r="I472" s="202"/>
      <c r="J472" s="202"/>
      <c r="K472" s="4"/>
      <c r="L472" s="4"/>
      <c r="M472" s="4"/>
      <c r="N472" s="4"/>
      <c r="O472" s="4"/>
      <c r="P472" s="4"/>
      <c r="Q472" s="4"/>
      <c r="R472" s="4"/>
      <c r="S472" s="4"/>
    </row>
    <row r="473" spans="1:19" x14ac:dyDescent="0.2">
      <c r="A473" s="48">
        <v>0</v>
      </c>
      <c r="B473" s="51">
        <v>150</v>
      </c>
      <c r="C473" s="191"/>
      <c r="D473" s="191"/>
      <c r="E473" s="191"/>
      <c r="F473" s="191"/>
      <c r="G473" s="191"/>
      <c r="H473" s="4"/>
      <c r="I473" s="202"/>
      <c r="J473" s="202"/>
      <c r="K473" s="4"/>
      <c r="L473" s="4"/>
      <c r="M473" s="4"/>
      <c r="N473" s="4"/>
      <c r="O473" s="4"/>
      <c r="P473" s="4"/>
      <c r="Q473" s="4"/>
      <c r="R473" s="4"/>
      <c r="S473" s="4"/>
    </row>
    <row r="474" spans="1:19" x14ac:dyDescent="0.2">
      <c r="A474" s="49">
        <v>50</v>
      </c>
      <c r="B474" s="52">
        <v>75</v>
      </c>
      <c r="C474" s="191"/>
      <c r="D474" s="191"/>
      <c r="E474" s="191"/>
      <c r="F474" s="191"/>
      <c r="G474" s="191"/>
      <c r="H474" s="4"/>
      <c r="I474" s="202"/>
      <c r="J474" s="202"/>
      <c r="K474" s="4"/>
      <c r="L474" s="4"/>
      <c r="M474" s="4"/>
      <c r="N474" s="4"/>
      <c r="O474" s="4"/>
      <c r="P474" s="4"/>
      <c r="Q474" s="4"/>
      <c r="R474" s="4"/>
      <c r="S474" s="4"/>
    </row>
    <row r="475" spans="1:19" x14ac:dyDescent="0.2">
      <c r="A475" s="49">
        <v>55</v>
      </c>
      <c r="B475" s="52">
        <v>75</v>
      </c>
      <c r="C475" s="191"/>
      <c r="D475" s="191"/>
      <c r="E475" s="191"/>
      <c r="F475" s="191"/>
      <c r="G475" s="191"/>
      <c r="H475" s="4"/>
      <c r="I475" s="202"/>
      <c r="J475" s="202"/>
      <c r="K475" s="4"/>
      <c r="L475" s="4"/>
      <c r="M475" s="4"/>
      <c r="N475" s="4"/>
      <c r="O475" s="4"/>
      <c r="P475" s="4"/>
      <c r="Q475" s="4"/>
      <c r="R475" s="4"/>
      <c r="S475" s="4"/>
    </row>
    <row r="476" spans="1:19" x14ac:dyDescent="0.2">
      <c r="A476" s="49">
        <v>60</v>
      </c>
      <c r="B476" s="52">
        <v>75</v>
      </c>
      <c r="C476" s="191"/>
      <c r="D476" s="191"/>
      <c r="E476" s="191"/>
      <c r="F476" s="191"/>
      <c r="G476" s="191"/>
      <c r="H476" s="4"/>
      <c r="I476" s="202"/>
      <c r="J476" s="202"/>
      <c r="K476" s="4"/>
      <c r="L476" s="4"/>
      <c r="M476" s="4"/>
      <c r="N476" s="4"/>
      <c r="O476" s="4"/>
      <c r="P476" s="4"/>
      <c r="Q476" s="4"/>
      <c r="R476" s="4"/>
      <c r="S476" s="4"/>
    </row>
    <row r="477" spans="1:19" x14ac:dyDescent="0.2">
      <c r="A477" s="49">
        <v>75</v>
      </c>
      <c r="B477" s="52">
        <v>75</v>
      </c>
      <c r="C477" s="191"/>
      <c r="D477" s="191"/>
      <c r="E477" s="191"/>
      <c r="F477" s="191"/>
      <c r="G477" s="191"/>
      <c r="H477" s="4"/>
      <c r="I477" s="202"/>
      <c r="J477" s="202"/>
      <c r="K477" s="4"/>
      <c r="L477" s="4"/>
      <c r="M477" s="4"/>
      <c r="N477" s="4"/>
      <c r="O477" s="4"/>
      <c r="P477" s="4"/>
      <c r="Q477" s="4"/>
      <c r="R477" s="4"/>
      <c r="S477" s="4"/>
    </row>
    <row r="478" spans="1:19" x14ac:dyDescent="0.2">
      <c r="A478" s="49">
        <v>88</v>
      </c>
      <c r="B478" s="52">
        <v>39</v>
      </c>
      <c r="C478" s="191"/>
      <c r="D478" s="191"/>
      <c r="E478" s="191"/>
      <c r="F478" s="191"/>
      <c r="G478" s="191"/>
      <c r="H478" s="4"/>
      <c r="I478" s="202"/>
      <c r="J478" s="202"/>
      <c r="K478" s="4"/>
      <c r="L478" s="4"/>
      <c r="M478" s="4"/>
      <c r="N478" s="4"/>
      <c r="O478" s="4"/>
      <c r="P478" s="4"/>
      <c r="Q478" s="4"/>
      <c r="R478" s="4"/>
      <c r="S478" s="4"/>
    </row>
    <row r="479" spans="1:19" x14ac:dyDescent="0.2">
      <c r="A479" s="49">
        <v>94</v>
      </c>
      <c r="B479" s="52">
        <v>20</v>
      </c>
      <c r="C479" s="191"/>
      <c r="D479" s="191"/>
      <c r="E479" s="191"/>
      <c r="F479" s="191"/>
      <c r="G479" s="191"/>
      <c r="H479" s="4"/>
      <c r="I479" s="202"/>
      <c r="J479" s="202"/>
      <c r="K479" s="4"/>
      <c r="L479" s="4"/>
      <c r="M479" s="4"/>
      <c r="N479" s="4"/>
      <c r="O479" s="4"/>
      <c r="P479" s="4"/>
      <c r="Q479" s="4"/>
      <c r="R479" s="4"/>
      <c r="S479" s="4"/>
    </row>
    <row r="480" spans="1:19" ht="13.5" thickBot="1" x14ac:dyDescent="0.25">
      <c r="A480" s="50">
        <v>100</v>
      </c>
      <c r="B480" s="53">
        <v>0</v>
      </c>
      <c r="C480" s="191"/>
      <c r="D480" s="191"/>
      <c r="E480" s="191"/>
      <c r="F480" s="191"/>
      <c r="G480" s="191"/>
      <c r="H480" s="4"/>
      <c r="I480" s="202"/>
      <c r="J480" s="202"/>
      <c r="K480" s="4"/>
      <c r="L480" s="4"/>
      <c r="M480" s="4"/>
      <c r="N480" s="4"/>
      <c r="O480" s="4"/>
      <c r="P480" s="4"/>
      <c r="Q480" s="4"/>
      <c r="R480" s="4"/>
      <c r="S480" s="4"/>
    </row>
    <row r="481" spans="1:19" ht="13.5" thickBot="1" x14ac:dyDescent="0.25">
      <c r="A481" s="191"/>
      <c r="B481" s="191"/>
      <c r="C481" s="191"/>
      <c r="D481" s="191"/>
      <c r="E481" s="191"/>
      <c r="F481" s="191"/>
      <c r="G481" s="191"/>
      <c r="H481" s="4"/>
      <c r="I481" s="202"/>
      <c r="J481" s="202"/>
      <c r="K481" s="4"/>
      <c r="L481" s="4"/>
      <c r="M481" s="4"/>
      <c r="N481" s="4"/>
      <c r="O481" s="4"/>
      <c r="P481" s="4"/>
      <c r="Q481" s="4"/>
      <c r="R481" s="4"/>
      <c r="S481" s="4"/>
    </row>
    <row r="482" spans="1:19" ht="13.5" thickBot="1" x14ac:dyDescent="0.25">
      <c r="A482" s="194" t="s">
        <v>15</v>
      </c>
      <c r="B482" s="25" t="s">
        <v>14</v>
      </c>
      <c r="C482" s="191"/>
      <c r="D482" s="191"/>
      <c r="E482" s="191"/>
      <c r="F482" s="191"/>
      <c r="G482" s="191"/>
      <c r="H482" s="4"/>
      <c r="I482" s="202"/>
      <c r="J482" s="202"/>
      <c r="K482" s="4"/>
      <c r="L482" s="4"/>
      <c r="M482" s="4"/>
      <c r="N482" s="4"/>
      <c r="O482" s="4"/>
      <c r="P482" s="4"/>
      <c r="Q482" s="4"/>
      <c r="R482" s="4"/>
      <c r="S482" s="4"/>
    </row>
    <row r="483" spans="1:19" x14ac:dyDescent="0.2">
      <c r="A483" s="37">
        <f t="shared" ref="A483:A490" si="48">A473*F$4/100</f>
        <v>0</v>
      </c>
      <c r="B483" s="38">
        <f t="shared" ref="B483:B490" si="49">B473</f>
        <v>150</v>
      </c>
      <c r="C483" s="191"/>
      <c r="D483" s="191"/>
      <c r="E483" s="191"/>
      <c r="F483" s="191"/>
      <c r="G483" s="191"/>
      <c r="H483" s="4"/>
      <c r="I483" s="202"/>
      <c r="J483" s="202"/>
      <c r="K483" s="4"/>
      <c r="L483" s="4"/>
      <c r="M483" s="4"/>
      <c r="N483" s="4"/>
      <c r="O483" s="4"/>
      <c r="P483" s="4"/>
      <c r="Q483" s="4"/>
      <c r="R483" s="4"/>
      <c r="S483" s="4"/>
    </row>
    <row r="484" spans="1:19" x14ac:dyDescent="0.2">
      <c r="A484" s="39">
        <f t="shared" si="48"/>
        <v>0.72499999999999998</v>
      </c>
      <c r="B484" s="40">
        <f t="shared" si="49"/>
        <v>75</v>
      </c>
      <c r="C484" s="191"/>
      <c r="D484" s="191"/>
      <c r="E484" s="191"/>
      <c r="F484" s="191"/>
      <c r="G484" s="191"/>
      <c r="H484" s="4"/>
      <c r="I484" s="202"/>
      <c r="J484" s="202"/>
      <c r="K484" s="4"/>
      <c r="L484" s="4"/>
      <c r="M484" s="4"/>
      <c r="N484" s="4"/>
      <c r="O484" s="4"/>
      <c r="P484" s="4"/>
      <c r="Q484" s="4"/>
      <c r="R484" s="4"/>
      <c r="S484" s="4"/>
    </row>
    <row r="485" spans="1:19" x14ac:dyDescent="0.2">
      <c r="A485" s="39">
        <f t="shared" si="48"/>
        <v>0.79749999999999999</v>
      </c>
      <c r="B485" s="40">
        <f t="shared" si="49"/>
        <v>75</v>
      </c>
      <c r="C485" s="191"/>
      <c r="D485" s="191"/>
      <c r="E485" s="191"/>
      <c r="F485" s="191"/>
      <c r="G485" s="191"/>
      <c r="H485" s="4"/>
      <c r="I485" s="202"/>
      <c r="J485" s="202"/>
      <c r="K485" s="4"/>
      <c r="L485" s="4"/>
      <c r="M485" s="4"/>
      <c r="N485" s="4"/>
      <c r="O485" s="4"/>
      <c r="P485" s="4"/>
      <c r="Q485" s="4"/>
      <c r="R485" s="4"/>
      <c r="S485" s="4"/>
    </row>
    <row r="486" spans="1:19" x14ac:dyDescent="0.2">
      <c r="A486" s="39">
        <f t="shared" si="48"/>
        <v>0.87</v>
      </c>
      <c r="B486" s="40">
        <f t="shared" si="49"/>
        <v>75</v>
      </c>
      <c r="C486" s="191"/>
      <c r="D486" s="191"/>
      <c r="E486" s="191"/>
      <c r="F486" s="191"/>
      <c r="G486" s="191"/>
      <c r="H486" s="4"/>
      <c r="I486" s="202"/>
      <c r="J486" s="202"/>
      <c r="K486" s="4"/>
      <c r="L486" s="4"/>
      <c r="M486" s="4"/>
      <c r="N486" s="4"/>
      <c r="O486" s="4"/>
      <c r="P486" s="4"/>
      <c r="Q486" s="4"/>
      <c r="R486" s="4"/>
      <c r="S486" s="4"/>
    </row>
    <row r="487" spans="1:19" x14ac:dyDescent="0.2">
      <c r="A487" s="39">
        <f t="shared" si="48"/>
        <v>1.0874999999999999</v>
      </c>
      <c r="B487" s="40">
        <f t="shared" si="49"/>
        <v>75</v>
      </c>
      <c r="C487" s="191"/>
      <c r="D487" s="191"/>
      <c r="E487" s="191"/>
      <c r="F487" s="191"/>
      <c r="G487" s="191"/>
      <c r="H487" s="4"/>
      <c r="I487" s="202"/>
      <c r="J487" s="202"/>
      <c r="K487" s="4"/>
      <c r="L487" s="4"/>
      <c r="M487" s="4"/>
      <c r="N487" s="4"/>
      <c r="O487" s="4"/>
      <c r="P487" s="4"/>
      <c r="Q487" s="4"/>
      <c r="R487" s="4"/>
      <c r="S487" s="4"/>
    </row>
    <row r="488" spans="1:19" x14ac:dyDescent="0.2">
      <c r="A488" s="39">
        <f t="shared" si="48"/>
        <v>1.276</v>
      </c>
      <c r="B488" s="40">
        <f t="shared" si="49"/>
        <v>39</v>
      </c>
      <c r="C488" s="191"/>
      <c r="D488" s="191"/>
      <c r="E488" s="191"/>
      <c r="F488" s="191"/>
      <c r="G488" s="191"/>
      <c r="H488" s="4"/>
      <c r="I488" s="202"/>
      <c r="J488" s="202"/>
      <c r="K488" s="4"/>
      <c r="L488" s="4"/>
      <c r="M488" s="4"/>
      <c r="N488" s="4"/>
      <c r="O488" s="4"/>
      <c r="P488" s="4"/>
      <c r="Q488" s="4"/>
      <c r="R488" s="4"/>
      <c r="S488" s="4"/>
    </row>
    <row r="489" spans="1:19" x14ac:dyDescent="0.2">
      <c r="A489" s="39">
        <f t="shared" si="48"/>
        <v>1.3629999999999998</v>
      </c>
      <c r="B489" s="40">
        <f t="shared" si="49"/>
        <v>20</v>
      </c>
      <c r="C489" s="191"/>
      <c r="D489" s="191"/>
      <c r="E489" s="191"/>
      <c r="F489" s="191"/>
      <c r="G489" s="191"/>
      <c r="H489" s="4"/>
      <c r="I489" s="202"/>
      <c r="J489" s="202"/>
      <c r="K489" s="4"/>
      <c r="L489" s="4"/>
      <c r="M489" s="4"/>
      <c r="N489" s="4"/>
      <c r="O489" s="4"/>
      <c r="P489" s="4"/>
      <c r="Q489" s="4"/>
      <c r="R489" s="4"/>
      <c r="S489" s="4"/>
    </row>
    <row r="490" spans="1:19" ht="13.5" thickBot="1" x14ac:dyDescent="0.25">
      <c r="A490" s="41">
        <f t="shared" si="48"/>
        <v>1.45</v>
      </c>
      <c r="B490" s="42">
        <f t="shared" si="49"/>
        <v>0</v>
      </c>
      <c r="C490" s="191"/>
      <c r="D490" s="191"/>
      <c r="E490" s="191"/>
      <c r="F490" s="191"/>
      <c r="G490" s="191"/>
      <c r="H490" s="4"/>
      <c r="I490" s="202"/>
      <c r="J490" s="202"/>
      <c r="K490" s="4"/>
      <c r="L490" s="4"/>
      <c r="M490" s="4"/>
      <c r="N490" s="4"/>
      <c r="O490" s="4"/>
      <c r="P490" s="4"/>
      <c r="Q490" s="4"/>
      <c r="R490" s="4"/>
      <c r="S490" s="4"/>
    </row>
    <row r="491" spans="1:19" x14ac:dyDescent="0.2">
      <c r="A491" s="191"/>
      <c r="B491" s="191"/>
      <c r="C491" s="191"/>
      <c r="D491" s="191"/>
      <c r="E491" s="191"/>
      <c r="F491" s="191"/>
      <c r="G491" s="191"/>
      <c r="H491" s="4"/>
      <c r="I491" s="202"/>
      <c r="J491" s="202"/>
      <c r="K491" s="4"/>
      <c r="L491" s="4"/>
      <c r="M491" s="4"/>
      <c r="N491" s="4"/>
      <c r="O491" s="4"/>
      <c r="P491" s="4"/>
      <c r="Q491" s="4"/>
      <c r="R491" s="4"/>
      <c r="S491" s="4"/>
    </row>
    <row r="492" spans="1:19" ht="13.5" thickBot="1" x14ac:dyDescent="0.25">
      <c r="A492" s="191"/>
      <c r="B492" s="191"/>
      <c r="C492" s="191"/>
      <c r="D492" s="191"/>
      <c r="E492" s="191"/>
      <c r="F492" s="191"/>
      <c r="G492" s="191"/>
      <c r="H492" s="4"/>
      <c r="I492" s="202"/>
      <c r="J492" s="202"/>
      <c r="K492" s="4"/>
      <c r="L492" s="4"/>
      <c r="M492" s="4"/>
      <c r="N492" s="4"/>
      <c r="O492" s="4"/>
      <c r="P492" s="4"/>
      <c r="Q492" s="4"/>
      <c r="R492" s="4"/>
      <c r="S492" s="4"/>
    </row>
    <row r="493" spans="1:19" ht="13.5" thickBot="1" x14ac:dyDescent="0.25">
      <c r="A493" s="129" t="s">
        <v>73</v>
      </c>
      <c r="B493" s="25" t="s">
        <v>16</v>
      </c>
      <c r="C493" s="191"/>
      <c r="D493" s="191"/>
      <c r="E493" s="191"/>
      <c r="F493" s="191"/>
      <c r="G493" s="191"/>
      <c r="H493" s="4"/>
      <c r="I493" s="202"/>
      <c r="J493" s="202"/>
      <c r="K493" s="4"/>
      <c r="L493" s="4"/>
      <c r="M493" s="4"/>
      <c r="N493" s="4"/>
      <c r="O493" s="4"/>
      <c r="P493" s="4"/>
      <c r="Q493" s="4"/>
      <c r="R493" s="4"/>
      <c r="S493" s="4"/>
    </row>
    <row r="494" spans="1:19" ht="13.5" thickBot="1" x14ac:dyDescent="0.25">
      <c r="A494" s="311" t="s">
        <v>87</v>
      </c>
      <c r="B494" s="209">
        <v>30</v>
      </c>
      <c r="C494" s="191"/>
      <c r="D494" s="191"/>
      <c r="E494" s="191"/>
      <c r="F494" s="191"/>
      <c r="G494" s="191"/>
      <c r="H494" s="4"/>
      <c r="I494" s="202"/>
      <c r="J494" s="202"/>
      <c r="K494" s="4"/>
      <c r="L494" s="4"/>
      <c r="M494" s="4"/>
      <c r="N494" s="4"/>
      <c r="O494" s="4"/>
      <c r="P494" s="4"/>
      <c r="Q494" s="4"/>
      <c r="R494" s="4"/>
      <c r="S494" s="4"/>
    </row>
    <row r="495" spans="1:19" ht="13.5" thickBot="1" x14ac:dyDescent="0.25">
      <c r="A495" s="191"/>
      <c r="B495" s="191"/>
      <c r="C495" s="191"/>
      <c r="D495" s="191"/>
      <c r="E495" s="191"/>
      <c r="F495" s="191"/>
      <c r="G495" s="191"/>
      <c r="H495" s="4"/>
      <c r="I495" s="202"/>
      <c r="J495" s="202"/>
      <c r="K495" s="4"/>
      <c r="L495" s="4"/>
      <c r="M495" s="4"/>
      <c r="N495" s="4"/>
      <c r="O495" s="4"/>
      <c r="P495" s="4"/>
      <c r="Q495" s="4"/>
      <c r="R495" s="4"/>
      <c r="S495" s="4"/>
    </row>
    <row r="496" spans="1:19" ht="13.5" thickBot="1" x14ac:dyDescent="0.25">
      <c r="A496" s="194" t="s">
        <v>1</v>
      </c>
      <c r="B496" s="25" t="s">
        <v>14</v>
      </c>
      <c r="C496" s="191"/>
      <c r="D496" s="191"/>
      <c r="E496" s="191"/>
      <c r="F496" s="191"/>
      <c r="G496" s="191"/>
      <c r="H496" s="4"/>
      <c r="I496" s="202"/>
      <c r="J496" s="202"/>
      <c r="K496" s="4"/>
      <c r="L496" s="4"/>
      <c r="M496" s="4"/>
      <c r="N496" s="4"/>
      <c r="O496" s="4"/>
      <c r="P496" s="4"/>
      <c r="Q496" s="4"/>
      <c r="R496" s="4"/>
      <c r="S496" s="4"/>
    </row>
    <row r="497" spans="1:19" x14ac:dyDescent="0.2">
      <c r="A497" s="54">
        <v>0</v>
      </c>
      <c r="B497" s="51">
        <v>100</v>
      </c>
      <c r="C497" s="191"/>
      <c r="D497" s="191"/>
      <c r="E497" s="191"/>
      <c r="F497" s="191"/>
      <c r="G497" s="191"/>
      <c r="H497" s="4"/>
      <c r="I497" s="202"/>
      <c r="J497" s="202"/>
      <c r="K497" s="4"/>
      <c r="L497" s="4"/>
      <c r="M497" s="4"/>
      <c r="N497" s="4"/>
      <c r="O497" s="4"/>
      <c r="P497" s="4"/>
      <c r="Q497" s="4"/>
      <c r="R497" s="4"/>
      <c r="S497" s="4"/>
    </row>
    <row r="498" spans="1:19" x14ac:dyDescent="0.2">
      <c r="A498" s="49">
        <v>10</v>
      </c>
      <c r="B498" s="52">
        <v>100</v>
      </c>
      <c r="C498" s="191"/>
      <c r="D498" s="191"/>
      <c r="E498" s="191"/>
      <c r="F498" s="191"/>
      <c r="G498" s="191"/>
      <c r="H498" s="4"/>
      <c r="I498" s="202"/>
      <c r="J498" s="202"/>
      <c r="K498" s="4"/>
      <c r="L498" s="4"/>
      <c r="M498" s="4"/>
      <c r="N498" s="4"/>
      <c r="O498" s="4"/>
      <c r="P498" s="4"/>
      <c r="Q498" s="4"/>
      <c r="R498" s="4"/>
      <c r="S498" s="4"/>
    </row>
    <row r="499" spans="1:19" x14ac:dyDescent="0.2">
      <c r="A499" s="49">
        <v>50</v>
      </c>
      <c r="B499" s="52">
        <v>100</v>
      </c>
      <c r="C499" s="191"/>
      <c r="D499" s="191"/>
      <c r="E499" s="191"/>
      <c r="F499" s="191"/>
      <c r="G499" s="191"/>
      <c r="H499" s="4"/>
      <c r="I499" s="202"/>
      <c r="J499" s="202"/>
      <c r="K499" s="4"/>
      <c r="L499" s="4"/>
      <c r="M499" s="4"/>
      <c r="N499" s="4"/>
      <c r="O499" s="4"/>
      <c r="P499" s="4"/>
      <c r="Q499" s="4"/>
      <c r="R499" s="4"/>
      <c r="S499" s="4"/>
    </row>
    <row r="500" spans="1:19" x14ac:dyDescent="0.2">
      <c r="A500" s="49">
        <v>75</v>
      </c>
      <c r="B500" s="52">
        <v>0</v>
      </c>
      <c r="C500" s="191"/>
      <c r="D500" s="191"/>
      <c r="E500" s="191"/>
      <c r="F500" s="191"/>
      <c r="G500" s="191"/>
      <c r="H500" s="4"/>
      <c r="I500" s="202"/>
      <c r="J500" s="202"/>
      <c r="K500" s="4"/>
      <c r="L500" s="4"/>
      <c r="M500" s="4"/>
      <c r="N500" s="4"/>
      <c r="O500" s="4"/>
      <c r="P500" s="4"/>
      <c r="Q500" s="4"/>
      <c r="R500" s="4"/>
      <c r="S500" s="4"/>
    </row>
    <row r="501" spans="1:19" x14ac:dyDescent="0.2">
      <c r="A501" s="49">
        <v>88</v>
      </c>
      <c r="B501" s="52">
        <v>0</v>
      </c>
      <c r="C501" s="191"/>
      <c r="D501" s="191"/>
      <c r="E501" s="191"/>
      <c r="F501" s="191"/>
      <c r="G501" s="191"/>
      <c r="H501" s="4"/>
      <c r="I501" s="202"/>
      <c r="J501" s="202"/>
      <c r="K501" s="4"/>
      <c r="L501" s="4"/>
      <c r="M501" s="4"/>
      <c r="N501" s="4"/>
      <c r="O501" s="4"/>
      <c r="P501" s="4"/>
      <c r="Q501" s="4"/>
      <c r="R501" s="4"/>
      <c r="S501" s="4"/>
    </row>
    <row r="502" spans="1:19" x14ac:dyDescent="0.2">
      <c r="A502" s="49">
        <v>94</v>
      </c>
      <c r="B502" s="52">
        <v>0</v>
      </c>
      <c r="C502" s="191"/>
      <c r="D502" s="191"/>
      <c r="E502" s="191"/>
      <c r="F502" s="191"/>
      <c r="G502" s="191"/>
      <c r="H502" s="4"/>
      <c r="I502" s="202"/>
      <c r="J502" s="202"/>
      <c r="K502" s="4"/>
      <c r="L502" s="4"/>
      <c r="M502" s="4"/>
      <c r="N502" s="4"/>
      <c r="O502" s="4"/>
      <c r="P502" s="4"/>
      <c r="Q502" s="4"/>
      <c r="R502" s="4"/>
      <c r="S502" s="4"/>
    </row>
    <row r="503" spans="1:19" x14ac:dyDescent="0.2">
      <c r="A503" s="49">
        <v>95</v>
      </c>
      <c r="B503" s="52">
        <v>100</v>
      </c>
      <c r="C503" s="191"/>
      <c r="D503" s="191"/>
      <c r="E503" s="191"/>
      <c r="F503" s="191"/>
      <c r="G503" s="191"/>
      <c r="H503" s="4"/>
      <c r="I503" s="202"/>
      <c r="J503" s="202"/>
      <c r="K503" s="4"/>
      <c r="L503" s="4"/>
      <c r="M503" s="4"/>
      <c r="N503" s="4"/>
      <c r="O503" s="4"/>
      <c r="P503" s="4"/>
      <c r="Q503" s="4"/>
      <c r="R503" s="4"/>
      <c r="S503" s="4"/>
    </row>
    <row r="504" spans="1:19" ht="13.5" thickBot="1" x14ac:dyDescent="0.25">
      <c r="A504" s="50">
        <v>100</v>
      </c>
      <c r="B504" s="53">
        <v>100</v>
      </c>
      <c r="C504" s="191"/>
      <c r="D504" s="191"/>
      <c r="E504" s="191"/>
      <c r="F504" s="191"/>
      <c r="G504" s="191"/>
      <c r="H504" s="4"/>
      <c r="I504" s="202"/>
      <c r="J504" s="202"/>
      <c r="K504" s="4"/>
      <c r="L504" s="4"/>
      <c r="M504" s="4"/>
      <c r="N504" s="4"/>
      <c r="O504" s="4"/>
      <c r="P504" s="4"/>
      <c r="Q504" s="4"/>
      <c r="R504" s="4"/>
      <c r="S504" s="4"/>
    </row>
    <row r="505" spans="1:19" ht="13.5" thickBot="1" x14ac:dyDescent="0.25">
      <c r="A505" s="191"/>
      <c r="B505" s="191"/>
      <c r="C505" s="191"/>
      <c r="D505" s="191"/>
      <c r="E505" s="191"/>
      <c r="F505" s="191"/>
      <c r="G505" s="191"/>
      <c r="H505" s="4"/>
      <c r="I505" s="202"/>
      <c r="J505" s="202"/>
      <c r="K505" s="4"/>
      <c r="L505" s="4"/>
      <c r="M505" s="4"/>
      <c r="N505" s="4"/>
      <c r="O505" s="4"/>
      <c r="P505" s="4"/>
      <c r="Q505" s="4"/>
      <c r="R505" s="4"/>
      <c r="S505" s="4"/>
    </row>
    <row r="506" spans="1:19" ht="13.5" thickBot="1" x14ac:dyDescent="0.25">
      <c r="A506" s="194" t="s">
        <v>15</v>
      </c>
      <c r="B506" s="25" t="s">
        <v>14</v>
      </c>
      <c r="C506" s="191"/>
      <c r="D506" s="191"/>
      <c r="E506" s="191"/>
      <c r="F506" s="191"/>
      <c r="G506" s="191"/>
      <c r="H506" s="4"/>
      <c r="I506" s="202"/>
      <c r="J506" s="202"/>
      <c r="K506" s="4"/>
      <c r="L506" s="4"/>
      <c r="M506" s="4"/>
      <c r="N506" s="4"/>
      <c r="O506" s="4"/>
      <c r="P506" s="4"/>
      <c r="Q506" s="4"/>
      <c r="R506" s="4"/>
      <c r="S506" s="4"/>
    </row>
    <row r="507" spans="1:19" x14ac:dyDescent="0.2">
      <c r="A507" s="37">
        <f t="shared" ref="A507:A514" si="50">A497*F$4/100</f>
        <v>0</v>
      </c>
      <c r="B507" s="38">
        <f t="shared" ref="B507:B514" si="51">B497</f>
        <v>100</v>
      </c>
      <c r="C507" s="191"/>
      <c r="D507" s="191"/>
      <c r="E507" s="191"/>
      <c r="F507" s="191"/>
      <c r="G507" s="191"/>
      <c r="H507" s="4"/>
      <c r="I507" s="202"/>
      <c r="J507" s="202"/>
      <c r="K507" s="4"/>
      <c r="L507" s="4"/>
      <c r="M507" s="4"/>
      <c r="N507" s="4"/>
      <c r="O507" s="4"/>
      <c r="P507" s="4"/>
      <c r="Q507" s="4"/>
      <c r="R507" s="4"/>
      <c r="S507" s="4"/>
    </row>
    <row r="508" spans="1:19" x14ac:dyDescent="0.2">
      <c r="A508" s="39">
        <f t="shared" si="50"/>
        <v>0.14499999999999999</v>
      </c>
      <c r="B508" s="40">
        <f t="shared" si="51"/>
        <v>100</v>
      </c>
      <c r="C508" s="191"/>
      <c r="D508" s="191"/>
      <c r="E508" s="191"/>
      <c r="F508" s="191"/>
      <c r="G508" s="191"/>
      <c r="H508" s="4"/>
      <c r="I508" s="202"/>
      <c r="J508" s="202"/>
      <c r="K508" s="4"/>
      <c r="L508" s="4"/>
      <c r="M508" s="4"/>
      <c r="N508" s="4"/>
      <c r="O508" s="4"/>
      <c r="P508" s="4"/>
      <c r="Q508" s="4"/>
      <c r="R508" s="4"/>
      <c r="S508" s="4"/>
    </row>
    <row r="509" spans="1:19" x14ac:dyDescent="0.2">
      <c r="A509" s="39">
        <f t="shared" si="50"/>
        <v>0.72499999999999998</v>
      </c>
      <c r="B509" s="40">
        <f t="shared" si="51"/>
        <v>100</v>
      </c>
      <c r="C509" s="191"/>
      <c r="D509" s="191"/>
      <c r="E509" s="191"/>
      <c r="F509" s="191"/>
      <c r="G509" s="191"/>
      <c r="I509" s="33"/>
      <c r="J509" s="33"/>
    </row>
    <row r="510" spans="1:19" x14ac:dyDescent="0.2">
      <c r="A510" s="39">
        <f t="shared" si="50"/>
        <v>1.0874999999999999</v>
      </c>
      <c r="B510" s="40">
        <f t="shared" si="51"/>
        <v>0</v>
      </c>
      <c r="C510" s="191"/>
      <c r="D510" s="191"/>
      <c r="E510" s="191"/>
      <c r="F510" s="191"/>
      <c r="G510" s="191"/>
      <c r="I510" s="33"/>
      <c r="J510" s="33"/>
    </row>
    <row r="511" spans="1:19" x14ac:dyDescent="0.2">
      <c r="A511" s="39">
        <f t="shared" si="50"/>
        <v>1.276</v>
      </c>
      <c r="B511" s="40">
        <f t="shared" si="51"/>
        <v>0</v>
      </c>
      <c r="C511" s="191"/>
      <c r="D511" s="191"/>
      <c r="E511" s="191"/>
      <c r="F511" s="191"/>
      <c r="G511" s="191"/>
    </row>
    <row r="512" spans="1:19" x14ac:dyDescent="0.2">
      <c r="A512" s="39">
        <f t="shared" si="50"/>
        <v>1.3629999999999998</v>
      </c>
      <c r="B512" s="40">
        <f t="shared" si="51"/>
        <v>0</v>
      </c>
      <c r="C512" s="191"/>
      <c r="D512" s="191"/>
      <c r="E512" s="191"/>
      <c r="F512" s="191"/>
      <c r="G512" s="191"/>
    </row>
    <row r="513" spans="1:7" x14ac:dyDescent="0.2">
      <c r="A513" s="39">
        <f t="shared" si="50"/>
        <v>1.3774999999999999</v>
      </c>
      <c r="B513" s="40">
        <f t="shared" si="51"/>
        <v>100</v>
      </c>
      <c r="C513" s="191"/>
      <c r="D513" s="191"/>
      <c r="E513" s="191"/>
      <c r="F513" s="191"/>
      <c r="G513" s="191"/>
    </row>
    <row r="514" spans="1:7" ht="13.5" thickBot="1" x14ac:dyDescent="0.25">
      <c r="A514" s="41">
        <f t="shared" si="50"/>
        <v>1.45</v>
      </c>
      <c r="B514" s="42">
        <f t="shared" si="51"/>
        <v>100</v>
      </c>
      <c r="C514" s="1"/>
      <c r="D514" s="1"/>
      <c r="E514" s="1"/>
      <c r="F514" s="1"/>
      <c r="G514" s="1"/>
    </row>
    <row r="515" spans="1:7" x14ac:dyDescent="0.2">
      <c r="A515" s="1"/>
      <c r="B515" s="1"/>
      <c r="C515" s="1"/>
      <c r="D515" s="1"/>
      <c r="E515" s="1"/>
      <c r="F515" s="1"/>
      <c r="G515" s="1"/>
    </row>
    <row r="516" spans="1:7" ht="13.5" thickBot="1" x14ac:dyDescent="0.25">
      <c r="A516" s="1"/>
      <c r="B516" s="1"/>
      <c r="C516" s="1"/>
      <c r="D516" s="1"/>
      <c r="E516" s="1"/>
      <c r="F516" s="1"/>
      <c r="G516" s="1"/>
    </row>
    <row r="517" spans="1:7" ht="13.5" thickBot="1" x14ac:dyDescent="0.25">
      <c r="A517" s="129" t="s">
        <v>73</v>
      </c>
      <c r="B517" s="25" t="s">
        <v>16</v>
      </c>
      <c r="C517" s="1"/>
      <c r="D517" s="1"/>
      <c r="E517" s="1"/>
      <c r="F517" s="1"/>
      <c r="G517" s="1"/>
    </row>
    <row r="518" spans="1:7" ht="13.5" thickBot="1" x14ac:dyDescent="0.25">
      <c r="A518" s="311" t="s">
        <v>88</v>
      </c>
      <c r="B518" s="209">
        <v>30</v>
      </c>
      <c r="C518" s="1"/>
      <c r="D518" s="1"/>
      <c r="E518" s="1"/>
      <c r="F518" s="1"/>
      <c r="G518" s="1"/>
    </row>
    <row r="519" spans="1:7" ht="13.5" thickBot="1" x14ac:dyDescent="0.25"/>
    <row r="520" spans="1:7" ht="13.5" thickBot="1" x14ac:dyDescent="0.25">
      <c r="A520" s="194" t="s">
        <v>1</v>
      </c>
      <c r="B520" s="25" t="s">
        <v>14</v>
      </c>
    </row>
    <row r="521" spans="1:7" x14ac:dyDescent="0.2">
      <c r="A521" s="54">
        <v>0</v>
      </c>
      <c r="B521" s="51">
        <v>110</v>
      </c>
    </row>
    <row r="522" spans="1:7" x14ac:dyDescent="0.2">
      <c r="A522" s="49">
        <v>50</v>
      </c>
      <c r="B522" s="52">
        <v>55</v>
      </c>
    </row>
    <row r="523" spans="1:7" x14ac:dyDescent="0.2">
      <c r="A523" s="49">
        <v>55</v>
      </c>
      <c r="B523" s="52">
        <v>55</v>
      </c>
    </row>
    <row r="524" spans="1:7" x14ac:dyDescent="0.2">
      <c r="A524" s="49">
        <v>60</v>
      </c>
      <c r="B524" s="52">
        <v>55</v>
      </c>
    </row>
    <row r="525" spans="1:7" x14ac:dyDescent="0.2">
      <c r="A525" s="49">
        <v>75</v>
      </c>
      <c r="B525" s="52">
        <v>55</v>
      </c>
    </row>
    <row r="526" spans="1:7" x14ac:dyDescent="0.2">
      <c r="A526" s="49">
        <v>88</v>
      </c>
      <c r="B526" s="52">
        <v>29</v>
      </c>
    </row>
    <row r="527" spans="1:7" x14ac:dyDescent="0.2">
      <c r="A527" s="49">
        <v>94</v>
      </c>
      <c r="B527" s="52">
        <v>14</v>
      </c>
    </row>
    <row r="528" spans="1:7" ht="13.5" thickBot="1" x14ac:dyDescent="0.25">
      <c r="A528" s="50">
        <v>100</v>
      </c>
      <c r="B528" s="53">
        <v>0</v>
      </c>
    </row>
    <row r="529" spans="1:2" ht="13.5" thickBot="1" x14ac:dyDescent="0.25"/>
    <row r="530" spans="1:2" ht="13.5" thickBot="1" x14ac:dyDescent="0.25">
      <c r="A530" s="194" t="s">
        <v>15</v>
      </c>
      <c r="B530" s="25" t="s">
        <v>14</v>
      </c>
    </row>
    <row r="531" spans="1:2" x14ac:dyDescent="0.2">
      <c r="A531" s="37">
        <f t="shared" ref="A531:A538" si="52">A521*F$4/100</f>
        <v>0</v>
      </c>
      <c r="B531" s="38">
        <f t="shared" ref="B531:B538" si="53">B521</f>
        <v>110</v>
      </c>
    </row>
    <row r="532" spans="1:2" x14ac:dyDescent="0.2">
      <c r="A532" s="39">
        <f t="shared" si="52"/>
        <v>0.72499999999999998</v>
      </c>
      <c r="B532" s="40">
        <f t="shared" si="53"/>
        <v>55</v>
      </c>
    </row>
    <row r="533" spans="1:2" x14ac:dyDescent="0.2">
      <c r="A533" s="39">
        <f t="shared" si="52"/>
        <v>0.79749999999999999</v>
      </c>
      <c r="B533" s="40">
        <f t="shared" si="53"/>
        <v>55</v>
      </c>
    </row>
    <row r="534" spans="1:2" x14ac:dyDescent="0.2">
      <c r="A534" s="39">
        <f t="shared" si="52"/>
        <v>0.87</v>
      </c>
      <c r="B534" s="40">
        <f t="shared" si="53"/>
        <v>55</v>
      </c>
    </row>
    <row r="535" spans="1:2" x14ac:dyDescent="0.2">
      <c r="A535" s="39">
        <f t="shared" si="52"/>
        <v>1.0874999999999999</v>
      </c>
      <c r="B535" s="40">
        <f t="shared" si="53"/>
        <v>55</v>
      </c>
    </row>
    <row r="536" spans="1:2" x14ac:dyDescent="0.2">
      <c r="A536" s="39">
        <f t="shared" si="52"/>
        <v>1.276</v>
      </c>
      <c r="B536" s="40">
        <f t="shared" si="53"/>
        <v>29</v>
      </c>
    </row>
    <row r="537" spans="1:2" x14ac:dyDescent="0.2">
      <c r="A537" s="39">
        <f t="shared" si="52"/>
        <v>1.3629999999999998</v>
      </c>
      <c r="B537" s="40">
        <f t="shared" si="53"/>
        <v>14</v>
      </c>
    </row>
    <row r="538" spans="1:2" ht="13.5" thickBot="1" x14ac:dyDescent="0.25">
      <c r="A538" s="41">
        <f t="shared" si="52"/>
        <v>1.45</v>
      </c>
      <c r="B538" s="42">
        <f t="shared" si="53"/>
        <v>0</v>
      </c>
    </row>
    <row r="540" spans="1:2" ht="13.5" thickBot="1" x14ac:dyDescent="0.25"/>
    <row r="541" spans="1:2" ht="13.5" thickBot="1" x14ac:dyDescent="0.25">
      <c r="A541" s="129" t="s">
        <v>73</v>
      </c>
      <c r="B541" s="25" t="s">
        <v>16</v>
      </c>
    </row>
    <row r="542" spans="1:2" ht="13.5" thickBot="1" x14ac:dyDescent="0.25">
      <c r="A542" s="311" t="s">
        <v>89</v>
      </c>
      <c r="B542" s="209">
        <v>60</v>
      </c>
    </row>
    <row r="543" spans="1:2" ht="13.5" thickBot="1" x14ac:dyDescent="0.25"/>
    <row r="544" spans="1:2" ht="13.5" thickBot="1" x14ac:dyDescent="0.25">
      <c r="A544" s="194" t="s">
        <v>1</v>
      </c>
      <c r="B544" s="25" t="s">
        <v>14</v>
      </c>
    </row>
    <row r="545" spans="1:2" x14ac:dyDescent="0.2">
      <c r="A545" s="54">
        <v>0</v>
      </c>
      <c r="B545" s="51">
        <v>150</v>
      </c>
    </row>
    <row r="546" spans="1:2" x14ac:dyDescent="0.2">
      <c r="A546" s="49">
        <v>10</v>
      </c>
      <c r="B546" s="52">
        <v>150</v>
      </c>
    </row>
    <row r="547" spans="1:2" x14ac:dyDescent="0.2">
      <c r="A547" s="49">
        <v>50</v>
      </c>
      <c r="B547" s="52">
        <v>150</v>
      </c>
    </row>
    <row r="548" spans="1:2" x14ac:dyDescent="0.2">
      <c r="A548" s="49">
        <v>80</v>
      </c>
      <c r="B548" s="52">
        <v>150</v>
      </c>
    </row>
    <row r="549" spans="1:2" x14ac:dyDescent="0.2">
      <c r="A549" s="49">
        <v>90</v>
      </c>
      <c r="B549" s="52">
        <v>75</v>
      </c>
    </row>
    <row r="550" spans="1:2" x14ac:dyDescent="0.2">
      <c r="A550" s="49">
        <v>95</v>
      </c>
      <c r="B550" s="52">
        <v>38</v>
      </c>
    </row>
    <row r="551" spans="1:2" x14ac:dyDescent="0.2">
      <c r="A551" s="49">
        <v>98</v>
      </c>
      <c r="B551" s="52">
        <v>23</v>
      </c>
    </row>
    <row r="552" spans="1:2" ht="13.5" thickBot="1" x14ac:dyDescent="0.25">
      <c r="A552" s="50">
        <v>100</v>
      </c>
      <c r="B552" s="53">
        <v>0</v>
      </c>
    </row>
    <row r="553" spans="1:2" ht="13.5" thickBot="1" x14ac:dyDescent="0.25"/>
    <row r="554" spans="1:2" ht="13.5" thickBot="1" x14ac:dyDescent="0.25">
      <c r="A554" s="194" t="s">
        <v>15</v>
      </c>
      <c r="B554" s="25" t="s">
        <v>14</v>
      </c>
    </row>
    <row r="555" spans="1:2" x14ac:dyDescent="0.2">
      <c r="A555" s="37">
        <f t="shared" ref="A555:A562" si="54">A545*F$4/100</f>
        <v>0</v>
      </c>
      <c r="B555" s="38">
        <f t="shared" ref="B555:B562" si="55">B545</f>
        <v>150</v>
      </c>
    </row>
    <row r="556" spans="1:2" x14ac:dyDescent="0.2">
      <c r="A556" s="39">
        <f t="shared" si="54"/>
        <v>0.14499999999999999</v>
      </c>
      <c r="B556" s="40">
        <f t="shared" si="55"/>
        <v>150</v>
      </c>
    </row>
    <row r="557" spans="1:2" x14ac:dyDescent="0.2">
      <c r="A557" s="39">
        <f t="shared" si="54"/>
        <v>0.72499999999999998</v>
      </c>
      <c r="B557" s="40">
        <f t="shared" si="55"/>
        <v>150</v>
      </c>
    </row>
    <row r="558" spans="1:2" x14ac:dyDescent="0.2">
      <c r="A558" s="39">
        <f t="shared" si="54"/>
        <v>1.1599999999999999</v>
      </c>
      <c r="B558" s="40">
        <f t="shared" si="55"/>
        <v>150</v>
      </c>
    </row>
    <row r="559" spans="1:2" x14ac:dyDescent="0.2">
      <c r="A559" s="39">
        <f t="shared" si="54"/>
        <v>1.3049999999999999</v>
      </c>
      <c r="B559" s="40">
        <f t="shared" si="55"/>
        <v>75</v>
      </c>
    </row>
    <row r="560" spans="1:2" x14ac:dyDescent="0.2">
      <c r="A560" s="39">
        <f t="shared" si="54"/>
        <v>1.3774999999999999</v>
      </c>
      <c r="B560" s="40">
        <f t="shared" si="55"/>
        <v>38</v>
      </c>
    </row>
    <row r="561" spans="1:2" x14ac:dyDescent="0.2">
      <c r="A561" s="39">
        <f t="shared" si="54"/>
        <v>1.421</v>
      </c>
      <c r="B561" s="40">
        <f t="shared" si="55"/>
        <v>23</v>
      </c>
    </row>
    <row r="562" spans="1:2" ht="13.5" thickBot="1" x14ac:dyDescent="0.25">
      <c r="A562" s="41">
        <f t="shared" si="54"/>
        <v>1.45</v>
      </c>
      <c r="B562" s="42">
        <f t="shared" si="55"/>
        <v>0</v>
      </c>
    </row>
    <row r="564" spans="1:2" ht="13.5" thickBot="1" x14ac:dyDescent="0.25"/>
    <row r="565" spans="1:2" ht="13.5" thickBot="1" x14ac:dyDescent="0.25">
      <c r="A565" s="129" t="s">
        <v>73</v>
      </c>
      <c r="B565" s="25" t="s">
        <v>16</v>
      </c>
    </row>
    <row r="566" spans="1:2" ht="13.5" thickBot="1" x14ac:dyDescent="0.25">
      <c r="A566" s="347" t="s">
        <v>91</v>
      </c>
      <c r="B566" s="209">
        <v>60</v>
      </c>
    </row>
    <row r="567" spans="1:2" ht="13.5" thickBot="1" x14ac:dyDescent="0.25"/>
    <row r="568" spans="1:2" ht="13.5" thickBot="1" x14ac:dyDescent="0.25">
      <c r="A568" s="194" t="s">
        <v>1</v>
      </c>
      <c r="B568" s="25" t="s">
        <v>14</v>
      </c>
    </row>
    <row r="569" spans="1:2" x14ac:dyDescent="0.2">
      <c r="A569" s="54">
        <v>0</v>
      </c>
      <c r="B569" s="51">
        <v>25</v>
      </c>
    </row>
    <row r="570" spans="1:2" x14ac:dyDescent="0.2">
      <c r="A570" s="49">
        <v>50</v>
      </c>
      <c r="B570" s="52">
        <v>13</v>
      </c>
    </row>
    <row r="571" spans="1:2" x14ac:dyDescent="0.2">
      <c r="A571" s="49">
        <v>55</v>
      </c>
      <c r="B571" s="52">
        <v>13</v>
      </c>
    </row>
    <row r="572" spans="1:2" x14ac:dyDescent="0.2">
      <c r="A572" s="49">
        <v>60</v>
      </c>
      <c r="B572" s="52">
        <v>13</v>
      </c>
    </row>
    <row r="573" spans="1:2" x14ac:dyDescent="0.2">
      <c r="A573" s="49">
        <v>75</v>
      </c>
      <c r="B573" s="52">
        <v>13</v>
      </c>
    </row>
    <row r="574" spans="1:2" x14ac:dyDescent="0.2">
      <c r="A574" s="49">
        <v>88</v>
      </c>
      <c r="B574" s="52">
        <v>7</v>
      </c>
    </row>
    <row r="575" spans="1:2" x14ac:dyDescent="0.2">
      <c r="A575" s="49">
        <v>94</v>
      </c>
      <c r="B575" s="52">
        <v>3</v>
      </c>
    </row>
    <row r="576" spans="1:2" ht="13.5" thickBot="1" x14ac:dyDescent="0.25">
      <c r="A576" s="50">
        <v>100</v>
      </c>
      <c r="B576" s="53">
        <v>0</v>
      </c>
    </row>
    <row r="577" spans="1:2" ht="13.5" thickBot="1" x14ac:dyDescent="0.25"/>
    <row r="578" spans="1:2" ht="13.5" thickBot="1" x14ac:dyDescent="0.25">
      <c r="A578" s="194" t="s">
        <v>15</v>
      </c>
      <c r="B578" s="25" t="s">
        <v>14</v>
      </c>
    </row>
    <row r="579" spans="1:2" x14ac:dyDescent="0.2">
      <c r="A579" s="37">
        <f t="shared" ref="A579:A586" si="56">A569*F$4/100</f>
        <v>0</v>
      </c>
      <c r="B579" s="38">
        <f t="shared" ref="B579:B586" si="57">B569</f>
        <v>25</v>
      </c>
    </row>
    <row r="580" spans="1:2" x14ac:dyDescent="0.2">
      <c r="A580" s="39">
        <f t="shared" si="56"/>
        <v>0.72499999999999998</v>
      </c>
      <c r="B580" s="40">
        <f t="shared" si="57"/>
        <v>13</v>
      </c>
    </row>
    <row r="581" spans="1:2" x14ac:dyDescent="0.2">
      <c r="A581" s="39">
        <f t="shared" si="56"/>
        <v>0.79749999999999999</v>
      </c>
      <c r="B581" s="40">
        <f t="shared" si="57"/>
        <v>13</v>
      </c>
    </row>
    <row r="582" spans="1:2" x14ac:dyDescent="0.2">
      <c r="A582" s="39">
        <f t="shared" si="56"/>
        <v>0.87</v>
      </c>
      <c r="B582" s="40">
        <f t="shared" si="57"/>
        <v>13</v>
      </c>
    </row>
    <row r="583" spans="1:2" x14ac:dyDescent="0.2">
      <c r="A583" s="39">
        <f t="shared" si="56"/>
        <v>1.0874999999999999</v>
      </c>
      <c r="B583" s="40">
        <f t="shared" si="57"/>
        <v>13</v>
      </c>
    </row>
    <row r="584" spans="1:2" x14ac:dyDescent="0.2">
      <c r="A584" s="39">
        <f t="shared" si="56"/>
        <v>1.276</v>
      </c>
      <c r="B584" s="40">
        <f t="shared" si="57"/>
        <v>7</v>
      </c>
    </row>
    <row r="585" spans="1:2" x14ac:dyDescent="0.2">
      <c r="A585" s="39">
        <f t="shared" si="56"/>
        <v>1.3629999999999998</v>
      </c>
      <c r="B585" s="40">
        <f t="shared" si="57"/>
        <v>3</v>
      </c>
    </row>
    <row r="586" spans="1:2" ht="13.5" thickBot="1" x14ac:dyDescent="0.25">
      <c r="A586" s="41">
        <f t="shared" si="56"/>
        <v>1.45</v>
      </c>
      <c r="B586" s="42">
        <f t="shared" si="57"/>
        <v>0</v>
      </c>
    </row>
    <row r="588" spans="1:2" ht="13.5" thickBot="1" x14ac:dyDescent="0.25"/>
    <row r="589" spans="1:2" ht="13.5" thickBot="1" x14ac:dyDescent="0.25">
      <c r="A589" s="129" t="s">
        <v>73</v>
      </c>
      <c r="B589" s="25" t="s">
        <v>16</v>
      </c>
    </row>
    <row r="590" spans="1:2" ht="13.5" thickBot="1" x14ac:dyDescent="0.25">
      <c r="A590" s="347" t="s">
        <v>92</v>
      </c>
      <c r="B590" s="209">
        <v>60</v>
      </c>
    </row>
    <row r="591" spans="1:2" ht="13.5" thickBot="1" x14ac:dyDescent="0.25"/>
    <row r="592" spans="1:2" ht="13.5" thickBot="1" x14ac:dyDescent="0.25">
      <c r="A592" s="194" t="s">
        <v>1</v>
      </c>
      <c r="B592" s="25" t="s">
        <v>14</v>
      </c>
    </row>
    <row r="593" spans="1:2" x14ac:dyDescent="0.2">
      <c r="A593" s="54">
        <v>0</v>
      </c>
      <c r="B593" s="51">
        <v>50</v>
      </c>
    </row>
    <row r="594" spans="1:2" x14ac:dyDescent="0.2">
      <c r="A594" s="49">
        <v>10</v>
      </c>
      <c r="B594" s="52">
        <v>50</v>
      </c>
    </row>
    <row r="595" spans="1:2" x14ac:dyDescent="0.2">
      <c r="A595" s="49">
        <v>50</v>
      </c>
      <c r="B595" s="52">
        <v>50</v>
      </c>
    </row>
    <row r="596" spans="1:2" x14ac:dyDescent="0.2">
      <c r="A596" s="49">
        <v>75</v>
      </c>
      <c r="B596" s="52">
        <v>50</v>
      </c>
    </row>
    <row r="597" spans="1:2" x14ac:dyDescent="0.2">
      <c r="A597" s="49">
        <v>88</v>
      </c>
      <c r="B597" s="52">
        <v>50</v>
      </c>
    </row>
    <row r="598" spans="1:2" x14ac:dyDescent="0.2">
      <c r="A598" s="49">
        <v>94</v>
      </c>
      <c r="B598" s="52">
        <v>50</v>
      </c>
    </row>
    <row r="599" spans="1:2" x14ac:dyDescent="0.2">
      <c r="A599" s="49">
        <v>95</v>
      </c>
      <c r="B599" s="52">
        <v>50</v>
      </c>
    </row>
    <row r="600" spans="1:2" ht="13.5" thickBot="1" x14ac:dyDescent="0.25">
      <c r="A600" s="50">
        <v>100</v>
      </c>
      <c r="B600" s="53">
        <v>50</v>
      </c>
    </row>
    <row r="601" spans="1:2" ht="13.5" thickBot="1" x14ac:dyDescent="0.25"/>
    <row r="602" spans="1:2" ht="13.5" thickBot="1" x14ac:dyDescent="0.25">
      <c r="A602" s="194" t="s">
        <v>15</v>
      </c>
      <c r="B602" s="25" t="s">
        <v>14</v>
      </c>
    </row>
    <row r="603" spans="1:2" x14ac:dyDescent="0.2">
      <c r="A603" s="37">
        <f t="shared" ref="A603:A610" si="58">A593*F$4/100</f>
        <v>0</v>
      </c>
      <c r="B603" s="38">
        <f t="shared" ref="B603:B610" si="59">B593</f>
        <v>50</v>
      </c>
    </row>
    <row r="604" spans="1:2" x14ac:dyDescent="0.2">
      <c r="A604" s="39">
        <f t="shared" si="58"/>
        <v>0.14499999999999999</v>
      </c>
      <c r="B604" s="40">
        <f t="shared" si="59"/>
        <v>50</v>
      </c>
    </row>
    <row r="605" spans="1:2" x14ac:dyDescent="0.2">
      <c r="A605" s="39">
        <f t="shared" si="58"/>
        <v>0.72499999999999998</v>
      </c>
      <c r="B605" s="40">
        <f t="shared" si="59"/>
        <v>50</v>
      </c>
    </row>
    <row r="606" spans="1:2" x14ac:dyDescent="0.2">
      <c r="A606" s="39">
        <f t="shared" si="58"/>
        <v>1.0874999999999999</v>
      </c>
      <c r="B606" s="40">
        <f t="shared" si="59"/>
        <v>50</v>
      </c>
    </row>
    <row r="607" spans="1:2" x14ac:dyDescent="0.2">
      <c r="A607" s="39">
        <f t="shared" si="58"/>
        <v>1.276</v>
      </c>
      <c r="B607" s="40">
        <f t="shared" si="59"/>
        <v>50</v>
      </c>
    </row>
    <row r="608" spans="1:2" x14ac:dyDescent="0.2">
      <c r="A608" s="39">
        <f t="shared" si="58"/>
        <v>1.3629999999999998</v>
      </c>
      <c r="B608" s="40">
        <f t="shared" si="59"/>
        <v>50</v>
      </c>
    </row>
    <row r="609" spans="1:2" x14ac:dyDescent="0.2">
      <c r="A609" s="39">
        <f t="shared" si="58"/>
        <v>1.3774999999999999</v>
      </c>
      <c r="B609" s="40">
        <f t="shared" si="59"/>
        <v>50</v>
      </c>
    </row>
    <row r="610" spans="1:2" ht="13.5" thickBot="1" x14ac:dyDescent="0.25">
      <c r="A610" s="41">
        <f t="shared" si="58"/>
        <v>1.45</v>
      </c>
      <c r="B610" s="42">
        <f t="shared" si="59"/>
        <v>50</v>
      </c>
    </row>
    <row r="612" spans="1:2" ht="13.5" thickBot="1" x14ac:dyDescent="0.25"/>
    <row r="613" spans="1:2" ht="13.5" thickBot="1" x14ac:dyDescent="0.25">
      <c r="A613" s="129" t="s">
        <v>73</v>
      </c>
      <c r="B613" s="25" t="s">
        <v>16</v>
      </c>
    </row>
    <row r="614" spans="1:2" ht="13.5" thickBot="1" x14ac:dyDescent="0.25">
      <c r="A614" s="347" t="s">
        <v>93</v>
      </c>
      <c r="B614" s="209">
        <v>60</v>
      </c>
    </row>
    <row r="615" spans="1:2" ht="13.5" thickBot="1" x14ac:dyDescent="0.25"/>
    <row r="616" spans="1:2" ht="13.5" thickBot="1" x14ac:dyDescent="0.25">
      <c r="A616" s="194" t="s">
        <v>1</v>
      </c>
      <c r="B616" s="25" t="s">
        <v>14</v>
      </c>
    </row>
    <row r="617" spans="1:2" x14ac:dyDescent="0.2">
      <c r="A617" s="54">
        <v>0</v>
      </c>
      <c r="B617" s="51">
        <v>0</v>
      </c>
    </row>
    <row r="618" spans="1:2" x14ac:dyDescent="0.2">
      <c r="A618" s="49">
        <v>10</v>
      </c>
      <c r="B618" s="52">
        <v>0</v>
      </c>
    </row>
    <row r="619" spans="1:2" x14ac:dyDescent="0.2">
      <c r="A619" s="49">
        <v>50</v>
      </c>
      <c r="B619" s="52">
        <v>0</v>
      </c>
    </row>
    <row r="620" spans="1:2" x14ac:dyDescent="0.2">
      <c r="A620" s="49">
        <v>75</v>
      </c>
      <c r="B620" s="52">
        <v>0</v>
      </c>
    </row>
    <row r="621" spans="1:2" x14ac:dyDescent="0.2">
      <c r="A621" s="49">
        <v>88</v>
      </c>
      <c r="B621" s="52">
        <v>0</v>
      </c>
    </row>
    <row r="622" spans="1:2" x14ac:dyDescent="0.2">
      <c r="A622" s="49">
        <v>94</v>
      </c>
      <c r="B622" s="52">
        <v>0</v>
      </c>
    </row>
    <row r="623" spans="1:2" x14ac:dyDescent="0.2">
      <c r="A623" s="49">
        <v>95</v>
      </c>
      <c r="B623" s="52">
        <v>0</v>
      </c>
    </row>
    <row r="624" spans="1:2" ht="13.5" thickBot="1" x14ac:dyDescent="0.25">
      <c r="A624" s="50">
        <v>100</v>
      </c>
      <c r="B624" s="53">
        <v>0</v>
      </c>
    </row>
    <row r="625" spans="1:2" ht="13.5" thickBot="1" x14ac:dyDescent="0.25"/>
    <row r="626" spans="1:2" ht="13.5" thickBot="1" x14ac:dyDescent="0.25">
      <c r="A626" s="194" t="s">
        <v>15</v>
      </c>
      <c r="B626" s="25" t="s">
        <v>14</v>
      </c>
    </row>
    <row r="627" spans="1:2" x14ac:dyDescent="0.2">
      <c r="A627" s="37">
        <f t="shared" ref="A627:A634" si="60">A617*F$4/100</f>
        <v>0</v>
      </c>
      <c r="B627" s="38">
        <f t="shared" ref="B627:B634" si="61">B617</f>
        <v>0</v>
      </c>
    </row>
    <row r="628" spans="1:2" x14ac:dyDescent="0.2">
      <c r="A628" s="39">
        <f t="shared" si="60"/>
        <v>0.14499999999999999</v>
      </c>
      <c r="B628" s="40">
        <f t="shared" si="61"/>
        <v>0</v>
      </c>
    </row>
    <row r="629" spans="1:2" x14ac:dyDescent="0.2">
      <c r="A629" s="39">
        <f t="shared" si="60"/>
        <v>0.72499999999999998</v>
      </c>
      <c r="B629" s="40">
        <f t="shared" si="61"/>
        <v>0</v>
      </c>
    </row>
    <row r="630" spans="1:2" x14ac:dyDescent="0.2">
      <c r="A630" s="39">
        <f t="shared" si="60"/>
        <v>1.0874999999999999</v>
      </c>
      <c r="B630" s="40">
        <f t="shared" si="61"/>
        <v>0</v>
      </c>
    </row>
    <row r="631" spans="1:2" x14ac:dyDescent="0.2">
      <c r="A631" s="39">
        <f t="shared" si="60"/>
        <v>1.276</v>
      </c>
      <c r="B631" s="40">
        <f t="shared" si="61"/>
        <v>0</v>
      </c>
    </row>
    <row r="632" spans="1:2" x14ac:dyDescent="0.2">
      <c r="A632" s="39">
        <f t="shared" si="60"/>
        <v>1.3629999999999998</v>
      </c>
      <c r="B632" s="40">
        <f t="shared" si="61"/>
        <v>0</v>
      </c>
    </row>
    <row r="633" spans="1:2" x14ac:dyDescent="0.2">
      <c r="A633" s="39">
        <f t="shared" si="60"/>
        <v>1.3774999999999999</v>
      </c>
      <c r="B633" s="40">
        <f t="shared" si="61"/>
        <v>0</v>
      </c>
    </row>
    <row r="634" spans="1:2" ht="13.5" thickBot="1" x14ac:dyDescent="0.25">
      <c r="A634" s="41">
        <f t="shared" si="60"/>
        <v>1.45</v>
      </c>
      <c r="B634" s="42">
        <f t="shared" si="61"/>
        <v>0</v>
      </c>
    </row>
    <row r="636" spans="1:2" ht="13.5" thickBot="1" x14ac:dyDescent="0.25"/>
    <row r="637" spans="1:2" ht="13.5" thickBot="1" x14ac:dyDescent="0.25">
      <c r="A637" s="129" t="s">
        <v>73</v>
      </c>
      <c r="B637" s="25" t="s">
        <v>16</v>
      </c>
    </row>
    <row r="638" spans="1:2" ht="13.5" thickBot="1" x14ac:dyDescent="0.25">
      <c r="A638" s="347" t="s">
        <v>94</v>
      </c>
      <c r="B638" s="209">
        <v>30</v>
      </c>
    </row>
    <row r="639" spans="1:2" ht="13.5" thickBot="1" x14ac:dyDescent="0.25"/>
    <row r="640" spans="1:2" ht="13.5" thickBot="1" x14ac:dyDescent="0.25">
      <c r="A640" s="194" t="s">
        <v>1</v>
      </c>
      <c r="B640" s="25" t="s">
        <v>14</v>
      </c>
    </row>
    <row r="641" spans="1:2" x14ac:dyDescent="0.2">
      <c r="A641" s="54">
        <v>0</v>
      </c>
      <c r="B641" s="51">
        <v>100</v>
      </c>
    </row>
    <row r="642" spans="1:2" x14ac:dyDescent="0.2">
      <c r="A642" s="49">
        <v>10</v>
      </c>
      <c r="B642" s="52">
        <v>100</v>
      </c>
    </row>
    <row r="643" spans="1:2" x14ac:dyDescent="0.2">
      <c r="A643" s="49">
        <v>50</v>
      </c>
      <c r="B643" s="52">
        <v>100</v>
      </c>
    </row>
    <row r="644" spans="1:2" x14ac:dyDescent="0.2">
      <c r="A644" s="49">
        <v>75</v>
      </c>
      <c r="B644" s="52">
        <v>100</v>
      </c>
    </row>
    <row r="645" spans="1:2" x14ac:dyDescent="0.2">
      <c r="A645" s="49">
        <v>88</v>
      </c>
      <c r="B645" s="52">
        <v>100</v>
      </c>
    </row>
    <row r="646" spans="1:2" x14ac:dyDescent="0.2">
      <c r="A646" s="49">
        <v>94</v>
      </c>
      <c r="B646" s="52">
        <v>100</v>
      </c>
    </row>
    <row r="647" spans="1:2" x14ac:dyDescent="0.2">
      <c r="A647" s="49">
        <v>95</v>
      </c>
      <c r="B647" s="52">
        <v>100</v>
      </c>
    </row>
    <row r="648" spans="1:2" ht="13.5" thickBot="1" x14ac:dyDescent="0.25">
      <c r="A648" s="50">
        <v>100</v>
      </c>
      <c r="B648" s="53">
        <v>100</v>
      </c>
    </row>
    <row r="649" spans="1:2" ht="13.5" thickBot="1" x14ac:dyDescent="0.25"/>
    <row r="650" spans="1:2" ht="13.5" thickBot="1" x14ac:dyDescent="0.25">
      <c r="A650" s="194" t="s">
        <v>15</v>
      </c>
      <c r="B650" s="25" t="s">
        <v>14</v>
      </c>
    </row>
    <row r="651" spans="1:2" x14ac:dyDescent="0.2">
      <c r="A651" s="37">
        <f t="shared" ref="A651:A658" si="62">A641*F$4/100</f>
        <v>0</v>
      </c>
      <c r="B651" s="38">
        <f t="shared" ref="B651:B658" si="63">B641</f>
        <v>100</v>
      </c>
    </row>
    <row r="652" spans="1:2" x14ac:dyDescent="0.2">
      <c r="A652" s="39">
        <f t="shared" si="62"/>
        <v>0.14499999999999999</v>
      </c>
      <c r="B652" s="40">
        <f t="shared" si="63"/>
        <v>100</v>
      </c>
    </row>
    <row r="653" spans="1:2" x14ac:dyDescent="0.2">
      <c r="A653" s="39">
        <f t="shared" si="62"/>
        <v>0.72499999999999998</v>
      </c>
      <c r="B653" s="40">
        <f t="shared" si="63"/>
        <v>100</v>
      </c>
    </row>
    <row r="654" spans="1:2" x14ac:dyDescent="0.2">
      <c r="A654" s="39">
        <f t="shared" si="62"/>
        <v>1.0874999999999999</v>
      </c>
      <c r="B654" s="40">
        <f t="shared" si="63"/>
        <v>100</v>
      </c>
    </row>
    <row r="655" spans="1:2" x14ac:dyDescent="0.2">
      <c r="A655" s="39">
        <f t="shared" si="62"/>
        <v>1.276</v>
      </c>
      <c r="B655" s="40">
        <f t="shared" si="63"/>
        <v>100</v>
      </c>
    </row>
    <row r="656" spans="1:2" x14ac:dyDescent="0.2">
      <c r="A656" s="39">
        <f t="shared" si="62"/>
        <v>1.3629999999999998</v>
      </c>
      <c r="B656" s="40">
        <f t="shared" si="63"/>
        <v>100</v>
      </c>
    </row>
    <row r="657" spans="1:7" x14ac:dyDescent="0.2">
      <c r="A657" s="39">
        <f t="shared" si="62"/>
        <v>1.3774999999999999</v>
      </c>
      <c r="B657" s="40">
        <f t="shared" si="63"/>
        <v>100</v>
      </c>
    </row>
    <row r="658" spans="1:7" ht="13.5" thickBot="1" x14ac:dyDescent="0.25">
      <c r="A658" s="41">
        <f t="shared" si="62"/>
        <v>1.45</v>
      </c>
      <c r="B658" s="42">
        <f t="shared" si="63"/>
        <v>100</v>
      </c>
    </row>
    <row r="660" spans="1:7" ht="13.5" thickBot="1" x14ac:dyDescent="0.25"/>
    <row r="661" spans="1:7" ht="13.5" thickBot="1" x14ac:dyDescent="0.25">
      <c r="A661" s="129" t="s">
        <v>73</v>
      </c>
      <c r="B661" s="25" t="s">
        <v>16</v>
      </c>
    </row>
    <row r="662" spans="1:7" ht="13.5" thickBot="1" x14ac:dyDescent="0.25">
      <c r="A662" s="347" t="s">
        <v>95</v>
      </c>
      <c r="B662" s="209">
        <v>30</v>
      </c>
      <c r="C662" s="198"/>
      <c r="D662" s="198"/>
      <c r="E662" s="198"/>
      <c r="F662" s="198"/>
      <c r="G662" s="198"/>
    </row>
    <row r="663" spans="1:7" ht="13.5" thickBot="1" x14ac:dyDescent="0.25">
      <c r="C663" s="71"/>
      <c r="D663" s="71"/>
      <c r="E663" s="71"/>
      <c r="F663" s="71"/>
      <c r="G663" s="71"/>
    </row>
    <row r="664" spans="1:7" ht="13.5" thickBot="1" x14ac:dyDescent="0.25">
      <c r="A664" s="194" t="s">
        <v>1</v>
      </c>
      <c r="B664" s="25" t="s">
        <v>14</v>
      </c>
      <c r="C664" s="9"/>
      <c r="D664" s="9"/>
      <c r="E664" s="9"/>
      <c r="F664" s="9"/>
      <c r="G664" s="9"/>
    </row>
    <row r="665" spans="1:7" x14ac:dyDescent="0.2">
      <c r="A665" s="54">
        <v>0</v>
      </c>
      <c r="B665" s="51">
        <v>200</v>
      </c>
    </row>
    <row r="666" spans="1:7" x14ac:dyDescent="0.2">
      <c r="A666" s="49">
        <v>7.89</v>
      </c>
      <c r="B666" s="52">
        <v>200</v>
      </c>
      <c r="C666" s="190"/>
      <c r="D666" s="190"/>
      <c r="F666" s="190"/>
      <c r="G666" s="190"/>
    </row>
    <row r="667" spans="1:7" x14ac:dyDescent="0.2">
      <c r="A667" s="49">
        <v>20</v>
      </c>
      <c r="B667" s="52">
        <v>200</v>
      </c>
      <c r="C667" s="19"/>
      <c r="D667" s="70"/>
      <c r="F667" s="191"/>
      <c r="G667" s="70"/>
    </row>
    <row r="668" spans="1:7" x14ac:dyDescent="0.2">
      <c r="A668" s="49">
        <v>55.26</v>
      </c>
      <c r="B668" s="52">
        <v>200</v>
      </c>
      <c r="C668" s="19"/>
      <c r="D668" s="70"/>
      <c r="F668" s="191"/>
      <c r="G668" s="70"/>
    </row>
    <row r="669" spans="1:7" x14ac:dyDescent="0.2">
      <c r="A669" s="49">
        <v>60</v>
      </c>
      <c r="B669" s="52">
        <v>200</v>
      </c>
      <c r="C669" s="19"/>
      <c r="D669" s="70"/>
      <c r="F669" s="191"/>
      <c r="G669" s="70"/>
    </row>
    <row r="670" spans="1:7" x14ac:dyDescent="0.2">
      <c r="A670" s="49">
        <v>65</v>
      </c>
      <c r="B670" s="52">
        <v>200</v>
      </c>
      <c r="C670" s="19"/>
      <c r="D670" s="70"/>
      <c r="F670" s="191"/>
      <c r="G670" s="70"/>
    </row>
    <row r="671" spans="1:7" x14ac:dyDescent="0.2">
      <c r="A671" s="49">
        <v>71.05</v>
      </c>
      <c r="B671" s="52">
        <v>200</v>
      </c>
      <c r="C671" s="19"/>
      <c r="D671" s="70"/>
      <c r="F671" s="191"/>
      <c r="G671" s="70"/>
    </row>
    <row r="672" spans="1:7" ht="13.5" thickBot="1" x14ac:dyDescent="0.25">
      <c r="A672" s="50">
        <v>100</v>
      </c>
      <c r="B672" s="53">
        <v>200</v>
      </c>
      <c r="C672" s="19"/>
      <c r="D672" s="70"/>
      <c r="F672" s="191"/>
      <c r="G672" s="70"/>
    </row>
    <row r="673" spans="1:7" ht="13.5" thickBot="1" x14ac:dyDescent="0.25">
      <c r="C673" s="19"/>
      <c r="D673" s="70"/>
      <c r="F673" s="191"/>
      <c r="G673" s="70"/>
    </row>
    <row r="674" spans="1:7" ht="13.5" thickBot="1" x14ac:dyDescent="0.25">
      <c r="A674" s="194" t="s">
        <v>15</v>
      </c>
      <c r="B674" s="25" t="s">
        <v>14</v>
      </c>
      <c r="C674" s="19"/>
      <c r="D674" s="70"/>
      <c r="F674" s="191"/>
      <c r="G674" s="8"/>
    </row>
    <row r="675" spans="1:7" x14ac:dyDescent="0.2">
      <c r="A675" s="37">
        <f t="shared" ref="A675:A682" si="64">A665*F$4/100</f>
        <v>0</v>
      </c>
      <c r="B675" s="38">
        <f t="shared" ref="B675:B682" si="65">B665</f>
        <v>200</v>
      </c>
    </row>
    <row r="676" spans="1:7" x14ac:dyDescent="0.2">
      <c r="A676" s="39">
        <f t="shared" si="64"/>
        <v>0.11440499999999998</v>
      </c>
      <c r="B676" s="40">
        <f t="shared" si="65"/>
        <v>200</v>
      </c>
      <c r="C676" s="28"/>
      <c r="D676" s="28"/>
      <c r="E676" s="28"/>
      <c r="F676" s="28"/>
      <c r="G676" s="28"/>
    </row>
    <row r="677" spans="1:7" x14ac:dyDescent="0.2">
      <c r="A677" s="39">
        <f t="shared" si="64"/>
        <v>0.28999999999999998</v>
      </c>
      <c r="B677" s="40">
        <f t="shared" si="65"/>
        <v>200</v>
      </c>
      <c r="C677" s="28"/>
      <c r="D677" s="28"/>
      <c r="E677" s="28"/>
      <c r="F677" s="28"/>
      <c r="G677" s="28"/>
    </row>
    <row r="678" spans="1:7" x14ac:dyDescent="0.2">
      <c r="A678" s="39">
        <f t="shared" si="64"/>
        <v>0.80126999999999993</v>
      </c>
      <c r="B678" s="40">
        <f t="shared" si="65"/>
        <v>200</v>
      </c>
      <c r="C678" s="28"/>
      <c r="D678" s="28"/>
      <c r="E678" s="28"/>
      <c r="F678" s="28"/>
      <c r="G678" s="28"/>
    </row>
    <row r="679" spans="1:7" x14ac:dyDescent="0.2">
      <c r="A679" s="39">
        <f t="shared" si="64"/>
        <v>0.87</v>
      </c>
      <c r="B679" s="40">
        <f t="shared" si="65"/>
        <v>200</v>
      </c>
      <c r="C679" s="28"/>
      <c r="D679" s="28"/>
      <c r="E679" s="28"/>
      <c r="F679" s="28"/>
      <c r="G679" s="28"/>
    </row>
    <row r="680" spans="1:7" x14ac:dyDescent="0.2">
      <c r="A680" s="39">
        <f t="shared" si="64"/>
        <v>0.9425</v>
      </c>
      <c r="B680" s="40">
        <f t="shared" si="65"/>
        <v>200</v>
      </c>
      <c r="C680" s="28"/>
      <c r="D680" s="28"/>
      <c r="E680" s="28"/>
      <c r="F680" s="28"/>
      <c r="G680" s="28"/>
    </row>
    <row r="681" spans="1:7" x14ac:dyDescent="0.2">
      <c r="A681" s="39">
        <f t="shared" si="64"/>
        <v>1.0302249999999999</v>
      </c>
      <c r="B681" s="40">
        <f t="shared" si="65"/>
        <v>200</v>
      </c>
      <c r="C681" s="28"/>
      <c r="D681" s="28"/>
      <c r="E681" s="28"/>
      <c r="F681" s="28"/>
      <c r="G681" s="28"/>
    </row>
    <row r="682" spans="1:7" ht="13.5" thickBot="1" x14ac:dyDescent="0.25">
      <c r="A682" s="41">
        <f t="shared" si="64"/>
        <v>1.45</v>
      </c>
      <c r="B682" s="42">
        <f t="shared" si="65"/>
        <v>200</v>
      </c>
      <c r="C682" s="28"/>
      <c r="D682" s="28"/>
      <c r="E682" s="28"/>
      <c r="F682" s="28"/>
      <c r="G682" s="28"/>
    </row>
    <row r="683" spans="1:7" x14ac:dyDescent="0.2">
      <c r="A683" s="68"/>
      <c r="B683" s="66"/>
      <c r="C683" s="28"/>
      <c r="D683" s="28"/>
      <c r="E683" s="28"/>
      <c r="F683" s="28"/>
      <c r="G683" s="28"/>
    </row>
    <row r="684" spans="1:7" ht="13.5" thickBot="1" x14ac:dyDescent="0.25">
      <c r="A684" s="68"/>
      <c r="B684" s="66"/>
      <c r="C684" s="28"/>
      <c r="D684" s="28"/>
      <c r="E684" s="28"/>
      <c r="F684" s="28"/>
      <c r="G684" s="28"/>
    </row>
    <row r="685" spans="1:7" ht="13.5" thickBot="1" x14ac:dyDescent="0.25">
      <c r="A685" s="129" t="s">
        <v>73</v>
      </c>
      <c r="B685" s="25" t="s">
        <v>16</v>
      </c>
      <c r="C685" s="28"/>
      <c r="D685" s="28"/>
      <c r="E685" s="28"/>
      <c r="F685" s="28"/>
      <c r="G685" s="28"/>
    </row>
    <row r="686" spans="1:7" ht="13.5" thickBot="1" x14ac:dyDescent="0.25">
      <c r="A686" s="347" t="s">
        <v>96</v>
      </c>
      <c r="B686" s="209">
        <v>60</v>
      </c>
      <c r="C686" s="28"/>
      <c r="D686" s="28"/>
      <c r="E686" s="28"/>
      <c r="F686" s="28"/>
      <c r="G686" s="28"/>
    </row>
    <row r="687" spans="1:7" ht="13.5" thickBot="1" x14ac:dyDescent="0.25">
      <c r="C687" s="28"/>
      <c r="D687" s="28"/>
      <c r="E687" s="28"/>
      <c r="F687" s="28"/>
      <c r="G687" s="28"/>
    </row>
    <row r="688" spans="1:7" ht="13.5" thickBot="1" x14ac:dyDescent="0.25">
      <c r="A688" s="194" t="s">
        <v>1</v>
      </c>
      <c r="B688" s="25" t="s">
        <v>14</v>
      </c>
      <c r="C688" s="28"/>
      <c r="D688" s="28"/>
      <c r="E688" s="28"/>
      <c r="F688" s="28"/>
      <c r="G688" s="28"/>
    </row>
    <row r="689" spans="1:7" x14ac:dyDescent="0.2">
      <c r="A689" s="54">
        <v>0</v>
      </c>
      <c r="B689" s="51">
        <v>0</v>
      </c>
      <c r="C689" s="28"/>
      <c r="D689" s="28"/>
      <c r="E689" s="28"/>
      <c r="F689" s="28"/>
      <c r="G689" s="28"/>
    </row>
    <row r="690" spans="1:7" x14ac:dyDescent="0.2">
      <c r="A690" s="49">
        <v>7.89</v>
      </c>
      <c r="B690" s="52">
        <v>0</v>
      </c>
      <c r="C690" s="28"/>
      <c r="D690" s="28"/>
      <c r="E690" s="28"/>
      <c r="F690" s="28"/>
      <c r="G690" s="28"/>
    </row>
    <row r="691" spans="1:7" x14ac:dyDescent="0.2">
      <c r="A691" s="49">
        <v>20</v>
      </c>
      <c r="B691" s="52">
        <v>0</v>
      </c>
      <c r="C691" s="28"/>
      <c r="D691" s="28"/>
      <c r="E691" s="28"/>
      <c r="F691" s="28"/>
      <c r="G691" s="28"/>
    </row>
    <row r="692" spans="1:7" x14ac:dyDescent="0.2">
      <c r="A692" s="49">
        <v>55.26</v>
      </c>
      <c r="B692" s="52">
        <v>0</v>
      </c>
      <c r="C692" s="28"/>
      <c r="D692" s="28"/>
      <c r="E692" s="28"/>
      <c r="F692" s="28"/>
      <c r="G692" s="28"/>
    </row>
    <row r="693" spans="1:7" x14ac:dyDescent="0.2">
      <c r="A693" s="49">
        <v>60</v>
      </c>
      <c r="B693" s="52">
        <v>0</v>
      </c>
      <c r="C693" s="28"/>
      <c r="D693" s="28"/>
      <c r="E693" s="28"/>
      <c r="F693" s="28"/>
      <c r="G693" s="28"/>
    </row>
    <row r="694" spans="1:7" x14ac:dyDescent="0.2">
      <c r="A694" s="49">
        <v>65</v>
      </c>
      <c r="B694" s="52">
        <v>0</v>
      </c>
      <c r="C694" s="28"/>
      <c r="D694" s="28"/>
      <c r="E694" s="28"/>
      <c r="F694" s="28"/>
      <c r="G694" s="28"/>
    </row>
    <row r="695" spans="1:7" x14ac:dyDescent="0.2">
      <c r="A695" s="49">
        <v>71.05</v>
      </c>
      <c r="B695" s="52">
        <v>0</v>
      </c>
      <c r="C695" s="28"/>
      <c r="D695" s="28"/>
      <c r="E695" s="28"/>
      <c r="F695" s="28"/>
      <c r="G695" s="28"/>
    </row>
    <row r="696" spans="1:7" ht="13.5" thickBot="1" x14ac:dyDescent="0.25">
      <c r="A696" s="50">
        <v>100</v>
      </c>
      <c r="B696" s="53">
        <v>0</v>
      </c>
      <c r="C696" s="28"/>
      <c r="D696" s="28"/>
      <c r="E696" s="28"/>
      <c r="F696" s="28"/>
      <c r="G696" s="28"/>
    </row>
    <row r="697" spans="1:7" ht="13.5" thickBot="1" x14ac:dyDescent="0.25">
      <c r="C697" s="28"/>
      <c r="D697" s="28"/>
      <c r="E697" s="28"/>
      <c r="F697" s="28"/>
      <c r="G697" s="28"/>
    </row>
    <row r="698" spans="1:7" ht="13.5" thickBot="1" x14ac:dyDescent="0.25">
      <c r="A698" s="194" t="s">
        <v>15</v>
      </c>
      <c r="B698" s="25" t="s">
        <v>14</v>
      </c>
      <c r="C698" s="28"/>
      <c r="D698" s="28"/>
      <c r="E698" s="28"/>
      <c r="F698" s="28"/>
      <c r="G698" s="28"/>
    </row>
    <row r="699" spans="1:7" x14ac:dyDescent="0.2">
      <c r="A699" s="37">
        <f t="shared" ref="A699:A706" si="66">A689*F$4/100</f>
        <v>0</v>
      </c>
      <c r="B699" s="38">
        <f t="shared" ref="B699:B706" si="67">B689</f>
        <v>0</v>
      </c>
      <c r="C699" s="28"/>
      <c r="D699" s="28"/>
      <c r="E699" s="28"/>
      <c r="F699" s="28"/>
      <c r="G699" s="28"/>
    </row>
    <row r="700" spans="1:7" x14ac:dyDescent="0.2">
      <c r="A700" s="39">
        <f t="shared" si="66"/>
        <v>0.11440499999999998</v>
      </c>
      <c r="B700" s="40">
        <f t="shared" si="67"/>
        <v>0</v>
      </c>
      <c r="C700" s="28"/>
      <c r="D700" s="28"/>
      <c r="E700" s="28"/>
      <c r="F700" s="28"/>
      <c r="G700" s="28"/>
    </row>
    <row r="701" spans="1:7" x14ac:dyDescent="0.2">
      <c r="A701" s="39">
        <f t="shared" si="66"/>
        <v>0.28999999999999998</v>
      </c>
      <c r="B701" s="40">
        <f t="shared" si="67"/>
        <v>0</v>
      </c>
      <c r="C701" s="28"/>
      <c r="D701" s="28"/>
      <c r="E701" s="28"/>
      <c r="F701" s="28"/>
      <c r="G701" s="28"/>
    </row>
    <row r="702" spans="1:7" x14ac:dyDescent="0.2">
      <c r="A702" s="39">
        <f t="shared" si="66"/>
        <v>0.80126999999999993</v>
      </c>
      <c r="B702" s="40">
        <f t="shared" si="67"/>
        <v>0</v>
      </c>
      <c r="C702" s="28"/>
      <c r="D702" s="28"/>
      <c r="E702" s="28"/>
      <c r="F702" s="28"/>
      <c r="G702" s="28"/>
    </row>
    <row r="703" spans="1:7" x14ac:dyDescent="0.2">
      <c r="A703" s="39">
        <f t="shared" si="66"/>
        <v>0.87</v>
      </c>
      <c r="B703" s="40">
        <f t="shared" si="67"/>
        <v>0</v>
      </c>
      <c r="C703" s="28"/>
      <c r="D703" s="28"/>
      <c r="E703" s="28"/>
      <c r="F703" s="28"/>
      <c r="G703" s="28"/>
    </row>
    <row r="704" spans="1:7" x14ac:dyDescent="0.2">
      <c r="A704" s="39">
        <f t="shared" si="66"/>
        <v>0.9425</v>
      </c>
      <c r="B704" s="40">
        <f t="shared" si="67"/>
        <v>0</v>
      </c>
      <c r="C704" s="28"/>
      <c r="D704" s="28"/>
      <c r="E704" s="28"/>
      <c r="F704" s="28"/>
      <c r="G704" s="28"/>
    </row>
    <row r="705" spans="1:7" x14ac:dyDescent="0.2">
      <c r="A705" s="39">
        <f t="shared" si="66"/>
        <v>1.0302249999999999</v>
      </c>
      <c r="B705" s="40">
        <f t="shared" si="67"/>
        <v>0</v>
      </c>
      <c r="C705" s="28"/>
      <c r="D705" s="28"/>
      <c r="E705" s="28"/>
      <c r="F705" s="28"/>
      <c r="G705" s="28"/>
    </row>
    <row r="706" spans="1:7" ht="13.5" thickBot="1" x14ac:dyDescent="0.25">
      <c r="A706" s="41">
        <f t="shared" si="66"/>
        <v>1.45</v>
      </c>
      <c r="B706" s="42">
        <f t="shared" si="67"/>
        <v>0</v>
      </c>
      <c r="C706" s="28"/>
      <c r="D706" s="28"/>
      <c r="E706" s="28"/>
      <c r="F706" s="28"/>
      <c r="G706" s="28"/>
    </row>
    <row r="707" spans="1:7" x14ac:dyDescent="0.2">
      <c r="A707" s="67"/>
      <c r="B707" s="66"/>
      <c r="C707" s="28"/>
      <c r="D707" s="28"/>
      <c r="E707" s="28"/>
      <c r="F707" s="28"/>
      <c r="G707" s="28"/>
    </row>
    <row r="708" spans="1:7" ht="13.5" thickBot="1" x14ac:dyDescent="0.25">
      <c r="A708" s="64"/>
      <c r="B708" s="64"/>
      <c r="C708" s="28"/>
      <c r="D708" s="28"/>
      <c r="E708" s="28"/>
      <c r="F708" s="28"/>
      <c r="G708" s="28"/>
    </row>
    <row r="709" spans="1:7" ht="13.5" thickBot="1" x14ac:dyDescent="0.25">
      <c r="A709" s="129" t="s">
        <v>73</v>
      </c>
      <c r="B709" s="25" t="s">
        <v>16</v>
      </c>
      <c r="C709" s="28"/>
      <c r="D709" s="28"/>
      <c r="E709" s="28"/>
      <c r="F709" s="28"/>
      <c r="G709" s="28"/>
    </row>
    <row r="710" spans="1:7" ht="13.5" thickBot="1" x14ac:dyDescent="0.25">
      <c r="A710" s="347" t="s">
        <v>97</v>
      </c>
      <c r="B710" s="209">
        <v>30</v>
      </c>
      <c r="C710" s="28"/>
      <c r="D710" s="28"/>
      <c r="E710" s="28"/>
      <c r="F710" s="28"/>
      <c r="G710" s="28"/>
    </row>
    <row r="711" spans="1:7" ht="13.5" thickBot="1" x14ac:dyDescent="0.25">
      <c r="C711" s="28"/>
      <c r="D711" s="28"/>
      <c r="E711" s="28"/>
      <c r="F711" s="28"/>
      <c r="G711" s="28"/>
    </row>
    <row r="712" spans="1:7" ht="13.5" thickBot="1" x14ac:dyDescent="0.25">
      <c r="A712" s="194" t="s">
        <v>1</v>
      </c>
      <c r="B712" s="25" t="s">
        <v>14</v>
      </c>
      <c r="C712" s="28"/>
      <c r="D712" s="28"/>
      <c r="E712" s="28"/>
      <c r="F712" s="28"/>
      <c r="G712" s="28"/>
    </row>
    <row r="713" spans="1:7" x14ac:dyDescent="0.2">
      <c r="A713" s="54">
        <v>0</v>
      </c>
      <c r="B713" s="51">
        <v>90</v>
      </c>
      <c r="C713" s="28"/>
      <c r="D713" s="28"/>
      <c r="E713" s="28"/>
      <c r="F713" s="28"/>
      <c r="G713" s="28"/>
    </row>
    <row r="714" spans="1:7" x14ac:dyDescent="0.2">
      <c r="A714" s="49">
        <v>7.89</v>
      </c>
      <c r="B714" s="52">
        <v>90</v>
      </c>
      <c r="C714" s="28"/>
      <c r="D714" s="28"/>
      <c r="E714" s="28"/>
      <c r="F714" s="28"/>
      <c r="G714" s="28"/>
    </row>
    <row r="715" spans="1:7" x14ac:dyDescent="0.2">
      <c r="A715" s="49">
        <v>20</v>
      </c>
      <c r="B715" s="52">
        <v>90</v>
      </c>
      <c r="C715" s="28"/>
      <c r="D715" s="28"/>
      <c r="E715" s="28"/>
      <c r="F715" s="28"/>
      <c r="G715" s="28"/>
    </row>
    <row r="716" spans="1:7" x14ac:dyDescent="0.2">
      <c r="A716" s="49">
        <v>55.26</v>
      </c>
      <c r="B716" s="52">
        <v>90</v>
      </c>
      <c r="C716" s="28"/>
      <c r="D716" s="28"/>
      <c r="E716" s="28"/>
      <c r="F716" s="28"/>
      <c r="G716" s="28"/>
    </row>
    <row r="717" spans="1:7" x14ac:dyDescent="0.2">
      <c r="A717" s="49">
        <v>60</v>
      </c>
      <c r="B717" s="52">
        <v>90</v>
      </c>
      <c r="C717" s="28"/>
      <c r="D717" s="28"/>
      <c r="E717" s="28"/>
      <c r="F717" s="28"/>
      <c r="G717" s="28"/>
    </row>
    <row r="718" spans="1:7" x14ac:dyDescent="0.2">
      <c r="A718" s="49">
        <v>65</v>
      </c>
      <c r="B718" s="52">
        <v>90</v>
      </c>
      <c r="C718" s="28"/>
      <c r="D718" s="28"/>
      <c r="E718" s="28"/>
      <c r="F718" s="28"/>
      <c r="G718" s="28"/>
    </row>
    <row r="719" spans="1:7" x14ac:dyDescent="0.2">
      <c r="A719" s="49">
        <v>71.05</v>
      </c>
      <c r="B719" s="52">
        <v>0</v>
      </c>
      <c r="C719" s="28"/>
      <c r="D719" s="28"/>
      <c r="E719" s="28"/>
      <c r="F719" s="28"/>
      <c r="G719" s="28"/>
    </row>
    <row r="720" spans="1:7" ht="13.5" thickBot="1" x14ac:dyDescent="0.25">
      <c r="A720" s="50">
        <v>100</v>
      </c>
      <c r="B720" s="53">
        <v>0</v>
      </c>
      <c r="C720" s="28"/>
      <c r="D720" s="28"/>
      <c r="E720" s="28"/>
      <c r="F720" s="28"/>
      <c r="G720" s="28"/>
    </row>
    <row r="721" spans="1:7" ht="13.5" thickBot="1" x14ac:dyDescent="0.25">
      <c r="C721" s="28"/>
      <c r="D721" s="28"/>
      <c r="E721" s="28"/>
      <c r="F721" s="28"/>
      <c r="G721" s="28"/>
    </row>
    <row r="722" spans="1:7" ht="13.5" thickBot="1" x14ac:dyDescent="0.25">
      <c r="A722" s="194" t="s">
        <v>15</v>
      </c>
      <c r="B722" s="25" t="s">
        <v>14</v>
      </c>
      <c r="C722" s="28"/>
      <c r="D722" s="28"/>
      <c r="E722" s="28"/>
      <c r="F722" s="28"/>
      <c r="G722" s="28"/>
    </row>
    <row r="723" spans="1:7" x14ac:dyDescent="0.2">
      <c r="A723" s="37">
        <f t="shared" ref="A723:A730" si="68">A713*F$4/100</f>
        <v>0</v>
      </c>
      <c r="B723" s="38">
        <f t="shared" ref="B723:B730" si="69">B713</f>
        <v>90</v>
      </c>
      <c r="C723" s="28"/>
      <c r="D723" s="28"/>
      <c r="E723" s="28"/>
      <c r="F723" s="28"/>
      <c r="G723" s="28"/>
    </row>
    <row r="724" spans="1:7" x14ac:dyDescent="0.2">
      <c r="A724" s="39">
        <f t="shared" si="68"/>
        <v>0.11440499999999998</v>
      </c>
      <c r="B724" s="40">
        <f t="shared" si="69"/>
        <v>90</v>
      </c>
      <c r="C724" s="28"/>
      <c r="D724" s="28"/>
      <c r="E724" s="28"/>
      <c r="F724" s="28"/>
      <c r="G724" s="28"/>
    </row>
    <row r="725" spans="1:7" x14ac:dyDescent="0.2">
      <c r="A725" s="39">
        <f t="shared" si="68"/>
        <v>0.28999999999999998</v>
      </c>
      <c r="B725" s="40">
        <f t="shared" si="69"/>
        <v>90</v>
      </c>
      <c r="C725" s="28"/>
      <c r="D725" s="28"/>
      <c r="E725" s="28"/>
      <c r="F725" s="28"/>
      <c r="G725" s="28"/>
    </row>
    <row r="726" spans="1:7" x14ac:dyDescent="0.2">
      <c r="A726" s="39">
        <f t="shared" si="68"/>
        <v>0.80126999999999993</v>
      </c>
      <c r="B726" s="40">
        <f t="shared" si="69"/>
        <v>90</v>
      </c>
      <c r="C726" s="28"/>
      <c r="D726" s="28"/>
      <c r="E726" s="28"/>
      <c r="F726" s="28"/>
      <c r="G726" s="28"/>
    </row>
    <row r="727" spans="1:7" x14ac:dyDescent="0.2">
      <c r="A727" s="39">
        <f t="shared" si="68"/>
        <v>0.87</v>
      </c>
      <c r="B727" s="40">
        <f t="shared" si="69"/>
        <v>90</v>
      </c>
      <c r="C727" s="28"/>
      <c r="D727" s="28"/>
      <c r="E727" s="28"/>
      <c r="F727" s="28"/>
      <c r="G727" s="28"/>
    </row>
    <row r="728" spans="1:7" x14ac:dyDescent="0.2">
      <c r="A728" s="39">
        <f t="shared" si="68"/>
        <v>0.9425</v>
      </c>
      <c r="B728" s="40">
        <f t="shared" si="69"/>
        <v>90</v>
      </c>
      <c r="C728" s="28"/>
      <c r="D728" s="28"/>
      <c r="E728" s="28"/>
      <c r="F728" s="28"/>
      <c r="G728" s="28"/>
    </row>
    <row r="729" spans="1:7" x14ac:dyDescent="0.2">
      <c r="A729" s="39">
        <f t="shared" si="68"/>
        <v>1.0302249999999999</v>
      </c>
      <c r="B729" s="40">
        <f t="shared" si="69"/>
        <v>0</v>
      </c>
      <c r="C729" s="28"/>
      <c r="D729" s="28"/>
      <c r="E729" s="28"/>
      <c r="F729" s="28"/>
      <c r="G729" s="28"/>
    </row>
    <row r="730" spans="1:7" ht="13.5" thickBot="1" x14ac:dyDescent="0.25">
      <c r="A730" s="41">
        <f t="shared" si="68"/>
        <v>1.45</v>
      </c>
      <c r="B730" s="42">
        <f t="shared" si="69"/>
        <v>0</v>
      </c>
      <c r="C730" s="28"/>
      <c r="D730" s="28"/>
      <c r="E730" s="28"/>
      <c r="F730" s="28"/>
      <c r="G730" s="28"/>
    </row>
    <row r="731" spans="1:7" x14ac:dyDescent="0.2">
      <c r="A731" s="20"/>
      <c r="B731" s="21"/>
      <c r="C731" s="28"/>
      <c r="D731" s="28"/>
      <c r="E731" s="28"/>
      <c r="F731" s="28"/>
      <c r="G731" s="28"/>
    </row>
    <row r="732" spans="1:7" ht="13.5" thickBot="1" x14ac:dyDescent="0.25">
      <c r="A732" s="20"/>
      <c r="B732" s="21"/>
      <c r="C732" s="28"/>
      <c r="D732" s="28"/>
      <c r="E732" s="28"/>
      <c r="F732" s="28"/>
      <c r="G732" s="28"/>
    </row>
    <row r="733" spans="1:7" ht="13.5" thickBot="1" x14ac:dyDescent="0.25">
      <c r="A733" s="129" t="s">
        <v>73</v>
      </c>
      <c r="B733" s="25" t="s">
        <v>16</v>
      </c>
      <c r="C733" s="28"/>
      <c r="D733" s="28"/>
      <c r="E733" s="28"/>
      <c r="F733" s="28"/>
      <c r="G733" s="28"/>
    </row>
    <row r="734" spans="1:7" ht="13.5" thickBot="1" x14ac:dyDescent="0.25">
      <c r="A734" s="347" t="s">
        <v>98</v>
      </c>
      <c r="B734" s="209">
        <v>60</v>
      </c>
      <c r="C734" s="28"/>
      <c r="D734" s="28"/>
      <c r="E734" s="28"/>
      <c r="F734" s="28"/>
      <c r="G734" s="28"/>
    </row>
    <row r="735" spans="1:7" ht="13.5" thickBot="1" x14ac:dyDescent="0.25">
      <c r="C735" s="28"/>
      <c r="D735" s="28"/>
      <c r="E735" s="28"/>
      <c r="F735" s="28"/>
      <c r="G735" s="28"/>
    </row>
    <row r="736" spans="1:7" ht="13.5" thickBot="1" x14ac:dyDescent="0.25">
      <c r="A736" s="194" t="s">
        <v>1</v>
      </c>
      <c r="B736" s="25" t="s">
        <v>14</v>
      </c>
      <c r="C736" s="28"/>
      <c r="D736" s="28"/>
      <c r="E736" s="28"/>
      <c r="F736" s="28"/>
      <c r="G736" s="28"/>
    </row>
    <row r="737" spans="1:7" x14ac:dyDescent="0.2">
      <c r="A737" s="54">
        <v>0</v>
      </c>
      <c r="B737" s="51">
        <v>0</v>
      </c>
      <c r="C737" s="28"/>
      <c r="D737" s="28"/>
      <c r="E737" s="28"/>
      <c r="F737" s="28"/>
      <c r="G737" s="28"/>
    </row>
    <row r="738" spans="1:7" x14ac:dyDescent="0.2">
      <c r="A738" s="49">
        <v>7.89</v>
      </c>
      <c r="B738" s="52">
        <v>0</v>
      </c>
      <c r="C738" s="28"/>
      <c r="D738" s="28"/>
      <c r="E738" s="28"/>
      <c r="F738" s="28"/>
      <c r="G738" s="28"/>
    </row>
    <row r="739" spans="1:7" x14ac:dyDescent="0.2">
      <c r="A739" s="49">
        <v>20</v>
      </c>
      <c r="B739" s="52">
        <v>0</v>
      </c>
      <c r="C739" s="28"/>
      <c r="D739" s="28"/>
      <c r="E739" s="28"/>
      <c r="F739" s="28"/>
      <c r="G739" s="28"/>
    </row>
    <row r="740" spans="1:7" x14ac:dyDescent="0.2">
      <c r="A740" s="49">
        <v>55.26</v>
      </c>
      <c r="B740" s="52">
        <v>0</v>
      </c>
      <c r="C740" s="28"/>
      <c r="D740" s="28"/>
      <c r="E740" s="28"/>
      <c r="F740" s="28"/>
      <c r="G740" s="28"/>
    </row>
    <row r="741" spans="1:7" x14ac:dyDescent="0.2">
      <c r="A741" s="49">
        <v>60</v>
      </c>
      <c r="B741" s="52">
        <v>250</v>
      </c>
      <c r="C741" s="28"/>
      <c r="D741" s="28"/>
      <c r="E741" s="28"/>
      <c r="F741" s="28"/>
      <c r="G741" s="28"/>
    </row>
    <row r="742" spans="1:7" x14ac:dyDescent="0.2">
      <c r="A742" s="49">
        <v>65</v>
      </c>
      <c r="B742" s="52">
        <v>250</v>
      </c>
      <c r="C742" s="28"/>
      <c r="D742" s="28"/>
      <c r="E742" s="28"/>
      <c r="F742" s="28"/>
      <c r="G742" s="28"/>
    </row>
    <row r="743" spans="1:7" x14ac:dyDescent="0.2">
      <c r="A743" s="49">
        <v>71.05</v>
      </c>
      <c r="B743" s="52">
        <v>250</v>
      </c>
      <c r="C743" s="28"/>
      <c r="D743" s="28"/>
      <c r="E743" s="28"/>
      <c r="F743" s="28"/>
      <c r="G743" s="28"/>
    </row>
    <row r="744" spans="1:7" ht="13.5" thickBot="1" x14ac:dyDescent="0.25">
      <c r="A744" s="50">
        <v>100</v>
      </c>
      <c r="B744" s="53">
        <v>250</v>
      </c>
      <c r="C744" s="28"/>
      <c r="D744" s="28"/>
      <c r="E744" s="28"/>
      <c r="F744" s="28"/>
      <c r="G744" s="28"/>
    </row>
    <row r="745" spans="1:7" ht="13.5" thickBot="1" x14ac:dyDescent="0.25">
      <c r="C745" s="28"/>
      <c r="D745" s="28"/>
      <c r="E745" s="28"/>
      <c r="F745" s="28"/>
      <c r="G745" s="28"/>
    </row>
    <row r="746" spans="1:7" ht="13.5" thickBot="1" x14ac:dyDescent="0.25">
      <c r="A746" s="194" t="s">
        <v>15</v>
      </c>
      <c r="B746" s="25" t="s">
        <v>14</v>
      </c>
      <c r="C746" s="28"/>
      <c r="D746" s="28"/>
      <c r="E746" s="28"/>
      <c r="F746" s="28"/>
      <c r="G746" s="28"/>
    </row>
    <row r="747" spans="1:7" x14ac:dyDescent="0.2">
      <c r="A747" s="37">
        <f t="shared" ref="A747:A754" si="70">A737*F$4/100</f>
        <v>0</v>
      </c>
      <c r="B747" s="38">
        <f t="shared" ref="B747:B754" si="71">B737</f>
        <v>0</v>
      </c>
      <c r="C747" s="28"/>
      <c r="D747" s="28"/>
      <c r="E747" s="28"/>
      <c r="F747" s="28"/>
      <c r="G747" s="28"/>
    </row>
    <row r="748" spans="1:7" x14ac:dyDescent="0.2">
      <c r="A748" s="39">
        <f t="shared" si="70"/>
        <v>0.11440499999999998</v>
      </c>
      <c r="B748" s="40">
        <f t="shared" si="71"/>
        <v>0</v>
      </c>
      <c r="C748" s="28"/>
      <c r="D748" s="28"/>
      <c r="E748" s="28"/>
      <c r="F748" s="28"/>
      <c r="G748" s="28"/>
    </row>
    <row r="749" spans="1:7" x14ac:dyDescent="0.2">
      <c r="A749" s="39">
        <f t="shared" si="70"/>
        <v>0.28999999999999998</v>
      </c>
      <c r="B749" s="40">
        <f t="shared" si="71"/>
        <v>0</v>
      </c>
      <c r="C749" s="28"/>
      <c r="D749" s="28"/>
      <c r="E749" s="28"/>
      <c r="F749" s="28"/>
      <c r="G749" s="28"/>
    </row>
    <row r="750" spans="1:7" x14ac:dyDescent="0.2">
      <c r="A750" s="39">
        <f t="shared" si="70"/>
        <v>0.80126999999999993</v>
      </c>
      <c r="B750" s="40">
        <f t="shared" si="71"/>
        <v>0</v>
      </c>
      <c r="C750" s="28"/>
      <c r="D750" s="28"/>
      <c r="E750" s="28"/>
      <c r="F750" s="28"/>
      <c r="G750" s="28"/>
    </row>
    <row r="751" spans="1:7" x14ac:dyDescent="0.2">
      <c r="A751" s="39">
        <f t="shared" si="70"/>
        <v>0.87</v>
      </c>
      <c r="B751" s="40">
        <f t="shared" si="71"/>
        <v>250</v>
      </c>
      <c r="C751" s="28"/>
      <c r="D751" s="28"/>
      <c r="E751" s="28"/>
      <c r="F751" s="28"/>
      <c r="G751" s="28"/>
    </row>
    <row r="752" spans="1:7" x14ac:dyDescent="0.2">
      <c r="A752" s="39">
        <f t="shared" si="70"/>
        <v>0.9425</v>
      </c>
      <c r="B752" s="40">
        <f t="shared" si="71"/>
        <v>250</v>
      </c>
      <c r="C752" s="28"/>
      <c r="D752" s="28"/>
      <c r="E752" s="28"/>
      <c r="F752" s="28"/>
      <c r="G752" s="28"/>
    </row>
    <row r="753" spans="1:7" x14ac:dyDescent="0.2">
      <c r="A753" s="39">
        <f t="shared" si="70"/>
        <v>1.0302249999999999</v>
      </c>
      <c r="B753" s="40">
        <f t="shared" si="71"/>
        <v>250</v>
      </c>
      <c r="C753" s="28"/>
      <c r="D753" s="28"/>
      <c r="E753" s="28"/>
      <c r="F753" s="28"/>
      <c r="G753" s="28"/>
    </row>
    <row r="754" spans="1:7" ht="13.5" thickBot="1" x14ac:dyDescent="0.25">
      <c r="A754" s="41">
        <f t="shared" si="70"/>
        <v>1.45</v>
      </c>
      <c r="B754" s="42">
        <f t="shared" si="71"/>
        <v>250</v>
      </c>
      <c r="C754" s="28"/>
      <c r="D754" s="28"/>
      <c r="E754" s="28"/>
      <c r="F754" s="28"/>
      <c r="G754" s="28"/>
    </row>
    <row r="755" spans="1:7" x14ac:dyDescent="0.2">
      <c r="A755" s="20"/>
      <c r="B755" s="21"/>
      <c r="C755" s="28"/>
      <c r="D755" s="28"/>
      <c r="E755" s="28"/>
      <c r="F755" s="28"/>
      <c r="G755" s="28"/>
    </row>
  </sheetData>
  <sheetProtection sheet="1" objects="1" scenarios="1" formatCells="0" selectLockedCells="1"/>
  <mergeCells count="78">
    <mergeCell ref="B29:D29"/>
    <mergeCell ref="F29:G29"/>
    <mergeCell ref="B35:G35"/>
    <mergeCell ref="B36:G36"/>
    <mergeCell ref="C43:E43"/>
    <mergeCell ref="B30:D30"/>
    <mergeCell ref="F30:G30"/>
    <mergeCell ref="B31:D31"/>
    <mergeCell ref="F31:G31"/>
    <mergeCell ref="B32:D32"/>
    <mergeCell ref="F32:G32"/>
    <mergeCell ref="B33:D33"/>
    <mergeCell ref="F33:G33"/>
    <mergeCell ref="B34:D34"/>
    <mergeCell ref="F34:G34"/>
    <mergeCell ref="B26:D26"/>
    <mergeCell ref="F26:G26"/>
    <mergeCell ref="B27:D27"/>
    <mergeCell ref="F27:G27"/>
    <mergeCell ref="B28:D28"/>
    <mergeCell ref="F28:G28"/>
    <mergeCell ref="B23:D23"/>
    <mergeCell ref="F23:G23"/>
    <mergeCell ref="B24:D24"/>
    <mergeCell ref="F24:G24"/>
    <mergeCell ref="B25:D25"/>
    <mergeCell ref="F25:G25"/>
    <mergeCell ref="B20:D20"/>
    <mergeCell ref="F20:G20"/>
    <mergeCell ref="B21:D21"/>
    <mergeCell ref="F21:G21"/>
    <mergeCell ref="B22:D22"/>
    <mergeCell ref="F22:G22"/>
    <mergeCell ref="B17:D17"/>
    <mergeCell ref="F17:G17"/>
    <mergeCell ref="B18:D18"/>
    <mergeCell ref="F18:G18"/>
    <mergeCell ref="B19:D19"/>
    <mergeCell ref="F19:G19"/>
    <mergeCell ref="C1:E1"/>
    <mergeCell ref="B9:D9"/>
    <mergeCell ref="F9:G9"/>
    <mergeCell ref="B10:D10"/>
    <mergeCell ref="F10:G10"/>
    <mergeCell ref="F3:G3"/>
    <mergeCell ref="B3:D3"/>
    <mergeCell ref="F7:G7"/>
    <mergeCell ref="B8:D8"/>
    <mergeCell ref="F8:G8"/>
    <mergeCell ref="F5:G5"/>
    <mergeCell ref="F6:G6"/>
    <mergeCell ref="C2:E2"/>
    <mergeCell ref="B7:D7"/>
    <mergeCell ref="B4:D4"/>
    <mergeCell ref="B11:D11"/>
    <mergeCell ref="A39:B39"/>
    <mergeCell ref="B6:D6"/>
    <mergeCell ref="B5:D5"/>
    <mergeCell ref="F11:G11"/>
    <mergeCell ref="B15:D15"/>
    <mergeCell ref="F15:G15"/>
    <mergeCell ref="B16:D16"/>
    <mergeCell ref="F16:G16"/>
    <mergeCell ref="F39:G39"/>
    <mergeCell ref="B12:D12"/>
    <mergeCell ref="F12:G12"/>
    <mergeCell ref="B13:D13"/>
    <mergeCell ref="F13:G13"/>
    <mergeCell ref="B14:D14"/>
    <mergeCell ref="F14:G14"/>
    <mergeCell ref="D176:F177"/>
    <mergeCell ref="L40:M40"/>
    <mergeCell ref="L41:M41"/>
    <mergeCell ref="C42:D42"/>
    <mergeCell ref="F42:G42"/>
    <mergeCell ref="K43:M43"/>
    <mergeCell ref="L42:M42"/>
    <mergeCell ref="A175:D175"/>
  </mergeCells>
  <phoneticPr fontId="0" type="noConversion"/>
  <dataValidations count="8">
    <dataValidation type="decimal" showErrorMessage="1" error="Invalid Entry" sqref="F4">
      <formula1>0.01</formula1>
      <formula2>10</formula2>
    </dataValidation>
    <dataValidation type="whole" showErrorMessage="1" error="Invalid Entry" sqref="B179 B184:B191 B208:B215 B232:B239 B256:B263 B280:B287 B304:B311 B328:B335 B352:B359 B394:B395 B737:B744 B418 B376:B383 B400:B407 B424:B431 B448:B455 B473:B480 B497:B504 B521:B528 B545:B552 B569:B576 B593:B600 B617:B624 B641:B648 B683:B684 B707 B665:B672 B689:B696 B713:B720">
      <formula1>0</formula1>
      <formula2>250</formula2>
    </dataValidation>
    <dataValidation type="decimal" showErrorMessage="1" error="Invalid Entry" sqref="A185:A190 A257:A262 A281:A286 A305:A310 A449:A454 A425:A430 A401:A406 A377:A382 A394:A395 A353:A358 A329:A334 A209:A214 A233:A238 A474:A479 A546:A551 A570:A575 A594:A599 A738:A743 A714:A719 A690:A695 A666:A671 A683:A684 A642:A647 A618:A623 A498:A503 A522:A527">
      <formula1>0</formula1>
      <formula2>100</formula2>
    </dataValidation>
    <dataValidation type="decimal" operator="equal" showErrorMessage="1" error="Invalid Entry" sqref="A179 A184 A304 A280 A256 A448 A424 A400 A232 A376 A208 A352 A328 A473 A593 A569 A545 A737 A713 A689 A521 A665 A497 A641 A617">
      <formula1>0</formula1>
    </dataValidation>
    <dataValidation type="decimal" operator="equal" showErrorMessage="1" error="Invalid Entry" sqref="A191 A455 A431 A383 A407 A418 A215 A239 A263 A287 A311 A335 A359 A480 A744 A720 A672 A696 A707 A504 A528 A552 A576 A600 A624 A648">
      <formula1>100</formula1>
    </dataValidation>
    <dataValidation error="Invalid Entry" sqref="D46:D173 L46:L109"/>
    <dataValidation operator="equal" error="Invalid Entry" sqref="C46:C173 K46:K109"/>
    <dataValidation type="list" showErrorMessage="1" error="Invalid Entry" sqref="B734 B181 B205 B229 B253 B277 B301 B325 B349 B373 B397 B421 B445 B470 B494 B518 B542 B566 B590 B614 B638 B662 B686 B710">
      <formula1>"30, 50, 60"</formula1>
    </dataValidation>
  </dataValidations>
  <pageMargins left="0.75" right="0.75" top="1" bottom="1" header="0.5" footer="0.5"/>
  <pageSetup scale="6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2" r:id="rId4" name="Button 10">
              <controlPr defaultSize="0" print="0" autoFill="0" autoPict="0" macro="[0]!ValidateSit_Click">
                <anchor moveWithCells="1" sizeWithCells="1">
                  <from>
                    <xdr:col>2</xdr:col>
                    <xdr:colOff>942975</xdr:colOff>
                    <xdr:row>36</xdr:row>
                    <xdr:rowOff>152400</xdr:rowOff>
                  </from>
                  <to>
                    <xdr:col>3</xdr:col>
                    <xdr:colOff>1295400</xdr:colOff>
                    <xdr:row>40</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Walk</vt:lpstr>
      <vt:lpstr>Stand</vt:lpstr>
      <vt:lpstr>Sit</vt:lpstr>
      <vt:lpstr>Sit!Print_Area</vt:lpstr>
      <vt:lpstr>Stand!Print_Area</vt:lpstr>
      <vt:lpstr>Walk!Print_Area</vt:lpstr>
    </vt:vector>
  </TitlesOfParts>
  <Company>Case Western Reserve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Gateway Client</dc:creator>
  <cp:lastModifiedBy>Lu Li</cp:lastModifiedBy>
  <cp:lastPrinted>2010-08-23T19:33:55Z</cp:lastPrinted>
  <dcterms:created xsi:type="dcterms:W3CDTF">2007-08-23T14:48:36Z</dcterms:created>
  <dcterms:modified xsi:type="dcterms:W3CDTF">2016-02-06T17:56:17Z</dcterms:modified>
</cp:coreProperties>
</file>