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6.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7.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8.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9.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0.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1.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2.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3.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4.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5.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16.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17.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18.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19.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20.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1.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22.xml" ContentType="application/vnd.openxmlformats-officedocument.themeOverrid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23.xml" ContentType="application/vnd.openxmlformats-officedocument.themeOverrid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heme/themeOverride24.xml" ContentType="application/vnd.openxmlformats-officedocument.themeOverrid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25.xml" ContentType="application/vnd.openxmlformats-officedocument.themeOverrid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26.xml" ContentType="application/vnd.openxmlformats-officedocument.themeOverrid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27.xml" ContentType="application/vnd.openxmlformats-officedocument.themeOverrid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28.xml" ContentType="application/vnd.openxmlformats-officedocument.themeOverrid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29.xml" ContentType="application/vnd.openxmlformats-officedocument.themeOverrid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30.xml" ContentType="application/vnd.openxmlformats-officedocument.themeOverrid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theme/themeOverride31.xml" ContentType="application/vnd.openxmlformats-officedocument.themeOverrid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theme/themeOverride32.xml" ContentType="application/vnd.openxmlformats-officedocument.themeOverrid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theme/themeOverride33.xml" ContentType="application/vnd.openxmlformats-officedocument.themeOverrid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34.xml" ContentType="application/vnd.openxmlformats-officedocument.themeOverrid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35.xml" ContentType="application/vnd.openxmlformats-officedocument.themeOverrid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36.xml" ContentType="application/vnd.openxmlformats-officedocument.themeOverrid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37.xml" ContentType="application/vnd.openxmlformats-officedocument.themeOverrid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theme/themeOverride38.xml" ContentType="application/vnd.openxmlformats-officedocument.themeOverrid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theme/themeOverride39.xml" ContentType="application/vnd.openxmlformats-officedocument.themeOverrid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theme/themeOverride40.xml" ContentType="application/vnd.openxmlformats-officedocument.themeOverrid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theme/themeOverride41.xml" ContentType="application/vnd.openxmlformats-officedocument.themeOverrid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heme/themeOverride42.xml" ContentType="application/vnd.openxmlformats-officedocument.themeOverrid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theme/themeOverride43.xml" ContentType="application/vnd.openxmlformats-officedocument.themeOverrid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theme/themeOverride44.xml" ContentType="application/vnd.openxmlformats-officedocument.themeOverrid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theme/themeOverride45.xml" ContentType="application/vnd.openxmlformats-officedocument.themeOverrid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theme/themeOverride46.xml" ContentType="application/vnd.openxmlformats-officedocument.themeOverride+xml"/>
  <Override PartName="/xl/drawings/drawing2.xml" ContentType="application/vnd.openxmlformats-officedocument.drawing+xml"/>
  <Override PartName="/xl/ctrlProps/ctrlProp2.xml" ContentType="application/vnd.ms-excel.controlpropertie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heme/themeOverride47.xml" ContentType="application/vnd.openxmlformats-officedocument.themeOverrid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theme/themeOverride48.xml" ContentType="application/vnd.openxmlformats-officedocument.themeOverrid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theme/themeOverride49.xml" ContentType="application/vnd.openxmlformats-officedocument.themeOverrid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theme/themeOverride50.xml" ContentType="application/vnd.openxmlformats-officedocument.themeOverrid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theme/themeOverride51.xml" ContentType="application/vnd.openxmlformats-officedocument.themeOverrid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theme/themeOverride52.xml" ContentType="application/vnd.openxmlformats-officedocument.themeOverrid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heme/themeOverride53.xml" ContentType="application/vnd.openxmlformats-officedocument.themeOverrid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theme/themeOverride54.xml" ContentType="application/vnd.openxmlformats-officedocument.themeOverrid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theme/themeOverride55.xml" ContentType="application/vnd.openxmlformats-officedocument.themeOverrid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theme/themeOverride56.xml" ContentType="application/vnd.openxmlformats-officedocument.themeOverrid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theme/themeOverride57.xml" ContentType="application/vnd.openxmlformats-officedocument.themeOverrid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theme/themeOverride58.xml" ContentType="application/vnd.openxmlformats-officedocument.themeOverrid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theme/themeOverride59.xml" ContentType="application/vnd.openxmlformats-officedocument.themeOverrid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60.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61.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theme/themeOverride62.xml" ContentType="application/vnd.openxmlformats-officedocument.themeOverrid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theme/themeOverride63.xml" ContentType="application/vnd.openxmlformats-officedocument.themeOverrid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theme/themeOverride64.xml" ContentType="application/vnd.openxmlformats-officedocument.themeOverrid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theme/themeOverride65.xml" ContentType="application/vnd.openxmlformats-officedocument.themeOverrid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theme/themeOverride66.xml" ContentType="application/vnd.openxmlformats-officedocument.themeOverrid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theme/themeOverride67.xml" ContentType="application/vnd.openxmlformats-officedocument.themeOverrid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theme/themeOverride68.xml" ContentType="application/vnd.openxmlformats-officedocument.themeOverride+xml"/>
  <Override PartName="/xl/drawings/drawing3.xml" ContentType="application/vnd.openxmlformats-officedocument.drawing+xml"/>
  <Override PartName="/xl/ctrlProps/ctrlProp3.xml" ContentType="application/vnd.ms-excel.controlproperties+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theme/themeOverride69.xml" ContentType="application/vnd.openxmlformats-officedocument.themeOverrid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theme/themeOverride70.xml" ContentType="application/vnd.openxmlformats-officedocument.themeOverrid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theme/themeOverride71.xml" ContentType="application/vnd.openxmlformats-officedocument.themeOverrid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theme/themeOverride72.xml" ContentType="application/vnd.openxmlformats-officedocument.themeOverrid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theme/themeOverride73.xml" ContentType="application/vnd.openxmlformats-officedocument.themeOverrid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theme/themeOverride74.xml" ContentType="application/vnd.openxmlformats-officedocument.themeOverrid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theme/themeOverride75.xml" ContentType="application/vnd.openxmlformats-officedocument.themeOverrid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theme/themeOverride76.xml" ContentType="application/vnd.openxmlformats-officedocument.themeOverrid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theme/themeOverride77.xml" ContentType="application/vnd.openxmlformats-officedocument.themeOverrid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theme/themeOverride78.xml" ContentType="application/vnd.openxmlformats-officedocument.themeOverrid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theme/themeOverride79.xml" ContentType="application/vnd.openxmlformats-officedocument.themeOverrid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theme/themeOverride80.xml" ContentType="application/vnd.openxmlformats-officedocument.themeOverrid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theme/themeOverride81.xml" ContentType="application/vnd.openxmlformats-officedocument.themeOverrid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theme/themeOverride82.xml" ContentType="application/vnd.openxmlformats-officedocument.themeOverrid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theme/themeOverride83.xml" ContentType="application/vnd.openxmlformats-officedocument.themeOverrid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theme/themeOverride84.xml" ContentType="application/vnd.openxmlformats-officedocument.themeOverrid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theme/themeOverride85.xml" ContentType="application/vnd.openxmlformats-officedocument.themeOverrid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theme/themeOverride86.xml" ContentType="application/vnd.openxmlformats-officedocument.themeOverrid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theme/themeOverride87.xml" ContentType="application/vnd.openxmlformats-officedocument.themeOverrid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theme/themeOverride88.xml" ContentType="application/vnd.openxmlformats-officedocument.themeOverrid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theme/themeOverride89.xml" ContentType="application/vnd.openxmlformats-officedocument.themeOverrid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theme/themeOverride90.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pt-jschnel\Documents\Hybrid System\New Portable Hybrid\"/>
    </mc:Choice>
  </mc:AlternateContent>
  <bookViews>
    <workbookView xWindow="6525" yWindow="420" windowWidth="9765" windowHeight="11220"/>
  </bookViews>
  <sheets>
    <sheet name="Walk" sheetId="3" r:id="rId1"/>
    <sheet name="Stand" sheetId="1" r:id="rId2"/>
    <sheet name="Sit" sheetId="4" r:id="rId3"/>
  </sheets>
  <definedNames>
    <definedName name="_xlnm.Print_Area" localSheetId="2">Sit!$A$1:$G$90</definedName>
    <definedName name="_xlnm.Print_Area" localSheetId="1">Stand!$A$1:$G$108</definedName>
    <definedName name="_xlnm.Print_Area" localSheetId="0">Walk!$A$1:$G$139</definedName>
  </definedNames>
  <calcPr calcId="152511"/>
</workbook>
</file>

<file path=xl/calcChain.xml><?xml version="1.0" encoding="utf-8"?>
<calcChain xmlns="http://schemas.openxmlformats.org/spreadsheetml/2006/main">
  <c r="B723" i="4" l="1"/>
  <c r="A723" i="4"/>
  <c r="B722" i="4"/>
  <c r="A722" i="4"/>
  <c r="B721" i="4"/>
  <c r="A721" i="4"/>
  <c r="B720" i="4"/>
  <c r="A720" i="4"/>
  <c r="B719" i="4"/>
  <c r="A719" i="4"/>
  <c r="B718" i="4"/>
  <c r="A718" i="4"/>
  <c r="B717" i="4"/>
  <c r="A717" i="4"/>
  <c r="B716" i="4"/>
  <c r="A716" i="4"/>
  <c r="B699" i="4"/>
  <c r="A699" i="4"/>
  <c r="B698" i="4"/>
  <c r="A698" i="4"/>
  <c r="B697" i="4"/>
  <c r="A697" i="4"/>
  <c r="B696" i="4"/>
  <c r="A696" i="4"/>
  <c r="B695" i="4"/>
  <c r="A695" i="4"/>
  <c r="B694" i="4"/>
  <c r="A694" i="4"/>
  <c r="B693" i="4"/>
  <c r="A693" i="4"/>
  <c r="B692" i="4"/>
  <c r="A692" i="4"/>
  <c r="B675" i="4"/>
  <c r="A675" i="4"/>
  <c r="B674" i="4"/>
  <c r="A674" i="4"/>
  <c r="B673" i="4"/>
  <c r="A673" i="4"/>
  <c r="B672" i="4"/>
  <c r="A672" i="4"/>
  <c r="B671" i="4"/>
  <c r="A671" i="4"/>
  <c r="B670" i="4"/>
  <c r="A670" i="4"/>
  <c r="B669" i="4"/>
  <c r="A669" i="4"/>
  <c r="B668" i="4"/>
  <c r="A668" i="4"/>
  <c r="B651" i="4"/>
  <c r="A651" i="4"/>
  <c r="B650" i="4"/>
  <c r="A650" i="4"/>
  <c r="B649" i="4"/>
  <c r="A649" i="4"/>
  <c r="B648" i="4"/>
  <c r="A648" i="4"/>
  <c r="B647" i="4"/>
  <c r="A647" i="4"/>
  <c r="B646" i="4"/>
  <c r="A646" i="4"/>
  <c r="B645" i="4"/>
  <c r="A645" i="4"/>
  <c r="B644" i="4"/>
  <c r="A644" i="4"/>
  <c r="B627" i="4"/>
  <c r="A627" i="4"/>
  <c r="B626" i="4"/>
  <c r="A626" i="4"/>
  <c r="B625" i="4"/>
  <c r="A625" i="4"/>
  <c r="B624" i="4"/>
  <c r="A624" i="4"/>
  <c r="B623" i="4"/>
  <c r="A623" i="4"/>
  <c r="B622" i="4"/>
  <c r="A622" i="4"/>
  <c r="B621" i="4"/>
  <c r="A621" i="4"/>
  <c r="B620" i="4"/>
  <c r="A620" i="4"/>
  <c r="B603" i="4"/>
  <c r="A603" i="4"/>
  <c r="B602" i="4"/>
  <c r="A602" i="4"/>
  <c r="B601" i="4"/>
  <c r="A601" i="4"/>
  <c r="B600" i="4"/>
  <c r="A600" i="4"/>
  <c r="B599" i="4"/>
  <c r="A599" i="4"/>
  <c r="B598" i="4"/>
  <c r="A598" i="4"/>
  <c r="B597" i="4"/>
  <c r="A597" i="4"/>
  <c r="B596" i="4"/>
  <c r="A596" i="4"/>
  <c r="B579" i="4"/>
  <c r="A579" i="4"/>
  <c r="B578" i="4"/>
  <c r="A578" i="4"/>
  <c r="B577" i="4"/>
  <c r="A577" i="4"/>
  <c r="B576" i="4"/>
  <c r="A576" i="4"/>
  <c r="B575" i="4"/>
  <c r="A575" i="4"/>
  <c r="B574" i="4"/>
  <c r="A574" i="4"/>
  <c r="B573" i="4"/>
  <c r="A573" i="4"/>
  <c r="B572" i="4"/>
  <c r="A572" i="4"/>
  <c r="B555" i="4"/>
  <c r="A555" i="4"/>
  <c r="B554" i="4"/>
  <c r="A554" i="4"/>
  <c r="B553" i="4"/>
  <c r="A553" i="4"/>
  <c r="B552" i="4"/>
  <c r="A552" i="4"/>
  <c r="B551" i="4"/>
  <c r="A551" i="4"/>
  <c r="B550" i="4"/>
  <c r="A550" i="4"/>
  <c r="B549" i="4"/>
  <c r="A549" i="4"/>
  <c r="B548" i="4"/>
  <c r="A548" i="4"/>
  <c r="B531" i="4"/>
  <c r="A531" i="4"/>
  <c r="B530" i="4"/>
  <c r="A530" i="4"/>
  <c r="B529" i="4"/>
  <c r="A529" i="4"/>
  <c r="B528" i="4"/>
  <c r="A528" i="4"/>
  <c r="B527" i="4"/>
  <c r="A527" i="4"/>
  <c r="B526" i="4"/>
  <c r="A526" i="4"/>
  <c r="B525" i="4"/>
  <c r="A525" i="4"/>
  <c r="B524" i="4"/>
  <c r="A524" i="4"/>
  <c r="B507" i="4"/>
  <c r="A507" i="4"/>
  <c r="B506" i="4"/>
  <c r="A506" i="4"/>
  <c r="B505" i="4"/>
  <c r="A505" i="4"/>
  <c r="B504" i="4"/>
  <c r="A504" i="4"/>
  <c r="B503" i="4"/>
  <c r="A503" i="4"/>
  <c r="B502" i="4"/>
  <c r="A502" i="4"/>
  <c r="B501" i="4"/>
  <c r="A501" i="4"/>
  <c r="B500" i="4"/>
  <c r="A500" i="4"/>
  <c r="B483" i="4"/>
  <c r="A483" i="4"/>
  <c r="B482" i="4"/>
  <c r="A482" i="4"/>
  <c r="B481" i="4"/>
  <c r="A481" i="4"/>
  <c r="B480" i="4"/>
  <c r="A480" i="4"/>
  <c r="B479" i="4"/>
  <c r="A479" i="4"/>
  <c r="B478" i="4"/>
  <c r="A478" i="4"/>
  <c r="B477" i="4"/>
  <c r="A477" i="4"/>
  <c r="B476" i="4"/>
  <c r="A476" i="4"/>
  <c r="B459" i="4"/>
  <c r="A459" i="4"/>
  <c r="B458" i="4"/>
  <c r="A458" i="4"/>
  <c r="B457" i="4"/>
  <c r="A457" i="4"/>
  <c r="B456" i="4"/>
  <c r="A456" i="4"/>
  <c r="B455" i="4"/>
  <c r="A455" i="4"/>
  <c r="B454" i="4"/>
  <c r="A454" i="4"/>
  <c r="B453" i="4"/>
  <c r="A453" i="4"/>
  <c r="B452" i="4"/>
  <c r="A452" i="4"/>
  <c r="B434" i="4"/>
  <c r="A434" i="4"/>
  <c r="B433" i="4"/>
  <c r="A433" i="4"/>
  <c r="B432" i="4"/>
  <c r="A432" i="4"/>
  <c r="B431" i="4"/>
  <c r="A431" i="4"/>
  <c r="B430" i="4"/>
  <c r="A430" i="4"/>
  <c r="B429" i="4"/>
  <c r="A429" i="4"/>
  <c r="B428" i="4"/>
  <c r="A428" i="4"/>
  <c r="B427" i="4"/>
  <c r="A427" i="4"/>
  <c r="B410" i="4"/>
  <c r="A410" i="4"/>
  <c r="B409" i="4"/>
  <c r="A409" i="4"/>
  <c r="B408" i="4"/>
  <c r="A408" i="4"/>
  <c r="B407" i="4"/>
  <c r="A407" i="4"/>
  <c r="B406" i="4"/>
  <c r="A406" i="4"/>
  <c r="B405" i="4"/>
  <c r="A405" i="4"/>
  <c r="B404" i="4"/>
  <c r="A404" i="4"/>
  <c r="B403" i="4"/>
  <c r="A403" i="4"/>
  <c r="B386" i="4"/>
  <c r="A386" i="4"/>
  <c r="B385" i="4"/>
  <c r="A385" i="4"/>
  <c r="B384" i="4"/>
  <c r="A384" i="4"/>
  <c r="B383" i="4"/>
  <c r="A383" i="4"/>
  <c r="B382" i="4"/>
  <c r="A382" i="4"/>
  <c r="B381" i="4"/>
  <c r="A381" i="4"/>
  <c r="B380" i="4"/>
  <c r="A380" i="4"/>
  <c r="B379" i="4"/>
  <c r="A379" i="4"/>
  <c r="B362" i="4"/>
  <c r="A362" i="4"/>
  <c r="B361" i="4"/>
  <c r="A361" i="4"/>
  <c r="B360" i="4"/>
  <c r="A360" i="4"/>
  <c r="B359" i="4"/>
  <c r="A359" i="4"/>
  <c r="B358" i="4"/>
  <c r="A358" i="4"/>
  <c r="B357" i="4"/>
  <c r="A357" i="4"/>
  <c r="B356" i="4"/>
  <c r="A356" i="4"/>
  <c r="B355" i="4"/>
  <c r="A355" i="4"/>
  <c r="B338" i="4"/>
  <c r="A338" i="4"/>
  <c r="B337" i="4"/>
  <c r="A337" i="4"/>
  <c r="B336" i="4"/>
  <c r="A336" i="4"/>
  <c r="B335" i="4"/>
  <c r="A335" i="4"/>
  <c r="B334" i="4"/>
  <c r="A334" i="4"/>
  <c r="B333" i="4"/>
  <c r="A333" i="4"/>
  <c r="B332" i="4"/>
  <c r="A332" i="4"/>
  <c r="B331" i="4"/>
  <c r="A331" i="4"/>
  <c r="B314" i="4"/>
  <c r="A314" i="4"/>
  <c r="B313" i="4"/>
  <c r="A313" i="4"/>
  <c r="B312" i="4"/>
  <c r="A312" i="4"/>
  <c r="B311" i="4"/>
  <c r="A311" i="4"/>
  <c r="B310" i="4"/>
  <c r="A310" i="4"/>
  <c r="B309" i="4"/>
  <c r="A309" i="4"/>
  <c r="B308" i="4"/>
  <c r="A308" i="4"/>
  <c r="B307" i="4"/>
  <c r="A307" i="4"/>
  <c r="B290" i="4"/>
  <c r="A290" i="4"/>
  <c r="B289" i="4"/>
  <c r="A289" i="4"/>
  <c r="B288" i="4"/>
  <c r="A288" i="4"/>
  <c r="B287" i="4"/>
  <c r="A287" i="4"/>
  <c r="B286" i="4"/>
  <c r="A286" i="4"/>
  <c r="B285" i="4"/>
  <c r="A285" i="4"/>
  <c r="B284" i="4"/>
  <c r="A284" i="4"/>
  <c r="B283" i="4"/>
  <c r="A283" i="4"/>
  <c r="B266" i="4"/>
  <c r="A266" i="4"/>
  <c r="B265" i="4"/>
  <c r="A265" i="4"/>
  <c r="B264" i="4"/>
  <c r="A264" i="4"/>
  <c r="B263" i="4"/>
  <c r="A263" i="4"/>
  <c r="B262" i="4"/>
  <c r="A262" i="4"/>
  <c r="B261" i="4"/>
  <c r="A261" i="4"/>
  <c r="B260" i="4"/>
  <c r="A260" i="4"/>
  <c r="B259" i="4"/>
  <c r="A259" i="4"/>
  <c r="B242" i="4"/>
  <c r="A242" i="4"/>
  <c r="B241" i="4"/>
  <c r="A241" i="4"/>
  <c r="B240" i="4"/>
  <c r="A240" i="4"/>
  <c r="B239" i="4"/>
  <c r="A239" i="4"/>
  <c r="B238" i="4"/>
  <c r="A238" i="4"/>
  <c r="B237" i="4"/>
  <c r="A237" i="4"/>
  <c r="B236" i="4"/>
  <c r="A236" i="4"/>
  <c r="B235" i="4"/>
  <c r="A235" i="4"/>
  <c r="B218" i="4"/>
  <c r="A218" i="4"/>
  <c r="B217" i="4"/>
  <c r="A217" i="4"/>
  <c r="B216" i="4"/>
  <c r="A216" i="4"/>
  <c r="B215" i="4"/>
  <c r="A215" i="4"/>
  <c r="B214" i="4"/>
  <c r="A214" i="4"/>
  <c r="B213" i="4"/>
  <c r="A213" i="4"/>
  <c r="B212" i="4"/>
  <c r="A212" i="4"/>
  <c r="B211" i="4"/>
  <c r="A211" i="4"/>
  <c r="B194" i="4"/>
  <c r="A194" i="4"/>
  <c r="B193" i="4"/>
  <c r="A193" i="4"/>
  <c r="B192" i="4"/>
  <c r="A192" i="4"/>
  <c r="B191" i="4"/>
  <c r="A191" i="4"/>
  <c r="B190" i="4"/>
  <c r="A190" i="4"/>
  <c r="B189" i="4"/>
  <c r="A189" i="4"/>
  <c r="B188" i="4"/>
  <c r="A188" i="4"/>
  <c r="B187" i="4"/>
  <c r="A187" i="4"/>
  <c r="B170" i="4"/>
  <c r="A170" i="4"/>
  <c r="B169" i="4"/>
  <c r="A169" i="4"/>
  <c r="B168" i="4"/>
  <c r="A168" i="4"/>
  <c r="B167" i="4"/>
  <c r="A167" i="4"/>
  <c r="B166" i="4"/>
  <c r="A166" i="4"/>
  <c r="B165" i="4"/>
  <c r="A165" i="4"/>
  <c r="B164" i="4"/>
  <c r="A164" i="4"/>
  <c r="B163" i="4"/>
  <c r="A163" i="4"/>
  <c r="L137" i="4"/>
  <c r="K137" i="4"/>
  <c r="L136" i="4"/>
  <c r="K136" i="4"/>
  <c r="L135" i="4"/>
  <c r="K135" i="4"/>
  <c r="L134" i="4"/>
  <c r="K134" i="4"/>
  <c r="L133" i="4"/>
  <c r="K133" i="4"/>
  <c r="L132" i="4"/>
  <c r="K132" i="4"/>
  <c r="L131" i="4"/>
  <c r="K131" i="4"/>
  <c r="M130" i="4"/>
  <c r="L130" i="4"/>
  <c r="K130" i="4"/>
  <c r="J130" i="4"/>
  <c r="L129" i="4"/>
  <c r="K129" i="4"/>
  <c r="L128" i="4"/>
  <c r="K128" i="4"/>
  <c r="L127" i="4"/>
  <c r="K127" i="4"/>
  <c r="L126" i="4"/>
  <c r="K126" i="4"/>
  <c r="L125" i="4"/>
  <c r="K125" i="4"/>
  <c r="L124" i="4"/>
  <c r="K124" i="4"/>
  <c r="L123" i="4"/>
  <c r="K123" i="4"/>
  <c r="M122" i="4"/>
  <c r="L122" i="4"/>
  <c r="K122" i="4"/>
  <c r="J122" i="4"/>
  <c r="L121" i="4"/>
  <c r="K121" i="4"/>
  <c r="L120" i="4"/>
  <c r="K120" i="4"/>
  <c r="L119" i="4"/>
  <c r="K119" i="4"/>
  <c r="L118" i="4"/>
  <c r="K118" i="4"/>
  <c r="L117" i="4"/>
  <c r="K117" i="4"/>
  <c r="L116" i="4"/>
  <c r="K116" i="4"/>
  <c r="L115" i="4"/>
  <c r="K115" i="4"/>
  <c r="M114" i="4"/>
  <c r="L114" i="4"/>
  <c r="K114" i="4"/>
  <c r="J114" i="4"/>
  <c r="L113" i="4"/>
  <c r="K113" i="4"/>
  <c r="L112" i="4"/>
  <c r="K112" i="4"/>
  <c r="L111" i="4"/>
  <c r="K111" i="4"/>
  <c r="L110" i="4"/>
  <c r="K110" i="4"/>
  <c r="L109" i="4"/>
  <c r="K109" i="4"/>
  <c r="L108" i="4"/>
  <c r="K108" i="4"/>
  <c r="L107" i="4"/>
  <c r="K107" i="4"/>
  <c r="M106" i="4"/>
  <c r="L106" i="4"/>
  <c r="K106" i="4"/>
  <c r="J106" i="4"/>
  <c r="L105" i="4"/>
  <c r="K105" i="4"/>
  <c r="L104" i="4"/>
  <c r="K104" i="4"/>
  <c r="L103" i="4"/>
  <c r="K103" i="4"/>
  <c r="L102" i="4"/>
  <c r="K102" i="4"/>
  <c r="L101" i="4"/>
  <c r="K101" i="4"/>
  <c r="L100" i="4"/>
  <c r="K100" i="4"/>
  <c r="L99" i="4"/>
  <c r="K99" i="4"/>
  <c r="M98" i="4"/>
  <c r="L98" i="4"/>
  <c r="K98" i="4"/>
  <c r="J98" i="4"/>
  <c r="L97" i="4"/>
  <c r="K97" i="4"/>
  <c r="L96" i="4"/>
  <c r="K96" i="4"/>
  <c r="L95" i="4"/>
  <c r="K95" i="4"/>
  <c r="L94" i="4"/>
  <c r="K94" i="4"/>
  <c r="L93" i="4"/>
  <c r="K93" i="4"/>
  <c r="L92" i="4"/>
  <c r="K92" i="4"/>
  <c r="L91" i="4"/>
  <c r="K91" i="4"/>
  <c r="M90" i="4"/>
  <c r="L90" i="4"/>
  <c r="K90" i="4"/>
  <c r="J90" i="4"/>
  <c r="L89" i="4"/>
  <c r="K89" i="4"/>
  <c r="L88" i="4"/>
  <c r="K88" i="4"/>
  <c r="L87" i="4"/>
  <c r="K87" i="4"/>
  <c r="L86" i="4"/>
  <c r="K86" i="4"/>
  <c r="L85" i="4"/>
  <c r="K85" i="4"/>
  <c r="L84" i="4"/>
  <c r="K84" i="4"/>
  <c r="L83" i="4"/>
  <c r="K83" i="4"/>
  <c r="M82" i="4"/>
  <c r="L82" i="4"/>
  <c r="K82" i="4"/>
  <c r="J82" i="4"/>
  <c r="L81" i="4"/>
  <c r="K81" i="4"/>
  <c r="L80" i="4"/>
  <c r="K80" i="4"/>
  <c r="L79" i="4"/>
  <c r="K79" i="4"/>
  <c r="L78" i="4"/>
  <c r="K78" i="4"/>
  <c r="L77" i="4"/>
  <c r="K77" i="4"/>
  <c r="L76" i="4"/>
  <c r="K76" i="4"/>
  <c r="L75" i="4"/>
  <c r="K75" i="4"/>
  <c r="M74" i="4"/>
  <c r="L74" i="4"/>
  <c r="K74" i="4"/>
  <c r="J74" i="4"/>
  <c r="L73" i="4"/>
  <c r="K73" i="4"/>
  <c r="L72" i="4"/>
  <c r="K72" i="4"/>
  <c r="L71" i="4"/>
  <c r="K71" i="4"/>
  <c r="L70" i="4"/>
  <c r="K70" i="4"/>
  <c r="L69" i="4"/>
  <c r="K69" i="4"/>
  <c r="L68" i="4"/>
  <c r="K68" i="4"/>
  <c r="L67" i="4"/>
  <c r="K67" i="4"/>
  <c r="M66" i="4"/>
  <c r="L66" i="4"/>
  <c r="K66" i="4"/>
  <c r="J66" i="4"/>
  <c r="L65" i="4"/>
  <c r="K65" i="4"/>
  <c r="L64" i="4"/>
  <c r="K64" i="4"/>
  <c r="L63" i="4"/>
  <c r="K63" i="4"/>
  <c r="L62" i="4"/>
  <c r="K62" i="4"/>
  <c r="L61" i="4"/>
  <c r="K61" i="4"/>
  <c r="L60" i="4"/>
  <c r="K60" i="4"/>
  <c r="L59" i="4"/>
  <c r="K59" i="4"/>
  <c r="M58" i="4"/>
  <c r="L58" i="4"/>
  <c r="K58" i="4"/>
  <c r="J58" i="4"/>
  <c r="L57" i="4"/>
  <c r="K57" i="4"/>
  <c r="L56" i="4"/>
  <c r="K56" i="4"/>
  <c r="L55" i="4"/>
  <c r="K55" i="4"/>
  <c r="L54" i="4"/>
  <c r="K54" i="4"/>
  <c r="L53" i="4"/>
  <c r="K53" i="4"/>
  <c r="L52" i="4"/>
  <c r="K52" i="4"/>
  <c r="L51" i="4"/>
  <c r="K51" i="4"/>
  <c r="M50" i="4"/>
  <c r="L50" i="4"/>
  <c r="K50" i="4"/>
  <c r="J50" i="4"/>
  <c r="L49" i="4"/>
  <c r="K49" i="4"/>
  <c r="L48" i="4"/>
  <c r="K48" i="4"/>
  <c r="L47" i="4"/>
  <c r="K47" i="4"/>
  <c r="L46" i="4"/>
  <c r="K46" i="4"/>
  <c r="L45" i="4"/>
  <c r="K45" i="4"/>
  <c r="L44" i="4"/>
  <c r="K44" i="4"/>
  <c r="L43" i="4"/>
  <c r="K43" i="4"/>
  <c r="M42" i="4"/>
  <c r="L42" i="4"/>
  <c r="K42" i="4"/>
  <c r="J42" i="4"/>
  <c r="D137" i="4"/>
  <c r="C137" i="4"/>
  <c r="D136" i="4"/>
  <c r="C136" i="4"/>
  <c r="D135" i="4"/>
  <c r="C135" i="4"/>
  <c r="D134" i="4"/>
  <c r="C134" i="4"/>
  <c r="D133" i="4"/>
  <c r="C133" i="4"/>
  <c r="D132" i="4"/>
  <c r="C132" i="4"/>
  <c r="D131" i="4"/>
  <c r="C131" i="4"/>
  <c r="E130" i="4"/>
  <c r="D130" i="4"/>
  <c r="C130" i="4"/>
  <c r="B130" i="4"/>
  <c r="D129" i="4"/>
  <c r="C129" i="4"/>
  <c r="D128" i="4"/>
  <c r="C128" i="4"/>
  <c r="D127" i="4"/>
  <c r="C127" i="4"/>
  <c r="D126" i="4"/>
  <c r="C126" i="4"/>
  <c r="D125" i="4"/>
  <c r="C125" i="4"/>
  <c r="D124" i="4"/>
  <c r="C124" i="4"/>
  <c r="D123" i="4"/>
  <c r="C123" i="4"/>
  <c r="E122" i="4"/>
  <c r="D122" i="4"/>
  <c r="C122" i="4"/>
  <c r="B122" i="4"/>
  <c r="D121" i="4"/>
  <c r="C121" i="4"/>
  <c r="D120" i="4"/>
  <c r="C120" i="4"/>
  <c r="D119" i="4"/>
  <c r="C119" i="4"/>
  <c r="D118" i="4"/>
  <c r="C118" i="4"/>
  <c r="D117" i="4"/>
  <c r="C117" i="4"/>
  <c r="D116" i="4"/>
  <c r="C116" i="4"/>
  <c r="D115" i="4"/>
  <c r="C115" i="4"/>
  <c r="E114" i="4"/>
  <c r="D114" i="4"/>
  <c r="C114" i="4"/>
  <c r="B114" i="4"/>
  <c r="D113" i="4"/>
  <c r="C113" i="4"/>
  <c r="D112" i="4"/>
  <c r="C112" i="4"/>
  <c r="D111" i="4"/>
  <c r="C111" i="4"/>
  <c r="D110" i="4"/>
  <c r="C110" i="4"/>
  <c r="D109" i="4"/>
  <c r="C109" i="4"/>
  <c r="D108" i="4"/>
  <c r="C108" i="4"/>
  <c r="D107" i="4"/>
  <c r="C107" i="4"/>
  <c r="E106" i="4"/>
  <c r="D106" i="4"/>
  <c r="C106" i="4"/>
  <c r="B106" i="4"/>
  <c r="D105" i="4"/>
  <c r="C105" i="4"/>
  <c r="D104" i="4"/>
  <c r="C104" i="4"/>
  <c r="D103" i="4"/>
  <c r="C103" i="4"/>
  <c r="D102" i="4"/>
  <c r="C102" i="4"/>
  <c r="D101" i="4"/>
  <c r="C101" i="4"/>
  <c r="D100" i="4"/>
  <c r="C100" i="4"/>
  <c r="D99" i="4"/>
  <c r="C99" i="4"/>
  <c r="E98" i="4"/>
  <c r="D98" i="4"/>
  <c r="C98" i="4"/>
  <c r="B98" i="4"/>
  <c r="D97" i="4"/>
  <c r="C97" i="4"/>
  <c r="D96" i="4"/>
  <c r="C96" i="4"/>
  <c r="D95" i="4"/>
  <c r="C95" i="4"/>
  <c r="D94" i="4"/>
  <c r="C94" i="4"/>
  <c r="D93" i="4"/>
  <c r="C93" i="4"/>
  <c r="D92" i="4"/>
  <c r="C92" i="4"/>
  <c r="D91" i="4"/>
  <c r="C91" i="4"/>
  <c r="E90" i="4"/>
  <c r="D90" i="4"/>
  <c r="C90" i="4"/>
  <c r="B90" i="4"/>
  <c r="D89" i="4"/>
  <c r="C89" i="4"/>
  <c r="D88" i="4"/>
  <c r="C88" i="4"/>
  <c r="D87" i="4"/>
  <c r="C87" i="4"/>
  <c r="D86" i="4"/>
  <c r="C86" i="4"/>
  <c r="D85" i="4"/>
  <c r="C85" i="4"/>
  <c r="D84" i="4"/>
  <c r="C84" i="4"/>
  <c r="D83" i="4"/>
  <c r="C83" i="4"/>
  <c r="E82" i="4"/>
  <c r="D82" i="4"/>
  <c r="C82" i="4"/>
  <c r="B82" i="4"/>
  <c r="D81" i="4"/>
  <c r="C81" i="4"/>
  <c r="D80" i="4"/>
  <c r="C80" i="4"/>
  <c r="D79" i="4"/>
  <c r="C79" i="4"/>
  <c r="D78" i="4"/>
  <c r="C78" i="4"/>
  <c r="D77" i="4"/>
  <c r="C77" i="4"/>
  <c r="D76" i="4"/>
  <c r="C76" i="4"/>
  <c r="D75" i="4"/>
  <c r="C75" i="4"/>
  <c r="E74" i="4"/>
  <c r="D74" i="4"/>
  <c r="C74" i="4"/>
  <c r="B74" i="4"/>
  <c r="D73" i="4"/>
  <c r="C73" i="4"/>
  <c r="D72" i="4"/>
  <c r="C72" i="4"/>
  <c r="D71" i="4"/>
  <c r="C71" i="4"/>
  <c r="D70" i="4"/>
  <c r="C70" i="4"/>
  <c r="D69" i="4"/>
  <c r="C69" i="4"/>
  <c r="D68" i="4"/>
  <c r="C68" i="4"/>
  <c r="D67" i="4"/>
  <c r="C67" i="4"/>
  <c r="E66" i="4"/>
  <c r="D66" i="4"/>
  <c r="C66" i="4"/>
  <c r="B66" i="4"/>
  <c r="D65" i="4"/>
  <c r="C65" i="4"/>
  <c r="D64" i="4"/>
  <c r="C64" i="4"/>
  <c r="D63" i="4"/>
  <c r="C63" i="4"/>
  <c r="D62" i="4"/>
  <c r="C62" i="4"/>
  <c r="D61" i="4"/>
  <c r="C61" i="4"/>
  <c r="D60" i="4"/>
  <c r="C60" i="4"/>
  <c r="D59" i="4"/>
  <c r="C59" i="4"/>
  <c r="E58" i="4"/>
  <c r="D58" i="4"/>
  <c r="C58" i="4"/>
  <c r="B58" i="4"/>
  <c r="D57" i="4"/>
  <c r="C57" i="4"/>
  <c r="D56" i="4"/>
  <c r="C56" i="4"/>
  <c r="D55" i="4"/>
  <c r="C55" i="4"/>
  <c r="D54" i="4"/>
  <c r="C54" i="4"/>
  <c r="D53" i="4"/>
  <c r="C53" i="4"/>
  <c r="D52" i="4"/>
  <c r="C52" i="4"/>
  <c r="D51" i="4"/>
  <c r="C51" i="4"/>
  <c r="E50" i="4"/>
  <c r="D50" i="4"/>
  <c r="C50" i="4"/>
  <c r="B50" i="4"/>
  <c r="D49" i="4"/>
  <c r="C49" i="4"/>
  <c r="D48" i="4"/>
  <c r="C48" i="4"/>
  <c r="D47" i="4"/>
  <c r="C47" i="4"/>
  <c r="D46" i="4"/>
  <c r="C46" i="4"/>
  <c r="D45" i="4"/>
  <c r="C45" i="4"/>
  <c r="D44" i="4"/>
  <c r="C44" i="4"/>
  <c r="D43" i="4"/>
  <c r="C43" i="4"/>
  <c r="E42" i="4"/>
  <c r="D42" i="4"/>
  <c r="C42" i="4"/>
  <c r="B42" i="4"/>
  <c r="J130" i="1" l="1"/>
  <c r="J122" i="1"/>
  <c r="J114" i="1"/>
  <c r="J106" i="1"/>
  <c r="J98" i="1"/>
  <c r="J90" i="1"/>
  <c r="J82" i="1"/>
  <c r="J74" i="1"/>
  <c r="J66" i="1"/>
  <c r="J58" i="1"/>
  <c r="J50" i="1"/>
  <c r="J42" i="1"/>
  <c r="B130" i="1"/>
  <c r="B122" i="1"/>
  <c r="B114" i="1"/>
  <c r="B106" i="1"/>
  <c r="B98" i="1"/>
  <c r="B90" i="1"/>
  <c r="B82" i="1"/>
  <c r="B74" i="1"/>
  <c r="B66" i="1"/>
  <c r="B58" i="1"/>
  <c r="B50" i="1"/>
  <c r="B42" i="1"/>
  <c r="B723" i="1" l="1"/>
  <c r="A723" i="1"/>
  <c r="B722" i="1"/>
  <c r="A722" i="1"/>
  <c r="B721" i="1"/>
  <c r="A721" i="1"/>
  <c r="B720" i="1"/>
  <c r="A720" i="1"/>
  <c r="B719" i="1"/>
  <c r="A719" i="1"/>
  <c r="B718" i="1"/>
  <c r="A718" i="1"/>
  <c r="B717" i="1"/>
  <c r="A717" i="1"/>
  <c r="B716" i="1"/>
  <c r="A716" i="1"/>
  <c r="B699" i="1"/>
  <c r="A699" i="1"/>
  <c r="B698" i="1"/>
  <c r="A698" i="1"/>
  <c r="B697" i="1"/>
  <c r="A697" i="1"/>
  <c r="B696" i="1"/>
  <c r="A696" i="1"/>
  <c r="B695" i="1"/>
  <c r="A695" i="1"/>
  <c r="B694" i="1"/>
  <c r="A694" i="1"/>
  <c r="B693" i="1"/>
  <c r="A693" i="1"/>
  <c r="B692" i="1"/>
  <c r="A692" i="1"/>
  <c r="B675" i="1"/>
  <c r="A675" i="1"/>
  <c r="B674" i="1"/>
  <c r="A674" i="1"/>
  <c r="B673" i="1"/>
  <c r="A673" i="1"/>
  <c r="B672" i="1"/>
  <c r="A672" i="1"/>
  <c r="B671" i="1"/>
  <c r="A671" i="1"/>
  <c r="B670" i="1"/>
  <c r="A670" i="1"/>
  <c r="B669" i="1"/>
  <c r="A669" i="1"/>
  <c r="B668" i="1"/>
  <c r="A668" i="1"/>
  <c r="B651" i="1"/>
  <c r="A651" i="1"/>
  <c r="B650" i="1"/>
  <c r="A650" i="1"/>
  <c r="B649" i="1"/>
  <c r="A649" i="1"/>
  <c r="B648" i="1"/>
  <c r="A648" i="1"/>
  <c r="B647" i="1"/>
  <c r="A647" i="1"/>
  <c r="B646" i="1"/>
  <c r="A646" i="1"/>
  <c r="B645" i="1"/>
  <c r="A645" i="1"/>
  <c r="B644" i="1"/>
  <c r="A644" i="1"/>
  <c r="B627" i="1"/>
  <c r="A627" i="1"/>
  <c r="B626" i="1"/>
  <c r="A626" i="1"/>
  <c r="B625" i="1"/>
  <c r="A625" i="1"/>
  <c r="B624" i="1"/>
  <c r="A624" i="1"/>
  <c r="B623" i="1"/>
  <c r="A623" i="1"/>
  <c r="B622" i="1"/>
  <c r="A622" i="1"/>
  <c r="B621" i="1"/>
  <c r="A621" i="1"/>
  <c r="B620" i="1"/>
  <c r="A620" i="1"/>
  <c r="B603" i="1"/>
  <c r="A603" i="1"/>
  <c r="B602" i="1"/>
  <c r="A602" i="1"/>
  <c r="B601" i="1"/>
  <c r="A601" i="1"/>
  <c r="B600" i="1"/>
  <c r="A600" i="1"/>
  <c r="B599" i="1"/>
  <c r="A599" i="1"/>
  <c r="B598" i="1"/>
  <c r="A598" i="1"/>
  <c r="B597" i="1"/>
  <c r="A597" i="1"/>
  <c r="B596" i="1"/>
  <c r="A596" i="1"/>
  <c r="B579" i="1"/>
  <c r="A579" i="1"/>
  <c r="B578" i="1"/>
  <c r="A578" i="1"/>
  <c r="B577" i="1"/>
  <c r="A577" i="1"/>
  <c r="B576" i="1"/>
  <c r="A576" i="1"/>
  <c r="B575" i="1"/>
  <c r="A575" i="1"/>
  <c r="B574" i="1"/>
  <c r="A574" i="1"/>
  <c r="B573" i="1"/>
  <c r="A573" i="1"/>
  <c r="B572" i="1"/>
  <c r="A572" i="1"/>
  <c r="B555" i="1"/>
  <c r="A555" i="1"/>
  <c r="B554" i="1"/>
  <c r="A554" i="1"/>
  <c r="B553" i="1"/>
  <c r="A553" i="1"/>
  <c r="B552" i="1"/>
  <c r="A552" i="1"/>
  <c r="B551" i="1"/>
  <c r="A551" i="1"/>
  <c r="B550" i="1"/>
  <c r="A550" i="1"/>
  <c r="B549" i="1"/>
  <c r="A549" i="1"/>
  <c r="B548" i="1"/>
  <c r="A548" i="1"/>
  <c r="B531" i="1"/>
  <c r="A531" i="1"/>
  <c r="B530" i="1"/>
  <c r="A530" i="1"/>
  <c r="B529" i="1"/>
  <c r="A529" i="1"/>
  <c r="B528" i="1"/>
  <c r="A528" i="1"/>
  <c r="B527" i="1"/>
  <c r="A527" i="1"/>
  <c r="B526" i="1"/>
  <c r="A526" i="1"/>
  <c r="B525" i="1"/>
  <c r="A525" i="1"/>
  <c r="B524" i="1"/>
  <c r="A524" i="1"/>
  <c r="B507" i="1"/>
  <c r="A507" i="1"/>
  <c r="B506" i="1"/>
  <c r="A506" i="1"/>
  <c r="B505" i="1"/>
  <c r="A505" i="1"/>
  <c r="B504" i="1"/>
  <c r="A504" i="1"/>
  <c r="B503" i="1"/>
  <c r="A503" i="1"/>
  <c r="B502" i="1"/>
  <c r="A502" i="1"/>
  <c r="B501" i="1"/>
  <c r="A501" i="1"/>
  <c r="B500" i="1"/>
  <c r="A500" i="1"/>
  <c r="B483" i="1"/>
  <c r="A483" i="1"/>
  <c r="B482" i="1"/>
  <c r="A482" i="1"/>
  <c r="B481" i="1"/>
  <c r="A481" i="1"/>
  <c r="B480" i="1"/>
  <c r="A480" i="1"/>
  <c r="B479" i="1"/>
  <c r="A479" i="1"/>
  <c r="B478" i="1"/>
  <c r="A478" i="1"/>
  <c r="B477" i="1"/>
  <c r="A477" i="1"/>
  <c r="B476" i="1"/>
  <c r="A476" i="1"/>
  <c r="B459" i="1"/>
  <c r="A459" i="1"/>
  <c r="B458" i="1"/>
  <c r="A458" i="1"/>
  <c r="B457" i="1"/>
  <c r="A457" i="1"/>
  <c r="B456" i="1"/>
  <c r="A456" i="1"/>
  <c r="B455" i="1"/>
  <c r="A455" i="1"/>
  <c r="B454" i="1"/>
  <c r="A454" i="1"/>
  <c r="B453" i="1"/>
  <c r="A453" i="1"/>
  <c r="B452" i="1"/>
  <c r="A452" i="1"/>
  <c r="B434" i="1"/>
  <c r="A434" i="1"/>
  <c r="B433" i="1"/>
  <c r="A433" i="1"/>
  <c r="B432" i="1"/>
  <c r="A432" i="1"/>
  <c r="B431" i="1"/>
  <c r="A431" i="1"/>
  <c r="B430" i="1"/>
  <c r="A430" i="1"/>
  <c r="B429" i="1"/>
  <c r="A429" i="1"/>
  <c r="B428" i="1"/>
  <c r="A428" i="1"/>
  <c r="B427" i="1"/>
  <c r="A427" i="1"/>
  <c r="B410" i="1"/>
  <c r="A410" i="1"/>
  <c r="B409" i="1"/>
  <c r="A409" i="1"/>
  <c r="B408" i="1"/>
  <c r="A408" i="1"/>
  <c r="B407" i="1"/>
  <c r="A407" i="1"/>
  <c r="B406" i="1"/>
  <c r="A406" i="1"/>
  <c r="B405" i="1"/>
  <c r="A405" i="1"/>
  <c r="B404" i="1"/>
  <c r="A404" i="1"/>
  <c r="B403" i="1"/>
  <c r="A403" i="1"/>
  <c r="B386" i="1"/>
  <c r="A386" i="1"/>
  <c r="B385" i="1"/>
  <c r="A385" i="1"/>
  <c r="B384" i="1"/>
  <c r="A384" i="1"/>
  <c r="B383" i="1"/>
  <c r="A383" i="1"/>
  <c r="B382" i="1"/>
  <c r="A382" i="1"/>
  <c r="B381" i="1"/>
  <c r="A381" i="1"/>
  <c r="B380" i="1"/>
  <c r="A380" i="1"/>
  <c r="B379" i="1"/>
  <c r="A379" i="1"/>
  <c r="B362" i="1"/>
  <c r="A362" i="1"/>
  <c r="B361" i="1"/>
  <c r="A361" i="1"/>
  <c r="B360" i="1"/>
  <c r="A360" i="1"/>
  <c r="B359" i="1"/>
  <c r="A359" i="1"/>
  <c r="B358" i="1"/>
  <c r="A358" i="1"/>
  <c r="B357" i="1"/>
  <c r="A357" i="1"/>
  <c r="B356" i="1"/>
  <c r="A356" i="1"/>
  <c r="B355" i="1"/>
  <c r="A355" i="1"/>
  <c r="B338" i="1"/>
  <c r="A338" i="1"/>
  <c r="B337" i="1"/>
  <c r="A337" i="1"/>
  <c r="B336" i="1"/>
  <c r="A336" i="1"/>
  <c r="B335" i="1"/>
  <c r="A335" i="1"/>
  <c r="B334" i="1"/>
  <c r="A334" i="1"/>
  <c r="B333" i="1"/>
  <c r="A333" i="1"/>
  <c r="B332" i="1"/>
  <c r="A332" i="1"/>
  <c r="B331" i="1"/>
  <c r="A331" i="1"/>
  <c r="B314" i="1"/>
  <c r="A314" i="1"/>
  <c r="B313" i="1"/>
  <c r="A313" i="1"/>
  <c r="B312" i="1"/>
  <c r="A312" i="1"/>
  <c r="B311" i="1"/>
  <c r="A311" i="1"/>
  <c r="B310" i="1"/>
  <c r="A310" i="1"/>
  <c r="B309" i="1"/>
  <c r="A309" i="1"/>
  <c r="B308" i="1"/>
  <c r="A308" i="1"/>
  <c r="B307" i="1"/>
  <c r="A307" i="1"/>
  <c r="B290" i="1"/>
  <c r="A290" i="1"/>
  <c r="B289" i="1"/>
  <c r="A289" i="1"/>
  <c r="B288" i="1"/>
  <c r="A288" i="1"/>
  <c r="B287" i="1"/>
  <c r="A287" i="1"/>
  <c r="B286" i="1"/>
  <c r="A286" i="1"/>
  <c r="B285" i="1"/>
  <c r="A285" i="1"/>
  <c r="B284" i="1"/>
  <c r="A284" i="1"/>
  <c r="B283" i="1"/>
  <c r="A283" i="1"/>
  <c r="B266" i="1"/>
  <c r="A266" i="1"/>
  <c r="B265" i="1"/>
  <c r="A265" i="1"/>
  <c r="B264" i="1"/>
  <c r="A264" i="1"/>
  <c r="B263" i="1"/>
  <c r="A263" i="1"/>
  <c r="B262" i="1"/>
  <c r="A262" i="1"/>
  <c r="B261" i="1"/>
  <c r="A261" i="1"/>
  <c r="B260" i="1"/>
  <c r="A260" i="1"/>
  <c r="B259" i="1"/>
  <c r="A259" i="1"/>
  <c r="B242" i="1"/>
  <c r="A242" i="1"/>
  <c r="B241" i="1"/>
  <c r="A241" i="1"/>
  <c r="B240" i="1"/>
  <c r="A240" i="1"/>
  <c r="B239" i="1"/>
  <c r="A239" i="1"/>
  <c r="B238" i="1"/>
  <c r="A238" i="1"/>
  <c r="B237" i="1"/>
  <c r="A237" i="1"/>
  <c r="B236" i="1"/>
  <c r="A236" i="1"/>
  <c r="B235" i="1"/>
  <c r="A235" i="1"/>
  <c r="B218" i="1"/>
  <c r="A218" i="1"/>
  <c r="B217" i="1"/>
  <c r="A217" i="1"/>
  <c r="B216" i="1"/>
  <c r="A216" i="1"/>
  <c r="B215" i="1"/>
  <c r="A215" i="1"/>
  <c r="B214" i="1"/>
  <c r="A214" i="1"/>
  <c r="B213" i="1"/>
  <c r="A213" i="1"/>
  <c r="B212" i="1"/>
  <c r="A212" i="1"/>
  <c r="B211" i="1"/>
  <c r="A211" i="1"/>
  <c r="B194" i="1"/>
  <c r="A194" i="1"/>
  <c r="B193" i="1"/>
  <c r="A193" i="1"/>
  <c r="B192" i="1"/>
  <c r="A192" i="1"/>
  <c r="B191" i="1"/>
  <c r="A191" i="1"/>
  <c r="B190" i="1"/>
  <c r="A190" i="1"/>
  <c r="B189" i="1"/>
  <c r="A189" i="1"/>
  <c r="B188" i="1"/>
  <c r="A188" i="1"/>
  <c r="B187" i="1"/>
  <c r="A187" i="1"/>
  <c r="B170" i="1"/>
  <c r="A170" i="1"/>
  <c r="B169" i="1"/>
  <c r="A169" i="1"/>
  <c r="B168" i="1"/>
  <c r="A168" i="1"/>
  <c r="B167" i="1"/>
  <c r="A167" i="1"/>
  <c r="B166" i="1"/>
  <c r="A166" i="1"/>
  <c r="B165" i="1"/>
  <c r="A165" i="1"/>
  <c r="B164" i="1"/>
  <c r="A164" i="1"/>
  <c r="B163" i="1"/>
  <c r="A163" i="1"/>
  <c r="L137" i="1"/>
  <c r="K137" i="1"/>
  <c r="L136" i="1"/>
  <c r="K136" i="1"/>
  <c r="L135" i="1"/>
  <c r="K135" i="1"/>
  <c r="L134" i="1"/>
  <c r="K134" i="1"/>
  <c r="L133" i="1"/>
  <c r="K133" i="1"/>
  <c r="L132" i="1"/>
  <c r="K132" i="1"/>
  <c r="L131" i="1"/>
  <c r="K131" i="1"/>
  <c r="M130" i="1"/>
  <c r="L130" i="1"/>
  <c r="K130" i="1"/>
  <c r="L129" i="1"/>
  <c r="K129" i="1"/>
  <c r="L128" i="1"/>
  <c r="K128" i="1"/>
  <c r="L127" i="1"/>
  <c r="K127" i="1"/>
  <c r="L126" i="1"/>
  <c r="K126" i="1"/>
  <c r="L125" i="1"/>
  <c r="K125" i="1"/>
  <c r="L124" i="1"/>
  <c r="K124" i="1"/>
  <c r="L123" i="1"/>
  <c r="K123" i="1"/>
  <c r="M122" i="1"/>
  <c r="L122" i="1"/>
  <c r="K122" i="1"/>
  <c r="L121" i="1"/>
  <c r="K121" i="1"/>
  <c r="L120" i="1"/>
  <c r="K120" i="1"/>
  <c r="L119" i="1"/>
  <c r="K119" i="1"/>
  <c r="L118" i="1"/>
  <c r="K118" i="1"/>
  <c r="L117" i="1"/>
  <c r="K117" i="1"/>
  <c r="L116" i="1"/>
  <c r="K116" i="1"/>
  <c r="L115" i="1"/>
  <c r="K115" i="1"/>
  <c r="M114" i="1"/>
  <c r="L114" i="1"/>
  <c r="K114" i="1"/>
  <c r="L113" i="1"/>
  <c r="K113" i="1"/>
  <c r="L112" i="1"/>
  <c r="K112" i="1"/>
  <c r="L111" i="1"/>
  <c r="K111" i="1"/>
  <c r="L110" i="1"/>
  <c r="K110" i="1"/>
  <c r="L109" i="1"/>
  <c r="K109" i="1"/>
  <c r="L108" i="1"/>
  <c r="K108" i="1"/>
  <c r="L107" i="1"/>
  <c r="K107" i="1"/>
  <c r="M106" i="1"/>
  <c r="L106" i="1"/>
  <c r="K106" i="1"/>
  <c r="L105" i="1"/>
  <c r="K105" i="1"/>
  <c r="L104" i="1"/>
  <c r="K104" i="1"/>
  <c r="L103" i="1"/>
  <c r="K103" i="1"/>
  <c r="L102" i="1"/>
  <c r="K102" i="1"/>
  <c r="L101" i="1"/>
  <c r="K101" i="1"/>
  <c r="L100" i="1"/>
  <c r="K100" i="1"/>
  <c r="L99" i="1"/>
  <c r="K99" i="1"/>
  <c r="M98" i="1"/>
  <c r="L98" i="1"/>
  <c r="K98" i="1"/>
  <c r="L97" i="1"/>
  <c r="K97" i="1"/>
  <c r="L96" i="1"/>
  <c r="K96" i="1"/>
  <c r="L95" i="1"/>
  <c r="K95" i="1"/>
  <c r="L94" i="1"/>
  <c r="K94" i="1"/>
  <c r="L93" i="1"/>
  <c r="K93" i="1"/>
  <c r="L92" i="1"/>
  <c r="K92" i="1"/>
  <c r="L91" i="1"/>
  <c r="K91" i="1"/>
  <c r="M90" i="1"/>
  <c r="L90" i="1"/>
  <c r="K90" i="1"/>
  <c r="L89" i="1"/>
  <c r="K89" i="1"/>
  <c r="L88" i="1"/>
  <c r="K88" i="1"/>
  <c r="L87" i="1"/>
  <c r="K87" i="1"/>
  <c r="L86" i="1"/>
  <c r="K86" i="1"/>
  <c r="L85" i="1"/>
  <c r="K85" i="1"/>
  <c r="L84" i="1"/>
  <c r="K84" i="1"/>
  <c r="L83" i="1"/>
  <c r="K83" i="1"/>
  <c r="M82" i="1"/>
  <c r="L82" i="1"/>
  <c r="K82" i="1"/>
  <c r="L81" i="1"/>
  <c r="K81" i="1"/>
  <c r="L80" i="1"/>
  <c r="K80" i="1"/>
  <c r="L79" i="1"/>
  <c r="K79" i="1"/>
  <c r="L78" i="1"/>
  <c r="K78" i="1"/>
  <c r="L77" i="1"/>
  <c r="K77" i="1"/>
  <c r="L76" i="1"/>
  <c r="K76" i="1"/>
  <c r="L75" i="1"/>
  <c r="K75" i="1"/>
  <c r="M74" i="1"/>
  <c r="L74" i="1"/>
  <c r="K74" i="1"/>
  <c r="L73" i="1"/>
  <c r="K73" i="1"/>
  <c r="L72" i="1"/>
  <c r="K72" i="1"/>
  <c r="L71" i="1"/>
  <c r="K71" i="1"/>
  <c r="L70" i="1"/>
  <c r="K70" i="1"/>
  <c r="L69" i="1"/>
  <c r="K69" i="1"/>
  <c r="L68" i="1"/>
  <c r="K68" i="1"/>
  <c r="L67" i="1"/>
  <c r="K67" i="1"/>
  <c r="M66" i="1"/>
  <c r="L66" i="1"/>
  <c r="K66" i="1"/>
  <c r="L65" i="1"/>
  <c r="K65" i="1"/>
  <c r="L64" i="1"/>
  <c r="K64" i="1"/>
  <c r="L63" i="1"/>
  <c r="K63" i="1"/>
  <c r="L62" i="1"/>
  <c r="K62" i="1"/>
  <c r="L61" i="1"/>
  <c r="K61" i="1"/>
  <c r="L60" i="1"/>
  <c r="K60" i="1"/>
  <c r="L59" i="1"/>
  <c r="K59" i="1"/>
  <c r="M58" i="1"/>
  <c r="L58" i="1"/>
  <c r="K58" i="1"/>
  <c r="L57" i="1"/>
  <c r="K57" i="1"/>
  <c r="L56" i="1"/>
  <c r="K56" i="1"/>
  <c r="L55" i="1"/>
  <c r="K55" i="1"/>
  <c r="L54" i="1"/>
  <c r="K54" i="1"/>
  <c r="L53" i="1"/>
  <c r="K53" i="1"/>
  <c r="L52" i="1"/>
  <c r="K52" i="1"/>
  <c r="L51" i="1"/>
  <c r="K51" i="1"/>
  <c r="M50" i="1"/>
  <c r="L50" i="1"/>
  <c r="K50" i="1"/>
  <c r="L49" i="1"/>
  <c r="K49" i="1"/>
  <c r="L48" i="1"/>
  <c r="K48" i="1"/>
  <c r="L47" i="1"/>
  <c r="K47" i="1"/>
  <c r="L46" i="1"/>
  <c r="K46" i="1"/>
  <c r="L45" i="1"/>
  <c r="K45" i="1"/>
  <c r="L44" i="1"/>
  <c r="K44" i="1"/>
  <c r="L43" i="1"/>
  <c r="K43" i="1"/>
  <c r="M42" i="1"/>
  <c r="L42" i="1"/>
  <c r="K42" i="1"/>
  <c r="D137" i="1"/>
  <c r="C137" i="1"/>
  <c r="D136" i="1"/>
  <c r="C136" i="1"/>
  <c r="D135" i="1"/>
  <c r="C135" i="1"/>
  <c r="D134" i="1"/>
  <c r="C134" i="1"/>
  <c r="D133" i="1"/>
  <c r="C133" i="1"/>
  <c r="D132" i="1"/>
  <c r="C132" i="1"/>
  <c r="D131" i="1"/>
  <c r="C131" i="1"/>
  <c r="E130" i="1"/>
  <c r="D130" i="1"/>
  <c r="C130" i="1"/>
  <c r="D129" i="1"/>
  <c r="C129" i="1"/>
  <c r="D128" i="1"/>
  <c r="C128" i="1"/>
  <c r="D127" i="1"/>
  <c r="C127" i="1"/>
  <c r="D126" i="1"/>
  <c r="C126" i="1"/>
  <c r="D125" i="1"/>
  <c r="C125" i="1"/>
  <c r="D124" i="1"/>
  <c r="C124" i="1"/>
  <c r="D123" i="1"/>
  <c r="C123" i="1"/>
  <c r="E122" i="1"/>
  <c r="D122" i="1"/>
  <c r="C122" i="1"/>
  <c r="D121" i="1"/>
  <c r="C121" i="1"/>
  <c r="D120" i="1"/>
  <c r="C120" i="1"/>
  <c r="D119" i="1"/>
  <c r="C119" i="1"/>
  <c r="D118" i="1"/>
  <c r="C118" i="1"/>
  <c r="D117" i="1"/>
  <c r="C117" i="1"/>
  <c r="D116" i="1"/>
  <c r="C116" i="1"/>
  <c r="D115" i="1"/>
  <c r="C115" i="1"/>
  <c r="E114" i="1"/>
  <c r="D114" i="1"/>
  <c r="C114" i="1"/>
  <c r="D113" i="1"/>
  <c r="C113" i="1"/>
  <c r="D112" i="1"/>
  <c r="C112" i="1"/>
  <c r="D111" i="1"/>
  <c r="C111" i="1"/>
  <c r="D110" i="1"/>
  <c r="C110" i="1"/>
  <c r="D109" i="1"/>
  <c r="C109" i="1"/>
  <c r="D108" i="1"/>
  <c r="C108" i="1"/>
  <c r="D107" i="1"/>
  <c r="C107" i="1"/>
  <c r="E106" i="1"/>
  <c r="D106" i="1"/>
  <c r="C106" i="1"/>
  <c r="D105" i="1"/>
  <c r="C105" i="1"/>
  <c r="D104" i="1"/>
  <c r="C104" i="1"/>
  <c r="D103" i="1"/>
  <c r="C103" i="1"/>
  <c r="D102" i="1"/>
  <c r="C102" i="1"/>
  <c r="D101" i="1"/>
  <c r="C101" i="1"/>
  <c r="D100" i="1"/>
  <c r="C100" i="1"/>
  <c r="D99" i="1"/>
  <c r="C99" i="1"/>
  <c r="E98" i="1"/>
  <c r="D98" i="1"/>
  <c r="C98" i="1"/>
  <c r="D97" i="1"/>
  <c r="C97" i="1"/>
  <c r="D96" i="1"/>
  <c r="C96" i="1"/>
  <c r="D95" i="1"/>
  <c r="C95" i="1"/>
  <c r="D94" i="1"/>
  <c r="C94" i="1"/>
  <c r="D93" i="1"/>
  <c r="C93" i="1"/>
  <c r="D92" i="1"/>
  <c r="C92" i="1"/>
  <c r="D91" i="1"/>
  <c r="C91" i="1"/>
  <c r="E90" i="1"/>
  <c r="D90" i="1"/>
  <c r="C90" i="1"/>
  <c r="D89" i="1"/>
  <c r="C89" i="1"/>
  <c r="D88" i="1"/>
  <c r="C88" i="1"/>
  <c r="D87" i="1"/>
  <c r="C87" i="1"/>
  <c r="D86" i="1"/>
  <c r="C86" i="1"/>
  <c r="D85" i="1"/>
  <c r="C85" i="1"/>
  <c r="D84" i="1"/>
  <c r="C84" i="1"/>
  <c r="D83" i="1"/>
  <c r="C83" i="1"/>
  <c r="E82" i="1"/>
  <c r="D82" i="1"/>
  <c r="C82" i="1"/>
  <c r="D81" i="1"/>
  <c r="C81" i="1"/>
  <c r="D80" i="1"/>
  <c r="C80" i="1"/>
  <c r="D79" i="1"/>
  <c r="C79" i="1"/>
  <c r="D78" i="1"/>
  <c r="C78" i="1"/>
  <c r="D77" i="1"/>
  <c r="C77" i="1"/>
  <c r="D76" i="1"/>
  <c r="C76" i="1"/>
  <c r="D75" i="1"/>
  <c r="C75" i="1"/>
  <c r="E74" i="1"/>
  <c r="D74" i="1"/>
  <c r="C74" i="1"/>
  <c r="D73" i="1"/>
  <c r="C73" i="1"/>
  <c r="D72" i="1"/>
  <c r="C72" i="1"/>
  <c r="D71" i="1"/>
  <c r="C71" i="1"/>
  <c r="D70" i="1"/>
  <c r="C70" i="1"/>
  <c r="D69" i="1"/>
  <c r="C69" i="1"/>
  <c r="D68" i="1"/>
  <c r="C68" i="1"/>
  <c r="D67" i="1"/>
  <c r="C67" i="1"/>
  <c r="E66" i="1"/>
  <c r="D66" i="1"/>
  <c r="C66" i="1"/>
  <c r="D65" i="1"/>
  <c r="C65" i="1"/>
  <c r="D64" i="1"/>
  <c r="C64" i="1"/>
  <c r="D63" i="1"/>
  <c r="C63" i="1"/>
  <c r="D62" i="1"/>
  <c r="C62" i="1"/>
  <c r="D61" i="1"/>
  <c r="C61" i="1"/>
  <c r="D60" i="1"/>
  <c r="C60" i="1"/>
  <c r="D59" i="1"/>
  <c r="C59" i="1"/>
  <c r="E58" i="1"/>
  <c r="D58" i="1"/>
  <c r="C58" i="1"/>
  <c r="D57" i="1"/>
  <c r="C57" i="1"/>
  <c r="D56" i="1"/>
  <c r="C56" i="1"/>
  <c r="D55" i="1"/>
  <c r="C55" i="1"/>
  <c r="D54" i="1"/>
  <c r="C54" i="1"/>
  <c r="D53" i="1"/>
  <c r="C53" i="1"/>
  <c r="D52" i="1"/>
  <c r="C52" i="1"/>
  <c r="D51" i="1"/>
  <c r="C51" i="1"/>
  <c r="E50" i="1"/>
  <c r="D50" i="1"/>
  <c r="C50" i="1"/>
  <c r="D49" i="1"/>
  <c r="C49" i="1"/>
  <c r="D48" i="1"/>
  <c r="C48" i="1"/>
  <c r="D47" i="1"/>
  <c r="C47" i="1"/>
  <c r="D46" i="1"/>
  <c r="C46" i="1"/>
  <c r="D45" i="1"/>
  <c r="C45" i="1"/>
  <c r="D44" i="1"/>
  <c r="C44" i="1"/>
  <c r="D43" i="1"/>
  <c r="C43" i="1"/>
  <c r="E42" i="1"/>
  <c r="D42" i="1"/>
  <c r="C42" i="1"/>
  <c r="P130" i="3"/>
  <c r="P122" i="3"/>
  <c r="P114" i="3"/>
  <c r="P106" i="3"/>
  <c r="P98" i="3"/>
  <c r="P90" i="3"/>
  <c r="P82" i="3"/>
  <c r="P74" i="3"/>
  <c r="P66" i="3"/>
  <c r="P58" i="3"/>
  <c r="P50" i="3"/>
  <c r="P42" i="3"/>
  <c r="H130" i="3"/>
  <c r="H122" i="3"/>
  <c r="H114" i="3"/>
  <c r="H106" i="3"/>
  <c r="H98" i="3"/>
  <c r="H90" i="3"/>
  <c r="H82" i="3"/>
  <c r="H74" i="3"/>
  <c r="H66" i="3"/>
  <c r="H58" i="3"/>
  <c r="H50" i="3"/>
  <c r="H42" i="3"/>
  <c r="M130" i="3"/>
  <c r="M122" i="3"/>
  <c r="M114" i="3"/>
  <c r="M106" i="3"/>
  <c r="M98" i="3"/>
  <c r="M90" i="3"/>
  <c r="M82" i="3"/>
  <c r="M74" i="3"/>
  <c r="M66" i="3"/>
  <c r="M58" i="3"/>
  <c r="M50" i="3"/>
  <c r="M42" i="3"/>
  <c r="E130" i="3"/>
  <c r="E122" i="3"/>
  <c r="E114" i="3"/>
  <c r="E106" i="3"/>
  <c r="E98" i="3"/>
  <c r="E90" i="3"/>
  <c r="E82" i="3"/>
  <c r="E74" i="3"/>
  <c r="E66" i="3"/>
  <c r="E58" i="3"/>
  <c r="E50" i="3"/>
  <c r="E42" i="3"/>
  <c r="O137" i="3" l="1"/>
  <c r="O136" i="3"/>
  <c r="O135" i="3"/>
  <c r="O134" i="3"/>
  <c r="O133" i="3"/>
  <c r="O132" i="3"/>
  <c r="O131" i="3"/>
  <c r="N137" i="3"/>
  <c r="N136" i="3"/>
  <c r="N135" i="3"/>
  <c r="N134" i="3"/>
  <c r="N133" i="3"/>
  <c r="N132" i="3"/>
  <c r="N131" i="3"/>
  <c r="L137" i="3"/>
  <c r="L136" i="3"/>
  <c r="L135" i="3"/>
  <c r="L134" i="3"/>
  <c r="L133" i="3"/>
  <c r="L132" i="3"/>
  <c r="L131" i="3"/>
  <c r="K137" i="3"/>
  <c r="K136" i="3"/>
  <c r="K135" i="3"/>
  <c r="K134" i="3"/>
  <c r="K133" i="3"/>
  <c r="K132" i="3"/>
  <c r="K131" i="3"/>
  <c r="O130" i="3"/>
  <c r="N130" i="3"/>
  <c r="L130" i="3"/>
  <c r="K130" i="3"/>
  <c r="O129" i="3"/>
  <c r="O128" i="3"/>
  <c r="O127" i="3"/>
  <c r="O126" i="3"/>
  <c r="O125" i="3"/>
  <c r="O124" i="3"/>
  <c r="O123" i="3"/>
  <c r="N129" i="3"/>
  <c r="N128" i="3"/>
  <c r="N127" i="3"/>
  <c r="N126" i="3"/>
  <c r="N125" i="3"/>
  <c r="N124" i="3"/>
  <c r="N123" i="3"/>
  <c r="L129" i="3"/>
  <c r="L128" i="3"/>
  <c r="L127" i="3"/>
  <c r="L126" i="3"/>
  <c r="L125" i="3"/>
  <c r="L124" i="3"/>
  <c r="L123" i="3"/>
  <c r="K129" i="3"/>
  <c r="K128" i="3"/>
  <c r="K127" i="3"/>
  <c r="K126" i="3"/>
  <c r="K125" i="3"/>
  <c r="K124" i="3"/>
  <c r="K123" i="3"/>
  <c r="O122" i="3"/>
  <c r="N122" i="3"/>
  <c r="L122" i="3"/>
  <c r="K122" i="3"/>
  <c r="O121" i="3"/>
  <c r="O120" i="3"/>
  <c r="O119" i="3"/>
  <c r="O118" i="3"/>
  <c r="O117" i="3"/>
  <c r="O116" i="3"/>
  <c r="O115" i="3"/>
  <c r="N121" i="3"/>
  <c r="N120" i="3"/>
  <c r="N119" i="3"/>
  <c r="N118" i="3"/>
  <c r="N117" i="3"/>
  <c r="N116" i="3"/>
  <c r="N115" i="3"/>
  <c r="L121" i="3"/>
  <c r="L120" i="3"/>
  <c r="L119" i="3"/>
  <c r="L118" i="3"/>
  <c r="L117" i="3"/>
  <c r="L116" i="3"/>
  <c r="L115" i="3"/>
  <c r="K121" i="3"/>
  <c r="K120" i="3"/>
  <c r="K119" i="3"/>
  <c r="K118" i="3"/>
  <c r="K117" i="3"/>
  <c r="K116" i="3"/>
  <c r="K115" i="3"/>
  <c r="O114" i="3"/>
  <c r="N114" i="3"/>
  <c r="L114" i="3"/>
  <c r="K114" i="3"/>
  <c r="O113" i="3"/>
  <c r="O112" i="3"/>
  <c r="O111" i="3"/>
  <c r="O110" i="3"/>
  <c r="O109" i="3"/>
  <c r="O108" i="3"/>
  <c r="O107" i="3"/>
  <c r="N113" i="3"/>
  <c r="N112" i="3"/>
  <c r="N111" i="3"/>
  <c r="N110" i="3"/>
  <c r="N109" i="3"/>
  <c r="N108" i="3"/>
  <c r="N107" i="3"/>
  <c r="L113" i="3"/>
  <c r="L112" i="3"/>
  <c r="L111" i="3"/>
  <c r="L110" i="3"/>
  <c r="L109" i="3"/>
  <c r="L108" i="3"/>
  <c r="L107" i="3"/>
  <c r="K113" i="3"/>
  <c r="K112" i="3"/>
  <c r="K111" i="3"/>
  <c r="K110" i="3"/>
  <c r="K109" i="3"/>
  <c r="K108" i="3"/>
  <c r="K107" i="3"/>
  <c r="O106" i="3"/>
  <c r="N106" i="3"/>
  <c r="L106" i="3"/>
  <c r="K106" i="3"/>
  <c r="O105" i="3"/>
  <c r="O104" i="3"/>
  <c r="O103" i="3"/>
  <c r="O102" i="3"/>
  <c r="O101" i="3"/>
  <c r="O100" i="3"/>
  <c r="O99" i="3"/>
  <c r="N105" i="3"/>
  <c r="N104" i="3"/>
  <c r="N103" i="3"/>
  <c r="N102" i="3"/>
  <c r="N101" i="3"/>
  <c r="N100" i="3"/>
  <c r="N99" i="3"/>
  <c r="L105" i="3"/>
  <c r="L104" i="3"/>
  <c r="L103" i="3"/>
  <c r="L102" i="3"/>
  <c r="L101" i="3"/>
  <c r="L100" i="3"/>
  <c r="L99" i="3"/>
  <c r="K105" i="3"/>
  <c r="K104" i="3"/>
  <c r="K103" i="3"/>
  <c r="K102" i="3"/>
  <c r="K101" i="3"/>
  <c r="K100" i="3"/>
  <c r="K99" i="3"/>
  <c r="O98" i="3"/>
  <c r="N98" i="3"/>
  <c r="L98" i="3"/>
  <c r="K98" i="3"/>
  <c r="O97" i="3"/>
  <c r="O96" i="3"/>
  <c r="O95" i="3"/>
  <c r="O94" i="3"/>
  <c r="O93" i="3"/>
  <c r="O92" i="3"/>
  <c r="O91" i="3"/>
  <c r="N97" i="3"/>
  <c r="N96" i="3"/>
  <c r="N95" i="3"/>
  <c r="N94" i="3"/>
  <c r="N93" i="3"/>
  <c r="N92" i="3"/>
  <c r="N91" i="3"/>
  <c r="L97" i="3"/>
  <c r="L96" i="3"/>
  <c r="L95" i="3"/>
  <c r="L94" i="3"/>
  <c r="L93" i="3"/>
  <c r="L92" i="3"/>
  <c r="L91" i="3"/>
  <c r="K97" i="3"/>
  <c r="K96" i="3"/>
  <c r="K95" i="3"/>
  <c r="K94" i="3"/>
  <c r="K93" i="3"/>
  <c r="K92" i="3"/>
  <c r="K91" i="3"/>
  <c r="O90" i="3"/>
  <c r="N90" i="3"/>
  <c r="L90" i="3"/>
  <c r="K90" i="3"/>
  <c r="O89" i="3"/>
  <c r="O88" i="3"/>
  <c r="O87" i="3"/>
  <c r="O86" i="3"/>
  <c r="O85" i="3"/>
  <c r="O84" i="3"/>
  <c r="O83" i="3"/>
  <c r="N89" i="3"/>
  <c r="N88" i="3"/>
  <c r="N87" i="3"/>
  <c r="N86" i="3"/>
  <c r="N85" i="3"/>
  <c r="N84" i="3"/>
  <c r="N83" i="3"/>
  <c r="L89" i="3"/>
  <c r="L88" i="3"/>
  <c r="L87" i="3"/>
  <c r="L86" i="3"/>
  <c r="L85" i="3"/>
  <c r="L84" i="3"/>
  <c r="L83" i="3"/>
  <c r="K89" i="3"/>
  <c r="K88" i="3"/>
  <c r="K87" i="3"/>
  <c r="K86" i="3"/>
  <c r="K85" i="3"/>
  <c r="K84" i="3"/>
  <c r="K83" i="3"/>
  <c r="O82" i="3"/>
  <c r="N82" i="3"/>
  <c r="L82" i="3"/>
  <c r="K82" i="3"/>
  <c r="O81" i="3"/>
  <c r="O80" i="3"/>
  <c r="O79" i="3"/>
  <c r="O78" i="3"/>
  <c r="O77" i="3"/>
  <c r="O76" i="3"/>
  <c r="O75" i="3"/>
  <c r="N81" i="3"/>
  <c r="N80" i="3"/>
  <c r="N79" i="3"/>
  <c r="N78" i="3"/>
  <c r="N77" i="3"/>
  <c r="N76" i="3"/>
  <c r="N75" i="3"/>
  <c r="L81" i="3"/>
  <c r="L80" i="3"/>
  <c r="L79" i="3"/>
  <c r="L78" i="3"/>
  <c r="L77" i="3"/>
  <c r="L76" i="3"/>
  <c r="L75" i="3"/>
  <c r="K81" i="3"/>
  <c r="K80" i="3"/>
  <c r="K79" i="3"/>
  <c r="K78" i="3"/>
  <c r="K77" i="3"/>
  <c r="K76" i="3"/>
  <c r="K75" i="3"/>
  <c r="O74" i="3"/>
  <c r="N74" i="3"/>
  <c r="L74" i="3"/>
  <c r="K74" i="3"/>
  <c r="O73" i="3"/>
  <c r="O72" i="3"/>
  <c r="O71" i="3"/>
  <c r="O70" i="3"/>
  <c r="O69" i="3"/>
  <c r="O68" i="3"/>
  <c r="O67" i="3"/>
  <c r="N73" i="3"/>
  <c r="N72" i="3"/>
  <c r="N71" i="3"/>
  <c r="N70" i="3"/>
  <c r="N69" i="3"/>
  <c r="N68" i="3"/>
  <c r="N67" i="3"/>
  <c r="L73" i="3"/>
  <c r="L72" i="3"/>
  <c r="L71" i="3"/>
  <c r="L70" i="3"/>
  <c r="L69" i="3"/>
  <c r="L68" i="3"/>
  <c r="L67" i="3"/>
  <c r="K73" i="3"/>
  <c r="K72" i="3"/>
  <c r="K71" i="3"/>
  <c r="K70" i="3"/>
  <c r="K69" i="3"/>
  <c r="K68" i="3"/>
  <c r="K67" i="3"/>
  <c r="O66" i="3"/>
  <c r="N66" i="3"/>
  <c r="L66" i="3"/>
  <c r="K66" i="3"/>
  <c r="O65" i="3"/>
  <c r="O64" i="3"/>
  <c r="O63" i="3"/>
  <c r="O62" i="3"/>
  <c r="O61" i="3"/>
  <c r="O60" i="3"/>
  <c r="O59" i="3"/>
  <c r="N65" i="3"/>
  <c r="N64" i="3"/>
  <c r="N63" i="3"/>
  <c r="N62" i="3"/>
  <c r="N61" i="3"/>
  <c r="N60" i="3"/>
  <c r="N59" i="3"/>
  <c r="L65" i="3"/>
  <c r="L64" i="3"/>
  <c r="L63" i="3"/>
  <c r="L62" i="3"/>
  <c r="L61" i="3"/>
  <c r="L60" i="3"/>
  <c r="L59" i="3"/>
  <c r="K65" i="3"/>
  <c r="K64" i="3"/>
  <c r="K63" i="3"/>
  <c r="K62" i="3"/>
  <c r="K61" i="3"/>
  <c r="K60" i="3"/>
  <c r="K59" i="3"/>
  <c r="O58" i="3"/>
  <c r="N58" i="3"/>
  <c r="L58" i="3"/>
  <c r="K58" i="3"/>
  <c r="O57" i="3"/>
  <c r="O56" i="3"/>
  <c r="O55" i="3"/>
  <c r="O54" i="3"/>
  <c r="O53" i="3"/>
  <c r="O52" i="3"/>
  <c r="O51" i="3"/>
  <c r="N57" i="3"/>
  <c r="N56" i="3"/>
  <c r="N55" i="3"/>
  <c r="N54" i="3"/>
  <c r="N53" i="3"/>
  <c r="N52" i="3"/>
  <c r="N51" i="3"/>
  <c r="L57" i="3"/>
  <c r="L56" i="3"/>
  <c r="L55" i="3"/>
  <c r="L54" i="3"/>
  <c r="L53" i="3"/>
  <c r="L52" i="3"/>
  <c r="L51" i="3"/>
  <c r="K57" i="3"/>
  <c r="K56" i="3"/>
  <c r="K55" i="3"/>
  <c r="K54" i="3"/>
  <c r="K53" i="3"/>
  <c r="K52" i="3"/>
  <c r="K51" i="3"/>
  <c r="O50" i="3"/>
  <c r="N50" i="3"/>
  <c r="L50" i="3"/>
  <c r="K50" i="3"/>
  <c r="O49" i="3"/>
  <c r="O48" i="3"/>
  <c r="O47" i="3"/>
  <c r="O46" i="3"/>
  <c r="O45" i="3"/>
  <c r="O44" i="3"/>
  <c r="O43" i="3"/>
  <c r="O42" i="3"/>
  <c r="N49" i="3"/>
  <c r="N48" i="3"/>
  <c r="N47" i="3"/>
  <c r="N46" i="3"/>
  <c r="N45" i="3"/>
  <c r="N44" i="3"/>
  <c r="N43" i="3"/>
  <c r="N42" i="3"/>
  <c r="L49" i="3"/>
  <c r="L48" i="3"/>
  <c r="L47" i="3"/>
  <c r="L46" i="3"/>
  <c r="L45" i="3"/>
  <c r="L44" i="3"/>
  <c r="L43" i="3"/>
  <c r="L42" i="3"/>
  <c r="K49" i="3"/>
  <c r="K48" i="3"/>
  <c r="K47" i="3"/>
  <c r="K46" i="3"/>
  <c r="K45" i="3"/>
  <c r="K44" i="3"/>
  <c r="K43" i="3"/>
  <c r="K42" i="3"/>
  <c r="P723" i="3"/>
  <c r="O723" i="3"/>
  <c r="B723" i="3"/>
  <c r="A723" i="3"/>
  <c r="P722" i="3"/>
  <c r="O722" i="3"/>
  <c r="B722" i="3"/>
  <c r="A722" i="3"/>
  <c r="P721" i="3"/>
  <c r="O721" i="3"/>
  <c r="B721" i="3"/>
  <c r="A721" i="3"/>
  <c r="P720" i="3"/>
  <c r="O720" i="3"/>
  <c r="B720" i="3"/>
  <c r="A720" i="3"/>
  <c r="P719" i="3"/>
  <c r="O719" i="3"/>
  <c r="B719" i="3"/>
  <c r="A719" i="3"/>
  <c r="P718" i="3"/>
  <c r="O718" i="3"/>
  <c r="B718" i="3"/>
  <c r="A718" i="3"/>
  <c r="P717" i="3"/>
  <c r="O717" i="3"/>
  <c r="B717" i="3"/>
  <c r="A717" i="3"/>
  <c r="P716" i="3"/>
  <c r="O716" i="3"/>
  <c r="B716" i="3"/>
  <c r="A716" i="3"/>
  <c r="P699" i="3"/>
  <c r="O699" i="3"/>
  <c r="B699" i="3"/>
  <c r="A699" i="3"/>
  <c r="P698" i="3"/>
  <c r="O698" i="3"/>
  <c r="B698" i="3"/>
  <c r="A698" i="3"/>
  <c r="P697" i="3"/>
  <c r="O697" i="3"/>
  <c r="B697" i="3"/>
  <c r="A697" i="3"/>
  <c r="P696" i="3"/>
  <c r="O696" i="3"/>
  <c r="B696" i="3"/>
  <c r="A696" i="3"/>
  <c r="P695" i="3"/>
  <c r="O695" i="3"/>
  <c r="B695" i="3"/>
  <c r="A695" i="3"/>
  <c r="P694" i="3"/>
  <c r="O694" i="3"/>
  <c r="B694" i="3"/>
  <c r="A694" i="3"/>
  <c r="P693" i="3"/>
  <c r="O693" i="3"/>
  <c r="B693" i="3"/>
  <c r="A693" i="3"/>
  <c r="P692" i="3"/>
  <c r="O692" i="3"/>
  <c r="B692" i="3"/>
  <c r="A692" i="3"/>
  <c r="P675" i="3"/>
  <c r="O675" i="3"/>
  <c r="B675" i="3"/>
  <c r="A675" i="3"/>
  <c r="P674" i="3"/>
  <c r="O674" i="3"/>
  <c r="B674" i="3"/>
  <c r="A674" i="3"/>
  <c r="P673" i="3"/>
  <c r="O673" i="3"/>
  <c r="B673" i="3"/>
  <c r="A673" i="3"/>
  <c r="P672" i="3"/>
  <c r="O672" i="3"/>
  <c r="B672" i="3"/>
  <c r="A672" i="3"/>
  <c r="P671" i="3"/>
  <c r="O671" i="3"/>
  <c r="B671" i="3"/>
  <c r="A671" i="3"/>
  <c r="P670" i="3"/>
  <c r="O670" i="3"/>
  <c r="B670" i="3"/>
  <c r="A670" i="3"/>
  <c r="P669" i="3"/>
  <c r="O669" i="3"/>
  <c r="B669" i="3"/>
  <c r="A669" i="3"/>
  <c r="P668" i="3"/>
  <c r="O668" i="3"/>
  <c r="B668" i="3"/>
  <c r="A668" i="3"/>
  <c r="P651" i="3"/>
  <c r="O651" i="3"/>
  <c r="B651" i="3"/>
  <c r="A651" i="3"/>
  <c r="P650" i="3"/>
  <c r="O650" i="3"/>
  <c r="B650" i="3"/>
  <c r="A650" i="3"/>
  <c r="P649" i="3"/>
  <c r="O649" i="3"/>
  <c r="B649" i="3"/>
  <c r="A649" i="3"/>
  <c r="P648" i="3"/>
  <c r="O648" i="3"/>
  <c r="B648" i="3"/>
  <c r="A648" i="3"/>
  <c r="P647" i="3"/>
  <c r="O647" i="3"/>
  <c r="B647" i="3"/>
  <c r="A647" i="3"/>
  <c r="P646" i="3"/>
  <c r="O646" i="3"/>
  <c r="B646" i="3"/>
  <c r="A646" i="3"/>
  <c r="P645" i="3"/>
  <c r="O645" i="3"/>
  <c r="B645" i="3"/>
  <c r="A645" i="3"/>
  <c r="P644" i="3"/>
  <c r="O644" i="3"/>
  <c r="B644" i="3"/>
  <c r="A644" i="3"/>
  <c r="P627" i="3"/>
  <c r="O627" i="3"/>
  <c r="B627" i="3"/>
  <c r="A627" i="3"/>
  <c r="P626" i="3"/>
  <c r="O626" i="3"/>
  <c r="B626" i="3"/>
  <c r="A626" i="3"/>
  <c r="P625" i="3"/>
  <c r="O625" i="3"/>
  <c r="B625" i="3"/>
  <c r="A625" i="3"/>
  <c r="P624" i="3"/>
  <c r="O624" i="3"/>
  <c r="B624" i="3"/>
  <c r="A624" i="3"/>
  <c r="P623" i="3"/>
  <c r="O623" i="3"/>
  <c r="B623" i="3"/>
  <c r="A623" i="3"/>
  <c r="P622" i="3"/>
  <c r="O622" i="3"/>
  <c r="B622" i="3"/>
  <c r="A622" i="3"/>
  <c r="P621" i="3"/>
  <c r="O621" i="3"/>
  <c r="B621" i="3"/>
  <c r="A621" i="3"/>
  <c r="P620" i="3"/>
  <c r="O620" i="3"/>
  <c r="B620" i="3"/>
  <c r="A620" i="3"/>
  <c r="P603" i="3"/>
  <c r="O603" i="3"/>
  <c r="B603" i="3"/>
  <c r="A603" i="3"/>
  <c r="P602" i="3"/>
  <c r="O602" i="3"/>
  <c r="B602" i="3"/>
  <c r="A602" i="3"/>
  <c r="P601" i="3"/>
  <c r="O601" i="3"/>
  <c r="B601" i="3"/>
  <c r="A601" i="3"/>
  <c r="P600" i="3"/>
  <c r="O600" i="3"/>
  <c r="B600" i="3"/>
  <c r="A600" i="3"/>
  <c r="P599" i="3"/>
  <c r="O599" i="3"/>
  <c r="B599" i="3"/>
  <c r="A599" i="3"/>
  <c r="P598" i="3"/>
  <c r="O598" i="3"/>
  <c r="B598" i="3"/>
  <c r="A598" i="3"/>
  <c r="P597" i="3"/>
  <c r="O597" i="3"/>
  <c r="B597" i="3"/>
  <c r="A597" i="3"/>
  <c r="P596" i="3"/>
  <c r="O596" i="3"/>
  <c r="B596" i="3"/>
  <c r="A596" i="3"/>
  <c r="P579" i="3"/>
  <c r="O579" i="3"/>
  <c r="B579" i="3"/>
  <c r="A579" i="3"/>
  <c r="P578" i="3"/>
  <c r="O578" i="3"/>
  <c r="B578" i="3"/>
  <c r="A578" i="3"/>
  <c r="P577" i="3"/>
  <c r="O577" i="3"/>
  <c r="B577" i="3"/>
  <c r="A577" i="3"/>
  <c r="P576" i="3"/>
  <c r="O576" i="3"/>
  <c r="B576" i="3"/>
  <c r="A576" i="3"/>
  <c r="P575" i="3"/>
  <c r="O575" i="3"/>
  <c r="B575" i="3"/>
  <c r="A575" i="3"/>
  <c r="P574" i="3"/>
  <c r="O574" i="3"/>
  <c r="B574" i="3"/>
  <c r="A574" i="3"/>
  <c r="P573" i="3"/>
  <c r="O573" i="3"/>
  <c r="B573" i="3"/>
  <c r="A573" i="3"/>
  <c r="P572" i="3"/>
  <c r="O572" i="3"/>
  <c r="B572" i="3"/>
  <c r="A572" i="3"/>
  <c r="P555" i="3"/>
  <c r="O555" i="3"/>
  <c r="B555" i="3"/>
  <c r="A555" i="3"/>
  <c r="P554" i="3"/>
  <c r="O554" i="3"/>
  <c r="B554" i="3"/>
  <c r="A554" i="3"/>
  <c r="P553" i="3"/>
  <c r="O553" i="3"/>
  <c r="B553" i="3"/>
  <c r="A553" i="3"/>
  <c r="P552" i="3"/>
  <c r="O552" i="3"/>
  <c r="B552" i="3"/>
  <c r="A552" i="3"/>
  <c r="P551" i="3"/>
  <c r="O551" i="3"/>
  <c r="B551" i="3"/>
  <c r="A551" i="3"/>
  <c r="P550" i="3"/>
  <c r="O550" i="3"/>
  <c r="B550" i="3"/>
  <c r="A550" i="3"/>
  <c r="P549" i="3"/>
  <c r="O549" i="3"/>
  <c r="B549" i="3"/>
  <c r="A549" i="3"/>
  <c r="P548" i="3"/>
  <c r="O548" i="3"/>
  <c r="B548" i="3"/>
  <c r="A548" i="3"/>
  <c r="P531" i="3"/>
  <c r="O531" i="3"/>
  <c r="B531" i="3"/>
  <c r="A531" i="3"/>
  <c r="P530" i="3"/>
  <c r="O530" i="3"/>
  <c r="B530" i="3"/>
  <c r="A530" i="3"/>
  <c r="P529" i="3"/>
  <c r="O529" i="3"/>
  <c r="B529" i="3"/>
  <c r="A529" i="3"/>
  <c r="P528" i="3"/>
  <c r="O528" i="3"/>
  <c r="B528" i="3"/>
  <c r="A528" i="3"/>
  <c r="P527" i="3"/>
  <c r="O527" i="3"/>
  <c r="B527" i="3"/>
  <c r="A527" i="3"/>
  <c r="P526" i="3"/>
  <c r="O526" i="3"/>
  <c r="B526" i="3"/>
  <c r="A526" i="3"/>
  <c r="P525" i="3"/>
  <c r="O525" i="3"/>
  <c r="B525" i="3"/>
  <c r="A525" i="3"/>
  <c r="P524" i="3"/>
  <c r="O524" i="3"/>
  <c r="B524" i="3"/>
  <c r="A524" i="3"/>
  <c r="P507" i="3"/>
  <c r="O507" i="3"/>
  <c r="B507" i="3"/>
  <c r="A507" i="3"/>
  <c r="P506" i="3"/>
  <c r="O506" i="3"/>
  <c r="B506" i="3"/>
  <c r="A506" i="3"/>
  <c r="P505" i="3"/>
  <c r="O505" i="3"/>
  <c r="B505" i="3"/>
  <c r="A505" i="3"/>
  <c r="P504" i="3"/>
  <c r="O504" i="3"/>
  <c r="B504" i="3"/>
  <c r="A504" i="3"/>
  <c r="P503" i="3"/>
  <c r="O503" i="3"/>
  <c r="B503" i="3"/>
  <c r="A503" i="3"/>
  <c r="P502" i="3"/>
  <c r="O502" i="3"/>
  <c r="B502" i="3"/>
  <c r="A502" i="3"/>
  <c r="P501" i="3"/>
  <c r="O501" i="3"/>
  <c r="B501" i="3"/>
  <c r="A501" i="3"/>
  <c r="P500" i="3"/>
  <c r="O500" i="3"/>
  <c r="B500" i="3"/>
  <c r="A500" i="3"/>
  <c r="P483" i="3"/>
  <c r="O483" i="3"/>
  <c r="B483" i="3"/>
  <c r="A483" i="3"/>
  <c r="P482" i="3"/>
  <c r="O482" i="3"/>
  <c r="B482" i="3"/>
  <c r="A482" i="3"/>
  <c r="P481" i="3"/>
  <c r="O481" i="3"/>
  <c r="B481" i="3"/>
  <c r="A481" i="3"/>
  <c r="P480" i="3"/>
  <c r="O480" i="3"/>
  <c r="B480" i="3"/>
  <c r="A480" i="3"/>
  <c r="P479" i="3"/>
  <c r="O479" i="3"/>
  <c r="B479" i="3"/>
  <c r="A479" i="3"/>
  <c r="P478" i="3"/>
  <c r="O478" i="3"/>
  <c r="B478" i="3"/>
  <c r="A478" i="3"/>
  <c r="P477" i="3"/>
  <c r="O477" i="3"/>
  <c r="B477" i="3"/>
  <c r="A477" i="3"/>
  <c r="P476" i="3"/>
  <c r="O476" i="3"/>
  <c r="B476" i="3"/>
  <c r="A476" i="3"/>
  <c r="P459" i="3"/>
  <c r="O459" i="3"/>
  <c r="B459" i="3"/>
  <c r="A459" i="3"/>
  <c r="P458" i="3"/>
  <c r="O458" i="3"/>
  <c r="B458" i="3"/>
  <c r="A458" i="3"/>
  <c r="P457" i="3"/>
  <c r="O457" i="3"/>
  <c r="B457" i="3"/>
  <c r="A457" i="3"/>
  <c r="P456" i="3"/>
  <c r="O456" i="3"/>
  <c r="B456" i="3"/>
  <c r="A456" i="3"/>
  <c r="P455" i="3"/>
  <c r="O455" i="3"/>
  <c r="B455" i="3"/>
  <c r="A455" i="3"/>
  <c r="P454" i="3"/>
  <c r="O454" i="3"/>
  <c r="B454" i="3"/>
  <c r="A454" i="3"/>
  <c r="P453" i="3"/>
  <c r="O453" i="3"/>
  <c r="B453" i="3"/>
  <c r="A453" i="3"/>
  <c r="P452" i="3"/>
  <c r="O452" i="3"/>
  <c r="B452" i="3"/>
  <c r="A452" i="3"/>
  <c r="G137" i="3"/>
  <c r="G136" i="3"/>
  <c r="G135" i="3"/>
  <c r="G134" i="3"/>
  <c r="G133" i="3"/>
  <c r="G132" i="3"/>
  <c r="G131" i="3"/>
  <c r="F137" i="3"/>
  <c r="F136" i="3"/>
  <c r="F135" i="3"/>
  <c r="F134" i="3"/>
  <c r="F133" i="3"/>
  <c r="F132" i="3"/>
  <c r="F131" i="3"/>
  <c r="G130" i="3"/>
  <c r="F130" i="3"/>
  <c r="D137" i="3"/>
  <c r="D136" i="3"/>
  <c r="D135" i="3"/>
  <c r="D134" i="3"/>
  <c r="D133" i="3"/>
  <c r="D132" i="3"/>
  <c r="D131" i="3"/>
  <c r="C137" i="3"/>
  <c r="C136" i="3"/>
  <c r="C135" i="3"/>
  <c r="C134" i="3"/>
  <c r="C133" i="3"/>
  <c r="C132" i="3"/>
  <c r="C131" i="3"/>
  <c r="D130" i="3"/>
  <c r="C130" i="3"/>
  <c r="P434" i="3"/>
  <c r="O434" i="3"/>
  <c r="P433" i="3"/>
  <c r="O433" i="3"/>
  <c r="P432" i="3"/>
  <c r="O432" i="3"/>
  <c r="P431" i="3"/>
  <c r="O431" i="3"/>
  <c r="P430" i="3"/>
  <c r="O430" i="3"/>
  <c r="P429" i="3"/>
  <c r="O429" i="3"/>
  <c r="P428" i="3"/>
  <c r="O428" i="3"/>
  <c r="P427" i="3"/>
  <c r="O427" i="3"/>
  <c r="B434" i="3"/>
  <c r="A434" i="3"/>
  <c r="B433" i="3"/>
  <c r="A433" i="3"/>
  <c r="B432" i="3"/>
  <c r="A432" i="3"/>
  <c r="B431" i="3"/>
  <c r="A431" i="3"/>
  <c r="B430" i="3"/>
  <c r="A430" i="3"/>
  <c r="B429" i="3"/>
  <c r="A429" i="3"/>
  <c r="B428" i="3"/>
  <c r="A428" i="3"/>
  <c r="B427" i="3"/>
  <c r="A427" i="3"/>
  <c r="G129" i="3"/>
  <c r="G128" i="3"/>
  <c r="G127" i="3"/>
  <c r="G126" i="3"/>
  <c r="G125" i="3"/>
  <c r="G124" i="3"/>
  <c r="G123" i="3"/>
  <c r="F129" i="3"/>
  <c r="F128" i="3"/>
  <c r="F127" i="3"/>
  <c r="F126" i="3"/>
  <c r="F125" i="3"/>
  <c r="F124" i="3"/>
  <c r="F123" i="3"/>
  <c r="G122" i="3"/>
  <c r="F122" i="3"/>
  <c r="D129" i="3"/>
  <c r="D128" i="3"/>
  <c r="D127" i="3"/>
  <c r="D126" i="3"/>
  <c r="D125" i="3"/>
  <c r="D124" i="3"/>
  <c r="D123" i="3"/>
  <c r="C129" i="3"/>
  <c r="C128" i="3"/>
  <c r="C127" i="3"/>
  <c r="C126" i="3"/>
  <c r="C125" i="3"/>
  <c r="C124" i="3"/>
  <c r="C123" i="3"/>
  <c r="D122" i="3"/>
  <c r="C122" i="3"/>
  <c r="P410" i="3"/>
  <c r="O410" i="3"/>
  <c r="P409" i="3"/>
  <c r="O409" i="3"/>
  <c r="P408" i="3"/>
  <c r="O408" i="3"/>
  <c r="P407" i="3"/>
  <c r="O407" i="3"/>
  <c r="P406" i="3"/>
  <c r="O406" i="3"/>
  <c r="P405" i="3"/>
  <c r="O405" i="3"/>
  <c r="P404" i="3"/>
  <c r="O404" i="3"/>
  <c r="P403" i="3"/>
  <c r="O403" i="3"/>
  <c r="B410" i="3"/>
  <c r="A410" i="3"/>
  <c r="B409" i="3"/>
  <c r="A409" i="3"/>
  <c r="B408" i="3"/>
  <c r="A408" i="3"/>
  <c r="B407" i="3"/>
  <c r="A407" i="3"/>
  <c r="B406" i="3"/>
  <c r="A406" i="3"/>
  <c r="B405" i="3"/>
  <c r="A405" i="3"/>
  <c r="B404" i="3"/>
  <c r="A404" i="3"/>
  <c r="B403" i="3"/>
  <c r="A403" i="3"/>
  <c r="G121" i="3"/>
  <c r="G120" i="3"/>
  <c r="G119" i="3"/>
  <c r="G118" i="3"/>
  <c r="G117" i="3"/>
  <c r="G116" i="3"/>
  <c r="G115" i="3"/>
  <c r="F121" i="3"/>
  <c r="F120" i="3"/>
  <c r="F119" i="3"/>
  <c r="F118" i="3"/>
  <c r="F117" i="3"/>
  <c r="F116" i="3"/>
  <c r="F115" i="3"/>
  <c r="G114" i="3"/>
  <c r="F114" i="3"/>
  <c r="D121" i="3"/>
  <c r="D120" i="3"/>
  <c r="D119" i="3"/>
  <c r="D118" i="3"/>
  <c r="D117" i="3"/>
  <c r="D116" i="3"/>
  <c r="D115" i="3"/>
  <c r="C121" i="3"/>
  <c r="C120" i="3"/>
  <c r="C119" i="3"/>
  <c r="C118" i="3"/>
  <c r="C117" i="3"/>
  <c r="C116" i="3"/>
  <c r="C115" i="3"/>
  <c r="D114" i="3"/>
  <c r="C114" i="3"/>
  <c r="P386" i="3"/>
  <c r="O386" i="3"/>
  <c r="P385" i="3"/>
  <c r="O385" i="3"/>
  <c r="P384" i="3"/>
  <c r="O384" i="3"/>
  <c r="P383" i="3"/>
  <c r="O383" i="3"/>
  <c r="P382" i="3"/>
  <c r="O382" i="3"/>
  <c r="P381" i="3"/>
  <c r="O381" i="3"/>
  <c r="P380" i="3"/>
  <c r="O380" i="3"/>
  <c r="P379" i="3"/>
  <c r="O379" i="3"/>
  <c r="B386" i="3"/>
  <c r="A386" i="3"/>
  <c r="B385" i="3"/>
  <c r="A385" i="3"/>
  <c r="B384" i="3"/>
  <c r="A384" i="3"/>
  <c r="B383" i="3"/>
  <c r="A383" i="3"/>
  <c r="B382" i="3"/>
  <c r="A382" i="3"/>
  <c r="B381" i="3"/>
  <c r="A381" i="3"/>
  <c r="B380" i="3"/>
  <c r="A380" i="3"/>
  <c r="B379" i="3"/>
  <c r="A379" i="3"/>
  <c r="G113" i="3"/>
  <c r="G112" i="3"/>
  <c r="G111" i="3"/>
  <c r="G110" i="3"/>
  <c r="G109" i="3"/>
  <c r="G108" i="3"/>
  <c r="G107" i="3"/>
  <c r="F113" i="3"/>
  <c r="F112" i="3"/>
  <c r="F111" i="3"/>
  <c r="F110" i="3"/>
  <c r="F109" i="3"/>
  <c r="F108" i="3"/>
  <c r="F107" i="3"/>
  <c r="G106" i="3"/>
  <c r="F106" i="3"/>
  <c r="D113" i="3"/>
  <c r="D112" i="3"/>
  <c r="D111" i="3"/>
  <c r="D110" i="3"/>
  <c r="D109" i="3"/>
  <c r="D108" i="3"/>
  <c r="D107" i="3"/>
  <c r="D106" i="3"/>
  <c r="C113" i="3"/>
  <c r="C112" i="3"/>
  <c r="C111" i="3"/>
  <c r="C110" i="3"/>
  <c r="C109" i="3"/>
  <c r="C108" i="3"/>
  <c r="C107" i="3"/>
  <c r="C106" i="3"/>
  <c r="P362" i="3"/>
  <c r="O362" i="3"/>
  <c r="P361" i="3"/>
  <c r="O361" i="3"/>
  <c r="P360" i="3"/>
  <c r="O360" i="3"/>
  <c r="P359" i="3"/>
  <c r="O359" i="3"/>
  <c r="P358" i="3"/>
  <c r="O358" i="3"/>
  <c r="P357" i="3"/>
  <c r="O357" i="3"/>
  <c r="P356" i="3"/>
  <c r="O356" i="3"/>
  <c r="P355" i="3"/>
  <c r="O355" i="3"/>
  <c r="B362" i="3"/>
  <c r="A362" i="3"/>
  <c r="B361" i="3"/>
  <c r="A361" i="3"/>
  <c r="B360" i="3"/>
  <c r="A360" i="3"/>
  <c r="B359" i="3"/>
  <c r="A359" i="3"/>
  <c r="B358" i="3"/>
  <c r="A358" i="3"/>
  <c r="B357" i="3"/>
  <c r="A357" i="3"/>
  <c r="B356" i="3"/>
  <c r="A356" i="3"/>
  <c r="B355" i="3"/>
  <c r="A355" i="3"/>
  <c r="G103" i="3"/>
  <c r="G102" i="3"/>
  <c r="F103" i="3"/>
  <c r="F102" i="3"/>
  <c r="D103" i="3"/>
  <c r="D102" i="3"/>
  <c r="C103" i="3"/>
  <c r="C102" i="3"/>
  <c r="P336" i="3"/>
  <c r="P335" i="3"/>
  <c r="O336" i="3"/>
  <c r="O335" i="3"/>
  <c r="B336" i="3"/>
  <c r="B335" i="3"/>
  <c r="A336" i="3"/>
  <c r="A335" i="3"/>
  <c r="G95" i="3"/>
  <c r="G94" i="3"/>
  <c r="F95" i="3"/>
  <c r="F94" i="3"/>
  <c r="D95" i="3"/>
  <c r="D94" i="3"/>
  <c r="C95" i="3"/>
  <c r="C94" i="3"/>
  <c r="P312" i="3"/>
  <c r="P311" i="3"/>
  <c r="O312" i="3"/>
  <c r="O311" i="3"/>
  <c r="B312" i="3"/>
  <c r="B311" i="3"/>
  <c r="A312" i="3"/>
  <c r="A311" i="3"/>
  <c r="G87" i="3"/>
  <c r="G86" i="3"/>
  <c r="F87" i="3"/>
  <c r="F86" i="3"/>
  <c r="D87" i="3"/>
  <c r="D86" i="3"/>
  <c r="C87" i="3"/>
  <c r="C86" i="3"/>
  <c r="P288" i="3"/>
  <c r="P287" i="3"/>
  <c r="O288" i="3"/>
  <c r="O287" i="3"/>
  <c r="A288" i="3"/>
  <c r="A287" i="3"/>
  <c r="B288" i="3"/>
  <c r="B287" i="3"/>
  <c r="G79" i="3"/>
  <c r="G78" i="3"/>
  <c r="F79" i="3"/>
  <c r="F78" i="3"/>
  <c r="D79" i="3"/>
  <c r="D78" i="3"/>
  <c r="C79" i="3"/>
  <c r="C78" i="3"/>
  <c r="P264" i="3"/>
  <c r="P263" i="3"/>
  <c r="O264" i="3"/>
  <c r="O263" i="3"/>
  <c r="B264" i="3"/>
  <c r="B263" i="3"/>
  <c r="A264" i="3"/>
  <c r="A263" i="3"/>
  <c r="G71" i="3"/>
  <c r="G70" i="3"/>
  <c r="F71" i="3"/>
  <c r="F70" i="3"/>
  <c r="D71" i="3"/>
  <c r="D70" i="3"/>
  <c r="C71" i="3"/>
  <c r="C70" i="3"/>
  <c r="P240" i="3"/>
  <c r="P239" i="3"/>
  <c r="O240" i="3"/>
  <c r="O239" i="3"/>
  <c r="B240" i="3"/>
  <c r="B239" i="3"/>
  <c r="A240" i="3"/>
  <c r="A239" i="3"/>
  <c r="G63" i="3"/>
  <c r="G62" i="3"/>
  <c r="F63" i="3"/>
  <c r="F62" i="3"/>
  <c r="D63" i="3"/>
  <c r="D62" i="3"/>
  <c r="C63" i="3"/>
  <c r="C62" i="3"/>
  <c r="P216" i="3"/>
  <c r="P215" i="3"/>
  <c r="O216" i="3"/>
  <c r="O215" i="3"/>
  <c r="B216" i="3"/>
  <c r="B215" i="3"/>
  <c r="A216" i="3"/>
  <c r="A215" i="3"/>
  <c r="G55" i="3"/>
  <c r="G54" i="3"/>
  <c r="F55" i="3"/>
  <c r="F54" i="3"/>
  <c r="D55" i="3"/>
  <c r="D54" i="3"/>
  <c r="C55" i="3"/>
  <c r="C54" i="3"/>
  <c r="P192" i="3"/>
  <c r="P191" i="3"/>
  <c r="O192" i="3"/>
  <c r="O191" i="3"/>
  <c r="B192" i="3"/>
  <c r="B191" i="3"/>
  <c r="A192" i="3"/>
  <c r="A191" i="3"/>
  <c r="O168" i="3"/>
  <c r="O167" i="3"/>
  <c r="G47" i="3"/>
  <c r="G46" i="3"/>
  <c r="F47" i="3"/>
  <c r="F46" i="3"/>
  <c r="D47" i="3"/>
  <c r="D46" i="3"/>
  <c r="C47" i="3"/>
  <c r="C46" i="3"/>
  <c r="P168" i="3"/>
  <c r="P167" i="3"/>
  <c r="A168" i="3"/>
  <c r="A167" i="3"/>
  <c r="B168" i="3"/>
  <c r="B167" i="3"/>
  <c r="P163" i="3" l="1"/>
  <c r="P338" i="3"/>
  <c r="O338" i="3"/>
  <c r="P337" i="3"/>
  <c r="O337" i="3"/>
  <c r="P334" i="3"/>
  <c r="O334" i="3"/>
  <c r="P333" i="3"/>
  <c r="O333" i="3"/>
  <c r="P332" i="3"/>
  <c r="O332" i="3"/>
  <c r="P331" i="3"/>
  <c r="O331" i="3"/>
  <c r="P314" i="3"/>
  <c r="O314" i="3"/>
  <c r="P313" i="3"/>
  <c r="O313" i="3"/>
  <c r="P310" i="3"/>
  <c r="O310" i="3"/>
  <c r="P309" i="3"/>
  <c r="O309" i="3"/>
  <c r="P308" i="3"/>
  <c r="O308" i="3"/>
  <c r="P307" i="3"/>
  <c r="O307" i="3"/>
  <c r="P290" i="3"/>
  <c r="O290" i="3"/>
  <c r="P289" i="3"/>
  <c r="O289" i="3"/>
  <c r="P286" i="3"/>
  <c r="O286" i="3"/>
  <c r="P285" i="3"/>
  <c r="O285" i="3"/>
  <c r="P284" i="3"/>
  <c r="O284" i="3"/>
  <c r="P283" i="3"/>
  <c r="O283" i="3"/>
  <c r="P266" i="3"/>
  <c r="O266" i="3"/>
  <c r="P265" i="3"/>
  <c r="O265" i="3"/>
  <c r="P262" i="3"/>
  <c r="O262" i="3"/>
  <c r="P261" i="3"/>
  <c r="O261" i="3"/>
  <c r="P260" i="3"/>
  <c r="O260" i="3"/>
  <c r="P259" i="3"/>
  <c r="O259" i="3"/>
  <c r="P242" i="3"/>
  <c r="O242" i="3"/>
  <c r="P241" i="3"/>
  <c r="O241" i="3"/>
  <c r="P238" i="3"/>
  <c r="O238" i="3"/>
  <c r="P237" i="3"/>
  <c r="O237" i="3"/>
  <c r="P236" i="3"/>
  <c r="O236" i="3"/>
  <c r="P235" i="3"/>
  <c r="O235" i="3"/>
  <c r="P218" i="3"/>
  <c r="O218" i="3"/>
  <c r="P217" i="3"/>
  <c r="O217" i="3"/>
  <c r="P214" i="3"/>
  <c r="O214" i="3"/>
  <c r="P213" i="3"/>
  <c r="O213" i="3"/>
  <c r="P212" i="3"/>
  <c r="O212" i="3"/>
  <c r="P211" i="3"/>
  <c r="O211" i="3"/>
  <c r="P194" i="3"/>
  <c r="O194" i="3"/>
  <c r="P193" i="3"/>
  <c r="O193" i="3"/>
  <c r="P190" i="3"/>
  <c r="O190" i="3"/>
  <c r="P189" i="3"/>
  <c r="O189" i="3"/>
  <c r="P188" i="3"/>
  <c r="O188" i="3"/>
  <c r="P187" i="3"/>
  <c r="O187" i="3"/>
  <c r="O170" i="3"/>
  <c r="O169" i="3"/>
  <c r="O166" i="3"/>
  <c r="O165" i="3"/>
  <c r="O164" i="3"/>
  <c r="O163" i="3"/>
  <c r="P170" i="3"/>
  <c r="P169" i="3"/>
  <c r="P166" i="3"/>
  <c r="P165" i="3"/>
  <c r="P164" i="3"/>
  <c r="B338" i="3"/>
  <c r="A338" i="3"/>
  <c r="B337" i="3"/>
  <c r="A337" i="3"/>
  <c r="B334" i="3"/>
  <c r="A334" i="3"/>
  <c r="B333" i="3"/>
  <c r="A333" i="3"/>
  <c r="B332" i="3"/>
  <c r="A332" i="3"/>
  <c r="B331" i="3"/>
  <c r="A331" i="3"/>
  <c r="B314" i="3"/>
  <c r="A314" i="3"/>
  <c r="B313" i="3"/>
  <c r="A313" i="3"/>
  <c r="B310" i="3"/>
  <c r="A310" i="3"/>
  <c r="B309" i="3"/>
  <c r="A309" i="3"/>
  <c r="B308" i="3"/>
  <c r="A308" i="3"/>
  <c r="B307" i="3"/>
  <c r="A307" i="3"/>
  <c r="B290" i="3"/>
  <c r="A290" i="3"/>
  <c r="B289" i="3"/>
  <c r="A289" i="3"/>
  <c r="B286" i="3"/>
  <c r="A286" i="3"/>
  <c r="B285" i="3"/>
  <c r="A285" i="3"/>
  <c r="B284" i="3"/>
  <c r="A284" i="3"/>
  <c r="B283" i="3"/>
  <c r="A283" i="3"/>
  <c r="B266" i="3"/>
  <c r="A266" i="3"/>
  <c r="B265" i="3"/>
  <c r="A265" i="3"/>
  <c r="B262" i="3"/>
  <c r="A262" i="3"/>
  <c r="B261" i="3"/>
  <c r="A261" i="3"/>
  <c r="B260" i="3"/>
  <c r="A260" i="3"/>
  <c r="B259" i="3"/>
  <c r="A259" i="3"/>
  <c r="B242" i="3"/>
  <c r="A242" i="3"/>
  <c r="B241" i="3"/>
  <c r="A241" i="3"/>
  <c r="B238" i="3"/>
  <c r="A238" i="3"/>
  <c r="B237" i="3"/>
  <c r="A237" i="3"/>
  <c r="B236" i="3"/>
  <c r="A236" i="3"/>
  <c r="B235" i="3"/>
  <c r="A235" i="3"/>
  <c r="B218" i="3"/>
  <c r="A218" i="3"/>
  <c r="B217" i="3"/>
  <c r="A217" i="3"/>
  <c r="B214" i="3"/>
  <c r="A214" i="3"/>
  <c r="B213" i="3"/>
  <c r="A213" i="3"/>
  <c r="B212" i="3"/>
  <c r="A212" i="3"/>
  <c r="B211" i="3"/>
  <c r="A211" i="3"/>
  <c r="B194" i="3"/>
  <c r="A194" i="3"/>
  <c r="B193" i="3"/>
  <c r="A193" i="3"/>
  <c r="B190" i="3"/>
  <c r="A190" i="3"/>
  <c r="B189" i="3"/>
  <c r="A189" i="3"/>
  <c r="B188" i="3"/>
  <c r="A188" i="3"/>
  <c r="B187" i="3"/>
  <c r="A187" i="3"/>
  <c r="A170" i="3"/>
  <c r="A169" i="3"/>
  <c r="A166" i="3"/>
  <c r="A165" i="3"/>
  <c r="A164" i="3"/>
  <c r="A163" i="3"/>
  <c r="B170" i="3"/>
  <c r="B169" i="3"/>
  <c r="B166" i="3"/>
  <c r="B165" i="3"/>
  <c r="B164" i="3"/>
  <c r="B163" i="3"/>
  <c r="F105" i="3"/>
  <c r="F104" i="3"/>
  <c r="O38" i="3" s="1"/>
  <c r="F101" i="3"/>
  <c r="O37" i="3" s="1"/>
  <c r="F100" i="3"/>
  <c r="O36" i="3" s="1"/>
  <c r="F99" i="3"/>
  <c r="O35" i="3" s="1"/>
  <c r="F98" i="3"/>
  <c r="O34" i="3" s="1"/>
  <c r="O30" i="3" s="1"/>
  <c r="G105" i="3"/>
  <c r="G104" i="3"/>
  <c r="P38" i="3" s="1"/>
  <c r="G101" i="3"/>
  <c r="P37" i="3" s="1"/>
  <c r="G100" i="3"/>
  <c r="P36" i="3" s="1"/>
  <c r="G99" i="3"/>
  <c r="P35" i="3" s="1"/>
  <c r="G98" i="3"/>
  <c r="P34" i="3" s="1"/>
  <c r="F97" i="3"/>
  <c r="F96" i="3"/>
  <c r="F93" i="3"/>
  <c r="F92" i="3"/>
  <c r="F91" i="3"/>
  <c r="O5" i="3" s="1"/>
  <c r="F90" i="3"/>
  <c r="O4" i="3" s="1"/>
  <c r="O3" i="3" s="1"/>
  <c r="G97" i="3"/>
  <c r="G96" i="3"/>
  <c r="G93" i="3"/>
  <c r="G92" i="3"/>
  <c r="G91" i="3"/>
  <c r="P5" i="3" s="1"/>
  <c r="G90" i="3"/>
  <c r="P4" i="3" s="1"/>
  <c r="F89" i="3"/>
  <c r="L138" i="3" s="1"/>
  <c r="F88" i="3"/>
  <c r="F85" i="3"/>
  <c r="F84" i="3"/>
  <c r="F83" i="3"/>
  <c r="F82" i="3"/>
  <c r="G89" i="3"/>
  <c r="G88" i="3"/>
  <c r="G85" i="3"/>
  <c r="G84" i="3"/>
  <c r="G83" i="3"/>
  <c r="G82" i="3"/>
  <c r="F81" i="3"/>
  <c r="F80" i="3"/>
  <c r="F77" i="3"/>
  <c r="F76" i="3"/>
  <c r="F75" i="3"/>
  <c r="F74" i="3"/>
  <c r="G81" i="3"/>
  <c r="G80" i="3"/>
  <c r="G77" i="3"/>
  <c r="G76" i="3"/>
  <c r="G75" i="3"/>
  <c r="G74" i="3"/>
  <c r="F73" i="3"/>
  <c r="F72" i="3"/>
  <c r="F69" i="3"/>
  <c r="F68" i="3"/>
  <c r="F67" i="3"/>
  <c r="F66" i="3"/>
  <c r="G73" i="3"/>
  <c r="G72" i="3"/>
  <c r="G69" i="3"/>
  <c r="G68" i="3"/>
  <c r="G67" i="3"/>
  <c r="G66" i="3"/>
  <c r="F65" i="3"/>
  <c r="F64" i="3"/>
  <c r="F61" i="3"/>
  <c r="F60" i="3"/>
  <c r="F59" i="3"/>
  <c r="F58" i="3"/>
  <c r="G65" i="3"/>
  <c r="G64" i="3"/>
  <c r="G61" i="3"/>
  <c r="G60" i="3"/>
  <c r="G59" i="3"/>
  <c r="G58" i="3"/>
  <c r="F57" i="3"/>
  <c r="F56" i="3"/>
  <c r="F53" i="3"/>
  <c r="F52" i="3"/>
  <c r="F51" i="3"/>
  <c r="F50" i="3"/>
  <c r="G57" i="3"/>
  <c r="G56" i="3"/>
  <c r="G53" i="3"/>
  <c r="G52" i="3"/>
  <c r="G51" i="3"/>
  <c r="G50" i="3"/>
  <c r="F49" i="3"/>
  <c r="F48" i="3"/>
  <c r="L38" i="3" s="1"/>
  <c r="F45" i="3"/>
  <c r="L37" i="3" s="1"/>
  <c r="F44" i="3"/>
  <c r="L36" i="3" s="1"/>
  <c r="F43" i="3"/>
  <c r="L35" i="3" s="1"/>
  <c r="F42" i="3"/>
  <c r="L34" i="3" s="1"/>
  <c r="L30" i="3" s="1"/>
  <c r="G49" i="3"/>
  <c r="G48" i="3"/>
  <c r="M38" i="3" s="1"/>
  <c r="G45" i="3"/>
  <c r="M37" i="3" s="1"/>
  <c r="G44" i="3"/>
  <c r="M36" i="3" s="1"/>
  <c r="G43" i="3"/>
  <c r="M35" i="3" s="1"/>
  <c r="G42" i="3"/>
  <c r="M34" i="3" s="1"/>
  <c r="C105" i="3"/>
  <c r="C104" i="3"/>
  <c r="C101" i="3"/>
  <c r="C100" i="3"/>
  <c r="C99" i="3"/>
  <c r="L5" i="3" s="1"/>
  <c r="C98" i="3"/>
  <c r="L4" i="3" s="1"/>
  <c r="L3" i="3" s="1"/>
  <c r="D105" i="3"/>
  <c r="D104" i="3"/>
  <c r="D101" i="3"/>
  <c r="D100" i="3"/>
  <c r="D99" i="3"/>
  <c r="M5" i="3" s="1"/>
  <c r="D98" i="3"/>
  <c r="M4" i="3" s="1"/>
  <c r="C97" i="3"/>
  <c r="I138" i="3" s="1"/>
  <c r="C96" i="3"/>
  <c r="C93" i="3"/>
  <c r="C92" i="3"/>
  <c r="C91" i="3"/>
  <c r="C90" i="3"/>
  <c r="D97" i="3"/>
  <c r="D96" i="3"/>
  <c r="D93" i="3"/>
  <c r="D92" i="3"/>
  <c r="D91" i="3"/>
  <c r="D90" i="3"/>
  <c r="C89" i="3"/>
  <c r="C88" i="3"/>
  <c r="C85" i="3"/>
  <c r="C84" i="3"/>
  <c r="C83" i="3"/>
  <c r="C82" i="3"/>
  <c r="D89" i="3"/>
  <c r="D88" i="3"/>
  <c r="D85" i="3"/>
  <c r="D84" i="3"/>
  <c r="D83" i="3"/>
  <c r="D82" i="3"/>
  <c r="C81" i="3"/>
  <c r="C80" i="3"/>
  <c r="C77" i="3"/>
  <c r="C76" i="3"/>
  <c r="C75" i="3"/>
  <c r="C74" i="3"/>
  <c r="D81" i="3"/>
  <c r="D80" i="3"/>
  <c r="D77" i="3"/>
  <c r="D76" i="3"/>
  <c r="D75" i="3"/>
  <c r="D74" i="3"/>
  <c r="C73" i="3"/>
  <c r="C72" i="3"/>
  <c r="C69" i="3"/>
  <c r="C68" i="3"/>
  <c r="C67" i="3"/>
  <c r="C66" i="3"/>
  <c r="D73" i="3"/>
  <c r="D72" i="3"/>
  <c r="D69" i="3"/>
  <c r="D68" i="3"/>
  <c r="D67" i="3"/>
  <c r="D66" i="3"/>
  <c r="D58" i="3"/>
  <c r="C65" i="3"/>
  <c r="C64" i="3"/>
  <c r="C61" i="3"/>
  <c r="C60" i="3"/>
  <c r="C59" i="3"/>
  <c r="C58" i="3"/>
  <c r="D65" i="3"/>
  <c r="D64" i="3"/>
  <c r="D61" i="3"/>
  <c r="D60" i="3"/>
  <c r="D59" i="3"/>
  <c r="D57" i="3"/>
  <c r="D56" i="3"/>
  <c r="J38" i="3" s="1"/>
  <c r="D53" i="3"/>
  <c r="J37" i="3" s="1"/>
  <c r="D52" i="3"/>
  <c r="J36" i="3" s="1"/>
  <c r="D51" i="3"/>
  <c r="J35" i="3" s="1"/>
  <c r="D50" i="3"/>
  <c r="J34" i="3" s="1"/>
  <c r="C57" i="3"/>
  <c r="C56" i="3"/>
  <c r="I38" i="3" s="1"/>
  <c r="C53" i="3"/>
  <c r="I37" i="3" s="1"/>
  <c r="C52" i="3"/>
  <c r="I36" i="3" s="1"/>
  <c r="C51" i="3"/>
  <c r="I35" i="3" s="1"/>
  <c r="C50" i="3"/>
  <c r="I34" i="3" s="1"/>
  <c r="I30" i="3" s="1"/>
  <c r="D49" i="3"/>
  <c r="D48" i="3"/>
  <c r="D45" i="3"/>
  <c r="D44" i="3"/>
  <c r="D43" i="3"/>
  <c r="J5" i="3" s="1"/>
  <c r="D42" i="3"/>
  <c r="J4" i="3" s="1"/>
  <c r="C49" i="3"/>
  <c r="C48" i="3"/>
  <c r="C45" i="3"/>
  <c r="C44" i="3"/>
  <c r="C43" i="3"/>
  <c r="I5" i="3" s="1"/>
  <c r="C42" i="3"/>
  <c r="I4" i="3" s="1"/>
  <c r="I3" i="3" s="1"/>
</calcChain>
</file>

<file path=xl/sharedStrings.xml><?xml version="1.0" encoding="utf-8"?>
<sst xmlns="http://schemas.openxmlformats.org/spreadsheetml/2006/main" count="1010" uniqueCount="127">
  <si>
    <t>Muscle</t>
  </si>
  <si>
    <t>% Pattern</t>
  </si>
  <si>
    <t>Pulse Width (us)</t>
  </si>
  <si>
    <t>Left Step</t>
  </si>
  <si>
    <t>Right Step</t>
  </si>
  <si>
    <t>Parameter</t>
  </si>
  <si>
    <t>Range</t>
  </si>
  <si>
    <t>Setting</t>
  </si>
  <si>
    <t>Left Step Duration (seconds)</t>
  </si>
  <si>
    <t>Right Step Duration (seconds)</t>
  </si>
  <si>
    <t>Channel Delays (ms)</t>
  </si>
  <si>
    <t>0 to (IPI - 1)</t>
  </si>
  <si>
    <t>Walk</t>
  </si>
  <si>
    <t>0.01 to 10.00</t>
  </si>
  <si>
    <t>L Sart</t>
  </si>
  <si>
    <t>Area</t>
  </si>
  <si>
    <t>PW (us)</t>
  </si>
  <si>
    <t>Time (s) *</t>
  </si>
  <si>
    <t>VCK5 Dual Perc Stimulation Pattern Parameters</t>
  </si>
  <si>
    <t>0 to 38</t>
  </si>
  <si>
    <t>Board 1 Channel 0 Stim Amplitude</t>
  </si>
  <si>
    <t>Board 1 Channel 1 Stim Amplitude</t>
  </si>
  <si>
    <t>Board 1 Channel 2 Stim Amplitude</t>
  </si>
  <si>
    <t>Board 1 Channel 3 Stim Amplitude</t>
  </si>
  <si>
    <t>Board 1 Channel 4 Stim Amplitude</t>
  </si>
  <si>
    <t>Board 1 Channel 5 Stim Amplitude</t>
  </si>
  <si>
    <t>Board 1 Channel 6 Stim Amplitude</t>
  </si>
  <si>
    <t>Board 1 Channel 7 Stim Amplitude</t>
  </si>
  <si>
    <t>Board 1 Channel 8 Stim Amplitude</t>
  </si>
  <si>
    <t>Board 1 Channel 9 Stim Amplitude</t>
  </si>
  <si>
    <t>Board 1 Channel 10 Stim Amplitude</t>
  </si>
  <si>
    <t>Board 1 Channel 11 Stim Amplitude</t>
  </si>
  <si>
    <t>Board 2 Channel 0 Stim Amplitude</t>
  </si>
  <si>
    <t>Board 2 Channel 1 Stim Amplitude</t>
  </si>
  <si>
    <t>Board 2 Channel 2 Stim Amplitude</t>
  </si>
  <si>
    <t>Board 2 Channel 3 Stim Amplitude</t>
  </si>
  <si>
    <t>Board 2 Channel 4 Stim Amplitude</t>
  </si>
  <si>
    <t>Board 2 Channel 5 Stim Amplitude</t>
  </si>
  <si>
    <t>Board 2 Channel 6 Stim Amplitude</t>
  </si>
  <si>
    <t>Board 2 Channel 7 Stim Amplitude</t>
  </si>
  <si>
    <t>Board 2 Channel 8 Stim Amplitude</t>
  </si>
  <si>
    <t>Board 2 Channel 9 Stim Amplitude</t>
  </si>
  <si>
    <t>Board 2 Channel 10 Stim Amplitude</t>
  </si>
  <si>
    <t>Board 2 Channel 11 Stim Amplitude</t>
  </si>
  <si>
    <t>0 to 38 (Note 1)</t>
  </si>
  <si>
    <t>2, 4, 6, 8, 10, 12, 14, 16, 18, 20, 22, 24 (Note 2)</t>
  </si>
  <si>
    <t>Note 1: A value of 38 corresponds to 20mA.</t>
  </si>
  <si>
    <t>Note 2: These are the delays set for each perc board.</t>
  </si>
  <si>
    <t>Stim IPI (ms)</t>
  </si>
  <si>
    <t>Note: Pulse Width range is 0 to 250 us and IPI range is 30 to 60 ms.</t>
  </si>
  <si>
    <t>L Med/Lat</t>
  </si>
  <si>
    <t>L Grac</t>
  </si>
  <si>
    <t>L Quad</t>
  </si>
  <si>
    <t>L P Add</t>
  </si>
  <si>
    <t>L Gl Max</t>
  </si>
  <si>
    <t>L Tensr</t>
  </si>
  <si>
    <t>L TA/Per</t>
  </si>
  <si>
    <t>Bd/Ch</t>
  </si>
  <si>
    <t>Bd 1 Ch 0</t>
  </si>
  <si>
    <t>Bd 1 Ch 1</t>
  </si>
  <si>
    <t>Bd 1 Ch 2</t>
  </si>
  <si>
    <t>Bd 1 Ch 3</t>
  </si>
  <si>
    <t>Bd 1 Ch 4</t>
  </si>
  <si>
    <t>Bd 1 Ch 5</t>
  </si>
  <si>
    <t>Bd 1 Ch 6</t>
  </si>
  <si>
    <t>Bd 1 Ch 7</t>
  </si>
  <si>
    <t>N/A</t>
  </si>
  <si>
    <t>Bd 1 Ch 8</t>
  </si>
  <si>
    <t>Bd 1 Ch9</t>
  </si>
  <si>
    <t>Bd 1 Ch 9</t>
  </si>
  <si>
    <t>Bd 1 Ch 10</t>
  </si>
  <si>
    <t>Bd 1 Ch10</t>
  </si>
  <si>
    <t>Bd 1 Ch 11</t>
  </si>
  <si>
    <t>Bd 1 Ch11</t>
  </si>
  <si>
    <t>Bd 2 Ch 0</t>
  </si>
  <si>
    <t>Bd 2 Ch 1</t>
  </si>
  <si>
    <t>Bd 2 Ch 2</t>
  </si>
  <si>
    <t>Bd 2 Ch 3</t>
  </si>
  <si>
    <t>Bd 2 Ch 4</t>
  </si>
  <si>
    <t>Bd 2 Ch 5</t>
  </si>
  <si>
    <t>Bd 2 Ch 6</t>
  </si>
  <si>
    <t>Bd 2 Ch 7</t>
  </si>
  <si>
    <t>Bd 2 Ch 8</t>
  </si>
  <si>
    <t>Bd 2 Ch 9</t>
  </si>
  <si>
    <t>Bd 2 Ch 10</t>
  </si>
  <si>
    <t>Bd 2 Ch 11</t>
  </si>
  <si>
    <t>Bd 2 Ch9</t>
  </si>
  <si>
    <t>Bd 2 Ch10</t>
  </si>
  <si>
    <t>Bd 2 Ch11</t>
  </si>
  <si>
    <t>R Int/Lat</t>
  </si>
  <si>
    <t>R Tensr</t>
  </si>
  <si>
    <t>R Gl Max</t>
  </si>
  <si>
    <t>R P Add</t>
  </si>
  <si>
    <t>R Quad</t>
  </si>
  <si>
    <t>R Sart</t>
  </si>
  <si>
    <t>R Grac</t>
  </si>
  <si>
    <t>R TA</t>
  </si>
  <si>
    <t>Stand</t>
  </si>
  <si>
    <t>Stand Pattern Duration (seconds)</t>
  </si>
  <si>
    <t>Same amplitude as Walk pattern Bd1 Ch0 (See "Walk" sheet cell F6)</t>
  </si>
  <si>
    <t>Same amplitude as Walk pattern Bd1 Ch1 (See "Walk" sheet cell F7)</t>
  </si>
  <si>
    <t>Same amplitude as Walk pattern Bd1 Ch2 (See "Walk" sheet cell F8)</t>
  </si>
  <si>
    <t>Same amplitude as Walk pattern Bd1 Ch3 (See "Walk" sheet cell F9)</t>
  </si>
  <si>
    <t>Same amplitude as Walk pattern Bd1 Ch4 (See "Walk" sheet cell F10)</t>
  </si>
  <si>
    <t>Same amplitude as Walk pattern Bd1 Ch5 (See "Walk" sheet cell F11)</t>
  </si>
  <si>
    <t>Same amplitude as Walk pattern Bd1 Ch6 (See "Walk" sheet cell F12)</t>
  </si>
  <si>
    <t>Same amplitude as Walk pattern Bd1 Ch7 (See "Walk" sheet cell F13)</t>
  </si>
  <si>
    <t>Same amplitude as Walk pattern Bd1 Ch8 (See "Walk" sheet cell F14)</t>
  </si>
  <si>
    <t>Same amplitude as Walk pattern Bd1 Ch9 (See "Walk" sheet cell F15)</t>
  </si>
  <si>
    <t>Same amplitude as Walk pattern Bd1 Ch10 (See "Walk" sheet cell F16)</t>
  </si>
  <si>
    <t>Same amplitude as Walk pattern Bd1 Ch11 (See "Walk" sheet cell F17)</t>
  </si>
  <si>
    <t>Same amplitude as Walk pattern Bd2 Ch0 (See "Walk" sheet cell F18)</t>
  </si>
  <si>
    <t>Same amplitude as Walk pattern Bd2 Ch1 (See "Walk" sheet cell F19)</t>
  </si>
  <si>
    <t>Same amplitude as Walk pattern Bd2 Ch2 (See "Walk" sheet cell F20)</t>
  </si>
  <si>
    <t>Same amplitude as Walk pattern Bd2 Ch3 (See "Walk" sheet cell F21)</t>
  </si>
  <si>
    <t>Same amplitude as Walk pattern Bd2 Ch4 (See "Walk" sheet cell F22)</t>
  </si>
  <si>
    <t>Same amplitude as Walk pattern Bd2 Ch5 (See "Walk" sheet cell F23)</t>
  </si>
  <si>
    <t>Same amplitude as Walk pattern Bd2 Ch6 (See "Walk" sheet cell F24)</t>
  </si>
  <si>
    <t>Same amplitude as Walk pattern Bd2 Ch7 (See "Walk" sheet cell F25)</t>
  </si>
  <si>
    <t>Same amplitude as Walk pattern Bd2 Ch8 (See "Walk" sheet cell F26)</t>
  </si>
  <si>
    <t>Same amplitude as Walk pattern Bd2 Ch9 (See "Walk" sheet cell F27)</t>
  </si>
  <si>
    <t>Same amplitude as Walk pattern Bd2 Ch10 (See "Walk" sheet cell F28)</t>
  </si>
  <si>
    <t>Same amplitude as Walk pattern Bd2 Ch11 (See "Walk" sheet cell F29)</t>
  </si>
  <si>
    <t>IPI (ms)</t>
  </si>
  <si>
    <t>Sit</t>
  </si>
  <si>
    <t>Sit Pattern Duration (seconds)</t>
  </si>
  <si>
    <t>Data Validated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</si>
</sst>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
    <numFmt numFmtId="165" formatCode="0.0"/>
  </numFmts>
  <fonts count="10" x14ac:knownFonts="1">
    <font>
      <sz val="10"/>
      <name val="Arial"/>
    </font>
    <font>
      <b/>
      <sz val="10"/>
      <name val="Arial"/>
      <family val="2"/>
    </font>
    <font>
      <sz val="10"/>
      <name val="Arial"/>
      <family val="2"/>
    </font>
    <font>
      <b/>
      <sz val="14"/>
      <name val="Arial"/>
      <family val="2"/>
    </font>
    <font>
      <b/>
      <sz val="14"/>
      <color indexed="17"/>
      <name val="Arial"/>
      <family val="2"/>
    </font>
    <font>
      <sz val="10"/>
      <color rgb="FF000000"/>
      <name val="Arial"/>
      <family val="2"/>
    </font>
    <font>
      <b/>
      <sz val="10"/>
      <color rgb="FFFF0000"/>
      <name val="Arial"/>
      <family val="2"/>
    </font>
    <font>
      <b/>
      <sz val="10"/>
      <color rgb="FF000000"/>
      <name val="Arial"/>
      <family val="2"/>
    </font>
    <font>
      <sz val="10"/>
      <color rgb="FFFF0000"/>
      <name val="Arial"/>
      <family val="2"/>
    </font>
    <font>
      <b/>
      <sz val="14"/>
      <color rgb="FF008000"/>
      <name val="Arial"/>
      <family val="2"/>
    </font>
  </fonts>
  <fills count="7">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6" tint="0.79998168889431442"/>
        <bgColor indexed="64"/>
      </patternFill>
    </fill>
  </fills>
  <borders count="61">
    <border>
      <left/>
      <right/>
      <top/>
      <bottom/>
      <diagonal/>
    </border>
    <border>
      <left style="thin">
        <color indexed="64"/>
      </left>
      <right/>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01">
    <xf numFmtId="0" fontId="0" fillId="0" borderId="0" xfId="0"/>
    <xf numFmtId="0" fontId="0" fillId="0" borderId="0" xfId="0" applyAlignment="1">
      <alignment horizontal="center"/>
    </xf>
    <xf numFmtId="0" fontId="0" fillId="0" borderId="0" xfId="0" applyBorder="1" applyAlignment="1">
      <alignment horizontal="center"/>
    </xf>
    <xf numFmtId="0" fontId="0" fillId="0" borderId="1" xfId="0" applyBorder="1"/>
    <xf numFmtId="0" fontId="0" fillId="0" borderId="0" xfId="0" applyBorder="1"/>
    <xf numFmtId="0" fontId="1" fillId="0" borderId="0" xfId="0" applyFont="1" applyAlignment="1"/>
    <xf numFmtId="0" fontId="1" fillId="0" borderId="0" xfId="0" applyFont="1" applyAlignment="1">
      <alignment horizontal="center"/>
    </xf>
    <xf numFmtId="0" fontId="1" fillId="0" borderId="0" xfId="0" applyFont="1" applyBorder="1" applyAlignment="1">
      <alignment horizontal="center"/>
    </xf>
    <xf numFmtId="2" fontId="0" fillId="0" borderId="0" xfId="0" applyNumberFormat="1" applyBorder="1" applyAlignment="1">
      <alignment horizontal="center"/>
    </xf>
    <xf numFmtId="0" fontId="1" fillId="0" borderId="0" xfId="0" applyFont="1" applyBorder="1" applyAlignment="1"/>
    <xf numFmtId="0" fontId="1" fillId="0" borderId="1" xfId="0" applyFont="1" applyBorder="1" applyAlignment="1"/>
    <xf numFmtId="0" fontId="1" fillId="0" borderId="4" xfId="0" applyFont="1" applyBorder="1" applyAlignment="1">
      <alignment horizontal="center"/>
    </xf>
    <xf numFmtId="0" fontId="2" fillId="0" borderId="8" xfId="0" applyFont="1" applyBorder="1" applyAlignment="1">
      <alignment horizontal="center"/>
    </xf>
    <xf numFmtId="0" fontId="0" fillId="0" borderId="2" xfId="0" applyBorder="1" applyAlignment="1">
      <alignment horizontal="center"/>
    </xf>
    <xf numFmtId="0" fontId="2" fillId="0" borderId="0" xfId="0" applyFont="1" applyBorder="1" applyAlignment="1"/>
    <xf numFmtId="0" fontId="0" fillId="0" borderId="0" xfId="0" applyBorder="1" applyAlignment="1"/>
    <xf numFmtId="22" fontId="1" fillId="0" borderId="0" xfId="0" applyNumberFormat="1" applyFont="1" applyAlignment="1">
      <alignment horizontal="center"/>
    </xf>
    <xf numFmtId="2" fontId="2" fillId="2" borderId="11" xfId="0" applyNumberFormat="1" applyFont="1" applyFill="1" applyBorder="1" applyAlignment="1"/>
    <xf numFmtId="1" fontId="2" fillId="2" borderId="12" xfId="0" applyNumberFormat="1" applyFont="1" applyFill="1" applyBorder="1" applyAlignment="1"/>
    <xf numFmtId="0" fontId="1" fillId="0" borderId="13" xfId="0" applyFont="1" applyBorder="1" applyAlignment="1">
      <alignment horizontal="center"/>
    </xf>
    <xf numFmtId="1" fontId="0" fillId="0" borderId="0" xfId="0" applyNumberFormat="1" applyBorder="1" applyAlignment="1">
      <alignment horizontal="center"/>
    </xf>
    <xf numFmtId="2" fontId="0" fillId="0" borderId="0" xfId="0" applyNumberFormat="1" applyFill="1" applyBorder="1" applyAlignment="1">
      <alignment horizontal="center"/>
    </xf>
    <xf numFmtId="1" fontId="0" fillId="0" borderId="0" xfId="0" applyNumberFormat="1" applyFill="1" applyBorder="1" applyAlignment="1">
      <alignment horizontal="center"/>
    </xf>
    <xf numFmtId="0" fontId="1" fillId="0" borderId="0" xfId="0" applyFont="1" applyFill="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3" fillId="0" borderId="0" xfId="0" applyFont="1" applyBorder="1" applyAlignment="1"/>
    <xf numFmtId="2" fontId="2" fillId="2" borderId="24" xfId="0" applyNumberFormat="1" applyFont="1" applyFill="1" applyBorder="1" applyAlignment="1"/>
    <xf numFmtId="0" fontId="0" fillId="0" borderId="0" xfId="0" applyFill="1" applyBorder="1"/>
    <xf numFmtId="0" fontId="2" fillId="0" borderId="0" xfId="0" applyFont="1" applyFill="1" applyBorder="1" applyAlignment="1"/>
    <xf numFmtId="0" fontId="1" fillId="0" borderId="0" xfId="0" applyFont="1" applyFill="1" applyBorder="1" applyAlignment="1"/>
    <xf numFmtId="0" fontId="2" fillId="0" borderId="15" xfId="0" applyFont="1" applyFill="1" applyBorder="1" applyAlignment="1">
      <alignment horizontal="center"/>
    </xf>
    <xf numFmtId="22" fontId="1" fillId="0" borderId="0" xfId="0" applyNumberFormat="1" applyFont="1" applyAlignment="1" applyProtection="1">
      <alignment horizontal="center"/>
      <protection locked="0"/>
    </xf>
    <xf numFmtId="164" fontId="0" fillId="0" borderId="0" xfId="0" applyNumberFormat="1" applyProtection="1">
      <protection hidden="1"/>
    </xf>
    <xf numFmtId="0" fontId="2" fillId="0" borderId="35" xfId="0" applyFont="1" applyFill="1" applyBorder="1" applyAlignment="1">
      <alignment horizontal="center"/>
    </xf>
    <xf numFmtId="0" fontId="0" fillId="2" borderId="12" xfId="0" applyFill="1" applyBorder="1"/>
    <xf numFmtId="0" fontId="0" fillId="2" borderId="22" xfId="0" applyFill="1" applyBorder="1"/>
    <xf numFmtId="2" fontId="2" fillId="2" borderId="36" xfId="0" applyNumberFormat="1" applyFont="1" applyFill="1" applyBorder="1" applyAlignment="1"/>
    <xf numFmtId="2" fontId="0" fillId="0" borderId="29" xfId="0" applyNumberFormat="1" applyBorder="1" applyAlignment="1">
      <alignment horizontal="center"/>
    </xf>
    <xf numFmtId="1" fontId="0" fillId="0" borderId="32" xfId="0" applyNumberFormat="1" applyBorder="1" applyAlignment="1">
      <alignment horizontal="center"/>
    </xf>
    <xf numFmtId="2" fontId="0" fillId="0" borderId="30" xfId="0" applyNumberFormat="1" applyBorder="1" applyAlignment="1">
      <alignment horizontal="center"/>
    </xf>
    <xf numFmtId="1" fontId="0" fillId="0" borderId="33" xfId="0" applyNumberFormat="1" applyBorder="1" applyAlignment="1">
      <alignment horizontal="center"/>
    </xf>
    <xf numFmtId="2" fontId="0" fillId="0" borderId="31" xfId="0" applyNumberFormat="1" applyBorder="1" applyAlignment="1">
      <alignment horizontal="center"/>
    </xf>
    <xf numFmtId="1" fontId="0" fillId="0" borderId="34" xfId="0" applyNumberFormat="1" applyBorder="1" applyAlignment="1">
      <alignment horizontal="center"/>
    </xf>
    <xf numFmtId="0" fontId="1" fillId="0" borderId="0" xfId="0" applyNumberFormat="1" applyFont="1" applyAlignment="1" applyProtection="1"/>
    <xf numFmtId="0" fontId="0" fillId="0" borderId="0" xfId="0" applyNumberFormat="1" applyBorder="1" applyProtection="1"/>
    <xf numFmtId="0" fontId="0" fillId="0" borderId="0" xfId="0" applyNumberFormat="1" applyProtection="1"/>
    <xf numFmtId="0" fontId="1" fillId="0" borderId="0" xfId="0" applyNumberFormat="1" applyFont="1" applyAlignment="1" applyProtection="1">
      <alignment horizontal="center"/>
    </xf>
    <xf numFmtId="0" fontId="2" fillId="0" borderId="0" xfId="0" applyFont="1" applyFill="1" applyBorder="1" applyAlignment="1">
      <alignment horizontal="center"/>
    </xf>
    <xf numFmtId="0" fontId="1" fillId="0" borderId="0" xfId="0" applyNumberFormat="1" applyFont="1" applyBorder="1" applyAlignment="1" applyProtection="1"/>
    <xf numFmtId="2" fontId="5" fillId="3" borderId="29" xfId="0" applyNumberFormat="1" applyFont="1" applyFill="1" applyBorder="1" applyAlignment="1" applyProtection="1">
      <alignment horizontal="center"/>
    </xf>
    <xf numFmtId="2" fontId="5" fillId="3" borderId="30" xfId="0" applyNumberFormat="1" applyFont="1" applyFill="1" applyBorder="1" applyAlignment="1" applyProtection="1">
      <alignment horizontal="center"/>
      <protection locked="0"/>
    </xf>
    <xf numFmtId="2" fontId="5" fillId="3" borderId="31" xfId="0" applyNumberFormat="1" applyFont="1" applyFill="1" applyBorder="1" applyAlignment="1">
      <alignment horizontal="center"/>
    </xf>
    <xf numFmtId="1" fontId="5" fillId="3" borderId="32" xfId="0" applyNumberFormat="1" applyFont="1" applyFill="1" applyBorder="1" applyAlignment="1" applyProtection="1">
      <alignment horizontal="center"/>
      <protection locked="0"/>
    </xf>
    <xf numFmtId="1" fontId="5" fillId="3" borderId="33" xfId="0" applyNumberFormat="1" applyFont="1" applyFill="1" applyBorder="1" applyAlignment="1" applyProtection="1">
      <alignment horizontal="center"/>
      <protection locked="0"/>
    </xf>
    <xf numFmtId="1" fontId="5" fillId="3" borderId="34" xfId="0" applyNumberFormat="1" applyFont="1" applyFill="1" applyBorder="1" applyAlignment="1" applyProtection="1">
      <alignment horizontal="center"/>
      <protection locked="0"/>
    </xf>
    <xf numFmtId="2" fontId="5" fillId="3" borderId="29" xfId="0" applyNumberFormat="1" applyFont="1" applyFill="1" applyBorder="1" applyAlignment="1">
      <alignment horizontal="center"/>
    </xf>
    <xf numFmtId="2" fontId="2" fillId="3" borderId="16" xfId="0" applyNumberFormat="1" applyFont="1" applyFill="1" applyBorder="1" applyAlignment="1" applyProtection="1">
      <alignment horizontal="right"/>
      <protection locked="0"/>
    </xf>
    <xf numFmtId="2" fontId="2" fillId="3" borderId="23" xfId="0" applyNumberFormat="1" applyFont="1" applyFill="1" applyBorder="1" applyAlignment="1" applyProtection="1">
      <alignment horizontal="right"/>
      <protection locked="0"/>
    </xf>
    <xf numFmtId="2" fontId="2" fillId="3" borderId="35" xfId="0" applyNumberFormat="1" applyFont="1" applyFill="1" applyBorder="1" applyAlignment="1" applyProtection="1">
      <alignment horizontal="right"/>
      <protection locked="0"/>
    </xf>
    <xf numFmtId="0" fontId="0" fillId="0" borderId="0" xfId="0" applyBorder="1" applyAlignment="1">
      <alignment horizontal="center"/>
    </xf>
    <xf numFmtId="0" fontId="0" fillId="0" borderId="0" xfId="0" applyAlignment="1">
      <alignment horizontal="left"/>
    </xf>
    <xf numFmtId="0" fontId="1" fillId="0" borderId="0" xfId="0" applyFont="1" applyBorder="1" applyAlignment="1">
      <alignment horizontal="center"/>
    </xf>
    <xf numFmtId="0" fontId="2" fillId="0" borderId="0" xfId="0" applyFont="1" applyBorder="1" applyAlignment="1">
      <alignment horizontal="center"/>
    </xf>
    <xf numFmtId="0" fontId="0" fillId="0" borderId="0" xfId="0" applyNumberFormat="1" applyBorder="1" applyAlignment="1" applyProtection="1">
      <alignment horizontal="center"/>
    </xf>
    <xf numFmtId="0" fontId="6" fillId="0" borderId="0" xfId="0" applyFont="1" applyAlignment="1">
      <alignment horizontal="center"/>
    </xf>
    <xf numFmtId="1" fontId="2" fillId="3" borderId="15" xfId="0" applyNumberFormat="1" applyFont="1" applyFill="1" applyBorder="1" applyAlignment="1" applyProtection="1">
      <protection locked="0"/>
    </xf>
    <xf numFmtId="1" fontId="2" fillId="3" borderId="7" xfId="0" applyNumberFormat="1" applyFont="1" applyFill="1" applyBorder="1" applyAlignment="1" applyProtection="1">
      <protection locked="0"/>
    </xf>
    <xf numFmtId="0" fontId="0" fillId="0" borderId="0" xfId="0" applyFill="1" applyBorder="1" applyAlignment="1">
      <alignment horizontal="center"/>
    </xf>
    <xf numFmtId="1" fontId="0" fillId="0" borderId="0" xfId="0" applyNumberFormat="1" applyFill="1" applyBorder="1" applyAlignment="1" applyProtection="1">
      <alignment horizontal="center"/>
      <protection locked="0"/>
    </xf>
    <xf numFmtId="165" fontId="5" fillId="0" borderId="0" xfId="0" applyNumberFormat="1" applyFont="1" applyFill="1" applyBorder="1" applyAlignment="1" applyProtection="1">
      <protection locked="0"/>
    </xf>
    <xf numFmtId="1" fontId="5" fillId="0" borderId="0" xfId="0" applyNumberFormat="1" applyFont="1" applyFill="1" applyBorder="1" applyAlignment="1" applyProtection="1">
      <alignment horizontal="center"/>
      <protection locked="0"/>
    </xf>
    <xf numFmtId="2" fontId="5" fillId="0" borderId="0" xfId="0" applyNumberFormat="1" applyFont="1" applyFill="1" applyBorder="1" applyAlignment="1">
      <alignment horizontal="center"/>
    </xf>
    <xf numFmtId="2" fontId="5" fillId="0" borderId="0" xfId="0" applyNumberFormat="1" applyFont="1" applyFill="1" applyBorder="1" applyAlignment="1" applyProtection="1">
      <alignment horizontal="center"/>
      <protection locked="0"/>
    </xf>
    <xf numFmtId="49" fontId="0" fillId="0" borderId="0" xfId="0" applyNumberFormat="1" applyFill="1" applyBorder="1" applyAlignment="1" applyProtection="1">
      <alignment horizontal="right"/>
      <protection locked="0"/>
    </xf>
    <xf numFmtId="165" fontId="0" fillId="0" borderId="0" xfId="0" applyNumberFormat="1" applyBorder="1" applyAlignment="1">
      <alignment horizontal="center"/>
    </xf>
    <xf numFmtId="0" fontId="0" fillId="0" borderId="0" xfId="0" applyAlignment="1"/>
    <xf numFmtId="0" fontId="0" fillId="0" borderId="0" xfId="0" applyProtection="1"/>
    <xf numFmtId="164" fontId="0" fillId="0" borderId="0" xfId="0" applyNumberFormat="1" applyProtection="1"/>
    <xf numFmtId="164" fontId="1" fillId="0" borderId="0" xfId="0" applyNumberFormat="1" applyFont="1" applyAlignment="1" applyProtection="1">
      <alignment horizontal="center"/>
    </xf>
    <xf numFmtId="164" fontId="1" fillId="0" borderId="0" xfId="0" applyNumberFormat="1" applyFont="1" applyAlignment="1" applyProtection="1"/>
    <xf numFmtId="164" fontId="0" fillId="0" borderId="0" xfId="0" applyNumberFormat="1" applyBorder="1" applyProtection="1"/>
    <xf numFmtId="164" fontId="1" fillId="0" borderId="0" xfId="0" applyNumberFormat="1" applyFont="1" applyBorder="1" applyAlignment="1" applyProtection="1"/>
    <xf numFmtId="164" fontId="0" fillId="0" borderId="0" xfId="0" applyNumberFormat="1" applyBorder="1" applyAlignment="1" applyProtection="1">
      <alignment horizontal="center"/>
    </xf>
    <xf numFmtId="0" fontId="2" fillId="2" borderId="42" xfId="0" applyFont="1" applyFill="1" applyBorder="1" applyAlignment="1"/>
    <xf numFmtId="0" fontId="2" fillId="0" borderId="28" xfId="0" applyFont="1" applyBorder="1" applyAlignment="1">
      <alignment horizontal="center"/>
    </xf>
    <xf numFmtId="1" fontId="5" fillId="0" borderId="0" xfId="0" applyNumberFormat="1" applyFont="1" applyFill="1" applyBorder="1" applyAlignment="1" applyProtection="1">
      <protection locked="0"/>
    </xf>
    <xf numFmtId="0" fontId="0" fillId="0" borderId="0" xfId="0" applyProtection="1">
      <protection locked="0"/>
    </xf>
    <xf numFmtId="164" fontId="0" fillId="0" borderId="0" xfId="0" applyNumberFormat="1" applyProtection="1">
      <protection locked="0"/>
    </xf>
    <xf numFmtId="164" fontId="0" fillId="0" borderId="0" xfId="0" applyNumberFormat="1" applyBorder="1" applyAlignment="1" applyProtection="1">
      <alignment horizontal="center"/>
      <protection locked="0"/>
    </xf>
    <xf numFmtId="0" fontId="0" fillId="0" borderId="0" xfId="0" applyNumberFormat="1" applyProtection="1">
      <protection locked="0"/>
    </xf>
    <xf numFmtId="0" fontId="0" fillId="0" borderId="0" xfId="0" applyBorder="1" applyAlignment="1" applyProtection="1">
      <alignment horizontal="center"/>
      <protection locked="0"/>
    </xf>
    <xf numFmtId="0" fontId="0" fillId="0" borderId="0" xfId="0" applyAlignment="1" applyProtection="1">
      <alignment horizontal="center"/>
      <protection locked="0"/>
    </xf>
    <xf numFmtId="0" fontId="0" fillId="0" borderId="0" xfId="0" applyFill="1" applyProtection="1">
      <protection locked="0"/>
    </xf>
    <xf numFmtId="0" fontId="1" fillId="0" borderId="0" xfId="0" applyFont="1" applyAlignment="1" applyProtection="1">
      <protection locked="0"/>
    </xf>
    <xf numFmtId="0" fontId="1" fillId="0" borderId="0" xfId="0" applyFont="1" applyAlignment="1" applyProtection="1">
      <alignment horizontal="center"/>
      <protection locked="0"/>
    </xf>
    <xf numFmtId="0" fontId="1" fillId="0" borderId="13" xfId="0" applyFont="1" applyBorder="1" applyAlignment="1" applyProtection="1">
      <alignment horizontal="center"/>
      <protection locked="0"/>
    </xf>
    <xf numFmtId="164" fontId="1" fillId="0" borderId="0" xfId="0" applyNumberFormat="1" applyFont="1" applyAlignment="1" applyProtection="1">
      <protection locked="0"/>
    </xf>
    <xf numFmtId="0" fontId="1" fillId="0" borderId="0" xfId="0" applyNumberFormat="1" applyFont="1" applyAlignment="1" applyProtection="1">
      <protection locked="0"/>
    </xf>
    <xf numFmtId="164" fontId="1" fillId="0" borderId="0" xfId="0" applyNumberFormat="1" applyFont="1" applyAlignment="1" applyProtection="1">
      <alignment horizontal="center"/>
      <protection locked="0"/>
    </xf>
    <xf numFmtId="0" fontId="1" fillId="0" borderId="0" xfId="0" applyFont="1" applyBorder="1" applyAlignment="1" applyProtection="1">
      <protection locked="0"/>
    </xf>
    <xf numFmtId="0" fontId="0" fillId="0" borderId="0" xfId="0" applyBorder="1" applyProtection="1">
      <protection locked="0"/>
    </xf>
    <xf numFmtId="0" fontId="1" fillId="0" borderId="0" xfId="0" applyFont="1" applyBorder="1" applyAlignment="1" applyProtection="1">
      <alignment horizontal="center"/>
      <protection locked="0"/>
    </xf>
    <xf numFmtId="0" fontId="1" fillId="0" borderId="0" xfId="0" applyFont="1" applyFill="1" applyAlignment="1" applyProtection="1">
      <alignment horizontal="center"/>
      <protection locked="0"/>
    </xf>
    <xf numFmtId="1" fontId="0" fillId="0" borderId="0"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0" borderId="0" xfId="0" applyFill="1" applyBorder="1" applyProtection="1">
      <protection locked="0"/>
    </xf>
    <xf numFmtId="164" fontId="0" fillId="0" borderId="0" xfId="0" applyNumberFormat="1" applyBorder="1" applyProtection="1">
      <protection locked="0"/>
    </xf>
    <xf numFmtId="0" fontId="0" fillId="0" borderId="0" xfId="0" applyNumberFormat="1" applyBorder="1" applyProtection="1">
      <protection locked="0"/>
    </xf>
    <xf numFmtId="0" fontId="1" fillId="0" borderId="1" xfId="0" applyFont="1" applyBorder="1" applyAlignment="1" applyProtection="1">
      <protection locked="0"/>
    </xf>
    <xf numFmtId="0" fontId="2" fillId="0" borderId="0" xfId="0" applyFont="1" applyBorder="1" applyAlignment="1" applyProtection="1">
      <protection locked="0"/>
    </xf>
    <xf numFmtId="0" fontId="1" fillId="0" borderId="0" xfId="0" applyFont="1" applyFill="1" applyBorder="1" applyAlignment="1" applyProtection="1">
      <protection locked="0"/>
    </xf>
    <xf numFmtId="164" fontId="1" fillId="0" borderId="0" xfId="0" applyNumberFormat="1" applyFont="1" applyBorder="1" applyAlignment="1" applyProtection="1">
      <protection locked="0"/>
    </xf>
    <xf numFmtId="0" fontId="0" fillId="0" borderId="1" xfId="0" applyBorder="1" applyProtection="1">
      <protection locked="0"/>
    </xf>
    <xf numFmtId="0" fontId="0" fillId="0" borderId="0" xfId="0" applyBorder="1" applyAlignment="1" applyProtection="1">
      <protection locked="0"/>
    </xf>
    <xf numFmtId="0" fontId="1" fillId="0" borderId="0" xfId="0" applyFont="1" applyFill="1" applyBorder="1" applyAlignment="1">
      <alignment horizontal="center"/>
    </xf>
    <xf numFmtId="0" fontId="0" fillId="0" borderId="0" xfId="0" applyBorder="1" applyAlignment="1">
      <alignment horizontal="center"/>
    </xf>
    <xf numFmtId="0" fontId="1" fillId="0" borderId="0" xfId="0" applyFont="1" applyBorder="1" applyAlignment="1">
      <alignment horizontal="center"/>
    </xf>
    <xf numFmtId="0" fontId="0" fillId="0" borderId="0" xfId="0" applyAlignment="1">
      <alignment horizontal="left"/>
    </xf>
    <xf numFmtId="0" fontId="1" fillId="0" borderId="18" xfId="0" applyFont="1" applyBorder="1" applyAlignment="1">
      <alignment horizontal="center"/>
    </xf>
    <xf numFmtId="0" fontId="0" fillId="4" borderId="0" xfId="0" applyFill="1"/>
    <xf numFmtId="0" fontId="1" fillId="0" borderId="0" xfId="0" applyFont="1" applyFill="1"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Alignment="1" applyProtection="1">
      <alignment horizontal="center"/>
      <protection locked="0"/>
    </xf>
    <xf numFmtId="0" fontId="2" fillId="0" borderId="13" xfId="0" applyFont="1" applyBorder="1" applyAlignment="1" applyProtection="1">
      <alignment horizontal="center"/>
      <protection locked="0"/>
    </xf>
    <xf numFmtId="0" fontId="1" fillId="0" borderId="18" xfId="0" applyFont="1" applyBorder="1" applyAlignment="1">
      <alignment horizontal="center"/>
    </xf>
    <xf numFmtId="0" fontId="0" fillId="0" borderId="0" xfId="0" applyAlignment="1">
      <alignment horizontal="left"/>
    </xf>
    <xf numFmtId="0" fontId="1" fillId="0" borderId="18" xfId="0" applyFont="1" applyFill="1" applyBorder="1" applyAlignment="1">
      <alignment horizontal="center"/>
    </xf>
    <xf numFmtId="0" fontId="1" fillId="0" borderId="19" xfId="0" applyFont="1" applyFill="1" applyBorder="1" applyAlignment="1">
      <alignment horizontal="center"/>
    </xf>
    <xf numFmtId="2" fontId="5" fillId="0" borderId="30" xfId="0" applyNumberFormat="1" applyFont="1" applyFill="1" applyBorder="1" applyAlignment="1">
      <alignment horizontal="center"/>
    </xf>
    <xf numFmtId="0" fontId="5" fillId="0" borderId="0" xfId="0" applyFont="1" applyFill="1" applyBorder="1" applyAlignment="1">
      <alignment horizontal="center"/>
    </xf>
    <xf numFmtId="0" fontId="2" fillId="0" borderId="2" xfId="0" applyFont="1" applyFill="1" applyBorder="1" applyAlignment="1">
      <alignment horizontal="center"/>
    </xf>
    <xf numFmtId="0" fontId="5" fillId="0" borderId="0" xfId="0" applyFont="1" applyFill="1"/>
    <xf numFmtId="1" fontId="0" fillId="0" borderId="33" xfId="0" applyNumberFormat="1" applyFill="1" applyBorder="1" applyAlignment="1">
      <alignment horizontal="center"/>
    </xf>
    <xf numFmtId="2" fontId="0" fillId="0" borderId="30" xfId="0" applyNumberFormat="1" applyFill="1" applyBorder="1" applyAlignment="1">
      <alignment horizontal="center"/>
    </xf>
    <xf numFmtId="1" fontId="5" fillId="0" borderId="33" xfId="0" applyNumberFormat="1" applyFont="1" applyFill="1" applyBorder="1" applyAlignment="1">
      <alignment horizontal="center"/>
    </xf>
    <xf numFmtId="2" fontId="5" fillId="0" borderId="31" xfId="0" applyNumberFormat="1" applyFont="1" applyFill="1" applyBorder="1" applyAlignment="1">
      <alignment horizontal="center"/>
    </xf>
    <xf numFmtId="1" fontId="5" fillId="0" borderId="34" xfId="0" applyNumberFormat="1" applyFont="1" applyFill="1" applyBorder="1" applyAlignment="1">
      <alignment horizontal="center"/>
    </xf>
    <xf numFmtId="0" fontId="5" fillId="0" borderId="0" xfId="0" applyFont="1" applyFill="1" applyAlignment="1">
      <alignment horizontal="center"/>
    </xf>
    <xf numFmtId="0" fontId="7" fillId="0" borderId="18" xfId="0" applyFont="1" applyFill="1" applyBorder="1" applyAlignment="1">
      <alignment horizontal="center"/>
    </xf>
    <xf numFmtId="0" fontId="0" fillId="0" borderId="0" xfId="0" applyFill="1"/>
    <xf numFmtId="2" fontId="2" fillId="0" borderId="29" xfId="0" applyNumberFormat="1" applyFont="1" applyFill="1" applyBorder="1" applyAlignment="1">
      <alignment horizontal="center"/>
    </xf>
    <xf numFmtId="1" fontId="2" fillId="0" borderId="32" xfId="0" applyNumberFormat="1" applyFont="1" applyFill="1" applyBorder="1" applyAlignment="1">
      <alignment horizontal="center"/>
    </xf>
    <xf numFmtId="1" fontId="0" fillId="0" borderId="34" xfId="0" applyNumberFormat="1" applyFill="1" applyBorder="1" applyAlignment="1">
      <alignment horizontal="center"/>
    </xf>
    <xf numFmtId="0" fontId="2" fillId="0" borderId="0" xfId="0" applyFont="1" applyFill="1"/>
    <xf numFmtId="165" fontId="2" fillId="0" borderId="0" xfId="0" applyNumberFormat="1" applyFont="1" applyFill="1" applyBorder="1" applyAlignment="1" applyProtection="1">
      <protection locked="0"/>
    </xf>
    <xf numFmtId="2" fontId="2" fillId="0" borderId="30" xfId="0" applyNumberFormat="1" applyFont="1" applyFill="1" applyBorder="1" applyAlignment="1">
      <alignment horizontal="center"/>
    </xf>
    <xf numFmtId="1" fontId="2" fillId="0" borderId="33" xfId="0" applyNumberFormat="1" applyFont="1" applyFill="1" applyBorder="1" applyAlignment="1">
      <alignment horizontal="center"/>
    </xf>
    <xf numFmtId="2" fontId="2" fillId="0" borderId="31" xfId="0" applyNumberFormat="1" applyFont="1" applyFill="1" applyBorder="1" applyAlignment="1">
      <alignment horizontal="center"/>
    </xf>
    <xf numFmtId="1" fontId="2" fillId="0" borderId="34" xfId="0" applyNumberFormat="1" applyFont="1" applyFill="1" applyBorder="1" applyAlignment="1">
      <alignment horizontal="center"/>
    </xf>
    <xf numFmtId="2" fontId="2" fillId="0" borderId="0" xfId="0" applyNumberFormat="1" applyFont="1" applyFill="1" applyBorder="1" applyAlignment="1">
      <alignment horizontal="center"/>
    </xf>
    <xf numFmtId="1" fontId="2" fillId="0" borderId="0" xfId="0" applyNumberFormat="1" applyFont="1" applyFill="1" applyBorder="1" applyAlignment="1">
      <alignment horizontal="center"/>
    </xf>
    <xf numFmtId="0" fontId="1" fillId="0" borderId="0" xfId="0" applyFont="1" applyBorder="1" applyProtection="1">
      <protection locked="0"/>
    </xf>
    <xf numFmtId="0" fontId="0" fillId="0" borderId="0" xfId="0" applyFill="1" applyBorder="1" applyAlignment="1" applyProtection="1">
      <alignment horizontal="center"/>
      <protection locked="0"/>
    </xf>
    <xf numFmtId="0" fontId="1" fillId="0" borderId="0" xfId="0" applyFont="1" applyFill="1" applyBorder="1" applyAlignment="1" applyProtection="1">
      <alignment horizontal="center"/>
      <protection locked="0"/>
    </xf>
    <xf numFmtId="0" fontId="6" fillId="0" borderId="0" xfId="0" applyFont="1" applyAlignment="1" applyProtection="1">
      <alignment horizontal="center"/>
      <protection locked="0"/>
    </xf>
    <xf numFmtId="2" fontId="2" fillId="2" borderId="36" xfId="0" applyNumberFormat="1" applyFont="1" applyFill="1" applyBorder="1" applyAlignment="1" applyProtection="1">
      <protection locked="0"/>
    </xf>
    <xf numFmtId="0" fontId="7" fillId="0" borderId="0" xfId="0" applyFont="1" applyFill="1" applyBorder="1" applyAlignment="1"/>
    <xf numFmtId="0" fontId="7" fillId="0" borderId="0" xfId="0" applyFont="1" applyFill="1" applyBorder="1" applyAlignment="1">
      <alignment horizontal="left"/>
    </xf>
    <xf numFmtId="0" fontId="0" fillId="5" borderId="10" xfId="0" applyNumberFormat="1" applyFill="1" applyBorder="1" applyProtection="1"/>
    <xf numFmtId="2" fontId="0" fillId="5" borderId="54" xfId="0" applyNumberFormat="1" applyFill="1" applyBorder="1" applyAlignment="1" applyProtection="1">
      <alignment horizontal="center"/>
    </xf>
    <xf numFmtId="1" fontId="0" fillId="5" borderId="27" xfId="0" applyNumberFormat="1" applyFill="1" applyBorder="1" applyAlignment="1" applyProtection="1">
      <alignment horizontal="center"/>
    </xf>
    <xf numFmtId="2" fontId="0" fillId="5" borderId="29" xfId="0" applyNumberFormat="1" applyFill="1" applyBorder="1" applyAlignment="1" applyProtection="1">
      <alignment horizontal="center"/>
    </xf>
    <xf numFmtId="1" fontId="0" fillId="5" borderId="15" xfId="0" applyNumberFormat="1" applyFill="1" applyBorder="1" applyAlignment="1" applyProtection="1">
      <alignment horizontal="center"/>
    </xf>
    <xf numFmtId="0" fontId="0" fillId="5" borderId="39" xfId="0" applyNumberFormat="1" applyFill="1" applyBorder="1" applyAlignment="1" applyProtection="1">
      <alignment horizontal="center"/>
    </xf>
    <xf numFmtId="2" fontId="0" fillId="5" borderId="48" xfId="0" applyNumberFormat="1" applyFill="1" applyBorder="1" applyAlignment="1" applyProtection="1">
      <alignment horizontal="center"/>
    </xf>
    <xf numFmtId="1" fontId="0" fillId="5" borderId="26" xfId="0" applyNumberFormat="1" applyFill="1" applyBorder="1" applyAlignment="1" applyProtection="1">
      <alignment horizontal="center"/>
    </xf>
    <xf numFmtId="2" fontId="0" fillId="5" borderId="30" xfId="0" applyNumberFormat="1" applyFill="1" applyBorder="1" applyAlignment="1" applyProtection="1">
      <alignment horizontal="center"/>
    </xf>
    <xf numFmtId="1" fontId="0" fillId="5" borderId="7" xfId="0" applyNumberFormat="1" applyFill="1" applyBorder="1" applyAlignment="1" applyProtection="1">
      <alignment horizontal="center"/>
    </xf>
    <xf numFmtId="2" fontId="0" fillId="5" borderId="49" xfId="0" applyNumberFormat="1" applyFill="1" applyBorder="1" applyAlignment="1" applyProtection="1">
      <alignment horizontal="center"/>
    </xf>
    <xf numFmtId="1" fontId="0" fillId="5" borderId="28" xfId="0" applyNumberFormat="1" applyFill="1" applyBorder="1" applyAlignment="1" applyProtection="1">
      <alignment horizontal="center"/>
    </xf>
    <xf numFmtId="2" fontId="0" fillId="5" borderId="31" xfId="0" applyNumberFormat="1" applyFill="1" applyBorder="1" applyAlignment="1" applyProtection="1">
      <alignment horizontal="center"/>
    </xf>
    <xf numFmtId="1" fontId="0" fillId="5" borderId="23" xfId="0" applyNumberFormat="1" applyFill="1" applyBorder="1" applyAlignment="1" applyProtection="1">
      <alignment horizontal="center"/>
    </xf>
    <xf numFmtId="0" fontId="0" fillId="5" borderId="3" xfId="0" applyNumberFormat="1" applyFill="1" applyBorder="1" applyAlignment="1" applyProtection="1">
      <alignment horizontal="center"/>
    </xf>
    <xf numFmtId="2" fontId="0" fillId="5" borderId="53" xfId="0" applyNumberFormat="1" applyFill="1" applyBorder="1" applyAlignment="1" applyProtection="1">
      <alignment horizontal="center"/>
    </xf>
    <xf numFmtId="1" fontId="0" fillId="5" borderId="16" xfId="0" applyNumberFormat="1" applyFill="1" applyBorder="1" applyAlignment="1" applyProtection="1">
      <alignment horizontal="center"/>
    </xf>
    <xf numFmtId="2" fontId="0" fillId="5" borderId="56" xfId="0" applyNumberFormat="1" applyFill="1" applyBorder="1" applyAlignment="1" applyProtection="1">
      <alignment horizontal="center"/>
    </xf>
    <xf numFmtId="1" fontId="0" fillId="5" borderId="21" xfId="0" applyNumberFormat="1" applyFill="1" applyBorder="1" applyAlignment="1" applyProtection="1">
      <alignment horizontal="center"/>
    </xf>
    <xf numFmtId="2" fontId="0" fillId="5" borderId="47" xfId="0" applyNumberFormat="1" applyFill="1" applyBorder="1" applyAlignment="1" applyProtection="1">
      <alignment horizontal="center"/>
    </xf>
    <xf numFmtId="1" fontId="0" fillId="5" borderId="8" xfId="0" applyNumberFormat="1" applyFill="1" applyBorder="1" applyAlignment="1" applyProtection="1">
      <alignment horizontal="center"/>
    </xf>
    <xf numFmtId="2" fontId="0" fillId="5" borderId="55" xfId="0" applyNumberFormat="1" applyFill="1" applyBorder="1" applyAlignment="1" applyProtection="1">
      <alignment horizontal="center"/>
    </xf>
    <xf numFmtId="1" fontId="0" fillId="5" borderId="5" xfId="0" applyNumberFormat="1" applyFill="1" applyBorder="1" applyAlignment="1" applyProtection="1">
      <alignment horizontal="center"/>
    </xf>
    <xf numFmtId="2" fontId="0" fillId="5" borderId="57" xfId="0" applyNumberFormat="1" applyFill="1" applyBorder="1" applyAlignment="1" applyProtection="1">
      <alignment horizontal="center"/>
    </xf>
    <xf numFmtId="1" fontId="0" fillId="5" borderId="1" xfId="0" applyNumberFormat="1" applyFill="1" applyBorder="1" applyAlignment="1" applyProtection="1">
      <alignment horizontal="center"/>
    </xf>
    <xf numFmtId="2" fontId="0" fillId="5" borderId="52" xfId="0" applyNumberFormat="1" applyFill="1" applyBorder="1" applyAlignment="1" applyProtection="1">
      <alignment horizontal="center"/>
    </xf>
    <xf numFmtId="1" fontId="0" fillId="5" borderId="14" xfId="0" applyNumberFormat="1" applyFill="1" applyBorder="1" applyAlignment="1" applyProtection="1">
      <alignment horizontal="center"/>
    </xf>
    <xf numFmtId="164" fontId="0" fillId="6" borderId="10" xfId="0" applyNumberFormat="1" applyFill="1" applyBorder="1" applyProtection="1"/>
    <xf numFmtId="2" fontId="0" fillId="6" borderId="54" xfId="0" applyNumberFormat="1" applyFill="1" applyBorder="1" applyAlignment="1" applyProtection="1">
      <alignment horizontal="center"/>
    </xf>
    <xf numFmtId="1" fontId="0" fillId="6" borderId="27" xfId="0" applyNumberFormat="1" applyFill="1" applyBorder="1" applyAlignment="1" applyProtection="1">
      <alignment horizontal="center"/>
    </xf>
    <xf numFmtId="2" fontId="0" fillId="6" borderId="29" xfId="0" applyNumberFormat="1" applyFill="1" applyBorder="1" applyAlignment="1" applyProtection="1">
      <alignment horizontal="center"/>
    </xf>
    <xf numFmtId="1" fontId="0" fillId="6" borderId="15" xfId="0" applyNumberFormat="1" applyFill="1" applyBorder="1" applyAlignment="1" applyProtection="1">
      <alignment horizontal="center"/>
    </xf>
    <xf numFmtId="2" fontId="0" fillId="6" borderId="55" xfId="0" applyNumberFormat="1" applyFill="1" applyBorder="1" applyAlignment="1" applyProtection="1">
      <alignment horizontal="center"/>
    </xf>
    <xf numFmtId="1" fontId="0" fillId="6" borderId="5" xfId="0" applyNumberFormat="1" applyFill="1" applyBorder="1" applyAlignment="1" applyProtection="1">
      <alignment horizontal="center"/>
    </xf>
    <xf numFmtId="2" fontId="0" fillId="6" borderId="57" xfId="0" applyNumberFormat="1" applyFill="1" applyBorder="1" applyAlignment="1" applyProtection="1">
      <alignment horizontal="center"/>
    </xf>
    <xf numFmtId="1" fontId="0" fillId="6" borderId="1" xfId="0" applyNumberFormat="1" applyFill="1" applyBorder="1" applyAlignment="1" applyProtection="1">
      <alignment horizontal="center"/>
    </xf>
    <xf numFmtId="2" fontId="0" fillId="6" borderId="47" xfId="0" applyNumberFormat="1" applyFill="1" applyBorder="1" applyAlignment="1" applyProtection="1">
      <alignment horizontal="center"/>
    </xf>
    <xf numFmtId="1" fontId="0" fillId="6" borderId="8" xfId="0" applyNumberFormat="1" applyFill="1" applyBorder="1" applyAlignment="1" applyProtection="1">
      <alignment horizontal="center"/>
    </xf>
    <xf numFmtId="2" fontId="0" fillId="6" borderId="53" xfId="0" applyNumberFormat="1" applyFill="1" applyBorder="1" applyAlignment="1" applyProtection="1">
      <alignment horizontal="center"/>
    </xf>
    <xf numFmtId="1" fontId="0" fillId="6" borderId="16" xfId="0" applyNumberFormat="1" applyFill="1" applyBorder="1" applyAlignment="1" applyProtection="1">
      <alignment horizontal="center"/>
    </xf>
    <xf numFmtId="2" fontId="0" fillId="6" borderId="52" xfId="0" applyNumberFormat="1" applyFill="1" applyBorder="1" applyAlignment="1" applyProtection="1">
      <alignment horizontal="center"/>
    </xf>
    <xf numFmtId="1" fontId="0" fillId="6" borderId="14" xfId="0" applyNumberFormat="1" applyFill="1" applyBorder="1" applyAlignment="1" applyProtection="1">
      <alignment horizontal="center"/>
    </xf>
    <xf numFmtId="1" fontId="5" fillId="6" borderId="14" xfId="0" applyNumberFormat="1" applyFont="1" applyFill="1" applyBorder="1" applyAlignment="1" applyProtection="1">
      <alignment horizontal="center"/>
    </xf>
    <xf numFmtId="1" fontId="2" fillId="6" borderId="15" xfId="0" applyNumberFormat="1" applyFont="1" applyFill="1" applyBorder="1" applyAlignment="1" applyProtection="1">
      <alignment horizontal="center"/>
    </xf>
    <xf numFmtId="1" fontId="2" fillId="6" borderId="1" xfId="0" applyNumberFormat="1" applyFont="1" applyFill="1" applyBorder="1" applyAlignment="1" applyProtection="1">
      <alignment horizontal="center"/>
    </xf>
    <xf numFmtId="2" fontId="0" fillId="6" borderId="48" xfId="0" applyNumberFormat="1" applyFill="1" applyBorder="1" applyAlignment="1" applyProtection="1">
      <alignment horizontal="center"/>
    </xf>
    <xf numFmtId="1" fontId="0" fillId="6" borderId="7" xfId="0" applyNumberFormat="1" applyFill="1" applyBorder="1" applyAlignment="1" applyProtection="1">
      <alignment horizontal="center"/>
    </xf>
    <xf numFmtId="2" fontId="0" fillId="6" borderId="30" xfId="0" applyNumberFormat="1" applyFill="1" applyBorder="1" applyAlignment="1" applyProtection="1">
      <alignment horizontal="center"/>
    </xf>
    <xf numFmtId="1" fontId="5" fillId="6" borderId="7" xfId="0" applyNumberFormat="1" applyFont="1" applyFill="1" applyBorder="1" applyAlignment="1" applyProtection="1">
      <alignment horizontal="center"/>
    </xf>
    <xf numFmtId="1" fontId="2" fillId="6" borderId="7" xfId="0" applyNumberFormat="1" applyFont="1" applyFill="1" applyBorder="1" applyAlignment="1" applyProtection="1">
      <alignment horizontal="center"/>
    </xf>
    <xf numFmtId="2" fontId="0" fillId="6" borderId="58" xfId="0" applyNumberFormat="1" applyFill="1" applyBorder="1" applyAlignment="1" applyProtection="1">
      <alignment horizontal="center"/>
    </xf>
    <xf numFmtId="1" fontId="0" fillId="6" borderId="21" xfId="0" applyNumberFormat="1" applyFill="1" applyBorder="1" applyAlignment="1" applyProtection="1">
      <alignment horizontal="center"/>
    </xf>
    <xf numFmtId="1" fontId="2" fillId="6" borderId="16" xfId="0" applyNumberFormat="1" applyFont="1" applyFill="1" applyBorder="1" applyAlignment="1" applyProtection="1">
      <alignment horizontal="center"/>
    </xf>
    <xf numFmtId="2" fontId="0" fillId="6" borderId="56" xfId="0" applyNumberFormat="1" applyFill="1" applyBorder="1" applyAlignment="1" applyProtection="1">
      <alignment horizontal="center"/>
    </xf>
    <xf numFmtId="1" fontId="5" fillId="6" borderId="21" xfId="0" applyNumberFormat="1" applyFont="1" applyFill="1" applyBorder="1" applyAlignment="1" applyProtection="1">
      <alignment horizontal="center"/>
    </xf>
    <xf numFmtId="1" fontId="2" fillId="6" borderId="14" xfId="0" applyNumberFormat="1" applyFont="1" applyFill="1" applyBorder="1" applyAlignment="1" applyProtection="1">
      <alignment horizontal="center"/>
    </xf>
    <xf numFmtId="1" fontId="0" fillId="5" borderId="39" xfId="0" applyNumberFormat="1" applyFill="1" applyBorder="1" applyAlignment="1" applyProtection="1">
      <alignment horizontal="center"/>
    </xf>
    <xf numFmtId="1" fontId="0" fillId="5" borderId="51" xfId="0" applyNumberFormat="1" applyFill="1" applyBorder="1" applyAlignment="1" applyProtection="1">
      <alignment horizontal="center"/>
    </xf>
    <xf numFmtId="1" fontId="0" fillId="6" borderId="39" xfId="0" applyNumberFormat="1" applyFill="1" applyBorder="1" applyAlignment="1" applyProtection="1">
      <alignment horizontal="center"/>
    </xf>
    <xf numFmtId="1" fontId="0" fillId="6" borderId="51" xfId="0" applyNumberFormat="1" applyFill="1" applyBorder="1" applyAlignment="1" applyProtection="1">
      <alignment horizontal="center"/>
    </xf>
    <xf numFmtId="1" fontId="2" fillId="6" borderId="21" xfId="0" applyNumberFormat="1" applyFont="1" applyFill="1" applyBorder="1" applyAlignment="1" applyProtection="1">
      <alignment horizontal="center"/>
    </xf>
    <xf numFmtId="1" fontId="2" fillId="6" borderId="51" xfId="0" applyNumberFormat="1" applyFont="1" applyFill="1" applyBorder="1" applyAlignment="1" applyProtection="1">
      <alignment horizontal="center"/>
    </xf>
    <xf numFmtId="0" fontId="3" fillId="0" borderId="0" xfId="0" applyFont="1" applyFill="1" applyBorder="1" applyAlignment="1" applyProtection="1">
      <protection locked="0"/>
    </xf>
    <xf numFmtId="0" fontId="1" fillId="0" borderId="0" xfId="0" applyFont="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Fill="1" applyBorder="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2" fillId="0" borderId="13" xfId="0" applyFont="1" applyBorder="1" applyAlignment="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0" fillId="0" borderId="0" xfId="0" applyAlignment="1">
      <alignment horizontal="left"/>
    </xf>
    <xf numFmtId="2" fontId="0" fillId="0" borderId="29" xfId="0" applyNumberFormat="1" applyFill="1" applyBorder="1" applyAlignment="1">
      <alignment horizontal="center"/>
    </xf>
    <xf numFmtId="1" fontId="0" fillId="0" borderId="32" xfId="0" applyNumberFormat="1" applyFill="1" applyBorder="1" applyAlignment="1">
      <alignment horizontal="center"/>
    </xf>
    <xf numFmtId="1" fontId="0" fillId="5" borderId="59" xfId="0" applyNumberFormat="1" applyFill="1" applyBorder="1" applyAlignment="1" applyProtection="1">
      <alignment horizontal="center"/>
    </xf>
    <xf numFmtId="164" fontId="0" fillId="0" borderId="0" xfId="0" applyNumberFormat="1" applyBorder="1" applyProtection="1">
      <protection hidden="1"/>
    </xf>
    <xf numFmtId="164" fontId="1" fillId="0" borderId="0" xfId="0" applyNumberFormat="1" applyFont="1" applyBorder="1" applyAlignment="1" applyProtection="1">
      <alignment horizontal="center"/>
      <protection hidden="1"/>
    </xf>
    <xf numFmtId="0" fontId="1" fillId="0" borderId="0" xfId="0" applyFont="1" applyBorder="1"/>
    <xf numFmtId="0" fontId="6" fillId="0" borderId="0" xfId="0" applyFont="1" applyBorder="1" applyAlignment="1">
      <alignment horizontal="center"/>
    </xf>
    <xf numFmtId="0" fontId="8" fillId="0" borderId="0" xfId="0" applyFont="1" applyBorder="1" applyAlignment="1"/>
    <xf numFmtId="0" fontId="2" fillId="0" borderId="1" xfId="0" applyFont="1" applyFill="1" applyBorder="1" applyAlignment="1">
      <alignment horizontal="center"/>
    </xf>
    <xf numFmtId="0" fontId="1" fillId="0" borderId="18" xfId="0" applyFont="1" applyBorder="1" applyAlignment="1">
      <alignment horizontal="center"/>
    </xf>
    <xf numFmtId="0" fontId="0" fillId="0" borderId="0" xfId="0" applyNumberFormat="1" applyBorder="1" applyAlignment="1" applyProtection="1">
      <alignment horizontal="center"/>
    </xf>
    <xf numFmtId="1" fontId="0" fillId="3" borderId="19" xfId="0" applyNumberFormat="1" applyFill="1" applyBorder="1" applyAlignment="1" applyProtection="1">
      <alignment horizontal="center"/>
      <protection locked="0"/>
    </xf>
    <xf numFmtId="1" fontId="5" fillId="3" borderId="19" xfId="0" applyNumberFormat="1" applyFont="1" applyFill="1" applyBorder="1" applyAlignment="1" applyProtection="1">
      <alignment horizontal="center"/>
      <protection locked="0"/>
    </xf>
    <xf numFmtId="0" fontId="1" fillId="5" borderId="9" xfId="0" applyFont="1" applyFill="1" applyBorder="1" applyProtection="1"/>
    <xf numFmtId="0" fontId="0" fillId="5" borderId="51" xfId="0" applyFill="1" applyBorder="1" applyProtection="1"/>
    <xf numFmtId="0" fontId="1" fillId="6" borderId="9" xfId="0" applyFont="1" applyFill="1" applyBorder="1" applyProtection="1"/>
    <xf numFmtId="0" fontId="0" fillId="6" borderId="51" xfId="0" applyFill="1" applyBorder="1" applyProtection="1"/>
    <xf numFmtId="0" fontId="0" fillId="5" borderId="6" xfId="0" applyFill="1" applyBorder="1" applyProtection="1"/>
    <xf numFmtId="0" fontId="0" fillId="5" borderId="39" xfId="0" applyFill="1" applyBorder="1" applyProtection="1"/>
    <xf numFmtId="0" fontId="0" fillId="5" borderId="0" xfId="0" applyFill="1" applyBorder="1" applyProtection="1"/>
    <xf numFmtId="0" fontId="0" fillId="6" borderId="6" xfId="0" applyFill="1" applyBorder="1" applyProtection="1"/>
    <xf numFmtId="0" fontId="0" fillId="6" borderId="39" xfId="0" applyFill="1" applyBorder="1" applyProtection="1"/>
    <xf numFmtId="0" fontId="0" fillId="6" borderId="0" xfId="0" applyFill="1" applyBorder="1" applyProtection="1"/>
    <xf numFmtId="0" fontId="1" fillId="5" borderId="2" xfId="0" applyFont="1" applyFill="1" applyBorder="1" applyAlignment="1" applyProtection="1">
      <alignment horizontal="center"/>
    </xf>
    <xf numFmtId="0" fontId="1" fillId="5" borderId="3" xfId="0" applyFont="1" applyFill="1" applyBorder="1" applyAlignment="1" applyProtection="1">
      <alignment horizontal="center"/>
    </xf>
    <xf numFmtId="0" fontId="1" fillId="5" borderId="17" xfId="0" applyFont="1" applyFill="1" applyBorder="1" applyAlignment="1" applyProtection="1">
      <alignment horizontal="center"/>
    </xf>
    <xf numFmtId="0" fontId="1" fillId="5" borderId="5" xfId="0" applyFont="1" applyFill="1" applyBorder="1" applyAlignment="1" applyProtection="1">
      <alignment horizontal="center"/>
    </xf>
    <xf numFmtId="0" fontId="1" fillId="5" borderId="14" xfId="0" applyFont="1" applyFill="1" applyBorder="1" applyAlignment="1" applyProtection="1">
      <alignment horizontal="center"/>
    </xf>
    <xf numFmtId="0" fontId="1" fillId="5" borderId="52" xfId="0" applyFont="1" applyFill="1" applyBorder="1" applyAlignment="1" applyProtection="1">
      <alignment horizontal="center"/>
    </xf>
    <xf numFmtId="0" fontId="1" fillId="6" borderId="2" xfId="0" applyFont="1" applyFill="1" applyBorder="1" applyAlignment="1" applyProtection="1">
      <alignment horizontal="center"/>
    </xf>
    <xf numFmtId="0" fontId="1" fillId="6" borderId="3" xfId="0" applyFont="1" applyFill="1" applyBorder="1" applyAlignment="1" applyProtection="1">
      <alignment horizontal="center"/>
    </xf>
    <xf numFmtId="0" fontId="1" fillId="6" borderId="17" xfId="0" applyFont="1" applyFill="1" applyBorder="1" applyAlignment="1" applyProtection="1">
      <alignment horizontal="center"/>
    </xf>
    <xf numFmtId="0" fontId="1" fillId="6" borderId="5" xfId="0" applyFont="1" applyFill="1" applyBorder="1" applyAlignment="1" applyProtection="1">
      <alignment horizontal="center"/>
    </xf>
    <xf numFmtId="0" fontId="1" fillId="6" borderId="14" xfId="0" applyFont="1" applyFill="1" applyBorder="1" applyAlignment="1" applyProtection="1">
      <alignment horizontal="center"/>
    </xf>
    <xf numFmtId="0" fontId="1" fillId="6" borderId="52" xfId="0" applyFont="1" applyFill="1" applyBorder="1" applyAlignment="1" applyProtection="1">
      <alignment horizontal="center"/>
    </xf>
    <xf numFmtId="0" fontId="0" fillId="5" borderId="6" xfId="0" applyFill="1" applyBorder="1" applyAlignment="1" applyProtection="1">
      <alignment horizontal="center"/>
    </xf>
    <xf numFmtId="0" fontId="2" fillId="5" borderId="39" xfId="0" applyNumberFormat="1" applyFont="1" applyFill="1" applyBorder="1" applyAlignment="1" applyProtection="1">
      <alignment horizontal="center"/>
    </xf>
    <xf numFmtId="0" fontId="0" fillId="6" borderId="6" xfId="0" applyFill="1" applyBorder="1" applyAlignment="1" applyProtection="1">
      <alignment horizontal="center"/>
    </xf>
    <xf numFmtId="0" fontId="2" fillId="6" borderId="39" xfId="0" applyNumberFormat="1" applyFont="1" applyFill="1" applyBorder="1" applyAlignment="1" applyProtection="1">
      <alignment horizontal="center"/>
    </xf>
    <xf numFmtId="1" fontId="0" fillId="6" borderId="0" xfId="0" applyNumberFormat="1" applyFill="1" applyBorder="1" applyAlignment="1" applyProtection="1">
      <alignment horizontal="center"/>
    </xf>
    <xf numFmtId="0" fontId="0" fillId="5" borderId="39" xfId="0" applyFill="1" applyBorder="1" applyAlignment="1" applyProtection="1">
      <alignment horizontal="center"/>
    </xf>
    <xf numFmtId="0" fontId="0" fillId="5" borderId="1" xfId="0" applyFill="1" applyBorder="1" applyAlignment="1" applyProtection="1">
      <alignment horizontal="center"/>
    </xf>
    <xf numFmtId="0" fontId="0" fillId="6" borderId="39" xfId="0" applyFill="1" applyBorder="1" applyAlignment="1" applyProtection="1">
      <alignment horizontal="center"/>
    </xf>
    <xf numFmtId="0" fontId="0" fillId="6" borderId="0" xfId="0" applyFill="1" applyBorder="1" applyAlignment="1" applyProtection="1">
      <alignment horizontal="center"/>
    </xf>
    <xf numFmtId="164" fontId="0" fillId="6" borderId="39" xfId="0" applyNumberFormat="1" applyFill="1" applyBorder="1" applyProtection="1"/>
    <xf numFmtId="0" fontId="0" fillId="5" borderId="2" xfId="0" applyFill="1" applyBorder="1" applyAlignment="1" applyProtection="1">
      <alignment horizontal="center"/>
    </xf>
    <xf numFmtId="0" fontId="0" fillId="5" borderId="3" xfId="0" applyFill="1" applyBorder="1" applyAlignment="1" applyProtection="1">
      <alignment horizontal="center"/>
    </xf>
    <xf numFmtId="0" fontId="0" fillId="5" borderId="14" xfId="0" applyFill="1" applyBorder="1" applyAlignment="1" applyProtection="1">
      <alignment horizontal="center"/>
    </xf>
    <xf numFmtId="0" fontId="0" fillId="6" borderId="2" xfId="0" applyFill="1" applyBorder="1" applyAlignment="1" applyProtection="1">
      <alignment horizontal="center"/>
    </xf>
    <xf numFmtId="0" fontId="0" fillId="6" borderId="3" xfId="0" applyFill="1" applyBorder="1" applyAlignment="1" applyProtection="1">
      <alignment horizontal="center"/>
    </xf>
    <xf numFmtId="0" fontId="0" fillId="6" borderId="17" xfId="0" applyFill="1" applyBorder="1" applyAlignment="1" applyProtection="1">
      <alignment horizontal="center"/>
    </xf>
    <xf numFmtId="0" fontId="0" fillId="5" borderId="9" xfId="0" applyFill="1" applyBorder="1" applyAlignment="1" applyProtection="1">
      <alignment horizontal="center"/>
    </xf>
    <xf numFmtId="0" fontId="2" fillId="5" borderId="51" xfId="0" applyNumberFormat="1" applyFont="1" applyFill="1" applyBorder="1" applyAlignment="1" applyProtection="1">
      <alignment horizontal="center"/>
    </xf>
    <xf numFmtId="1" fontId="0" fillId="5" borderId="20" xfId="0" applyNumberFormat="1" applyFill="1" applyBorder="1" applyAlignment="1" applyProtection="1">
      <alignment horizontal="center"/>
    </xf>
    <xf numFmtId="0" fontId="0" fillId="6" borderId="9" xfId="0" applyFill="1" applyBorder="1" applyAlignment="1" applyProtection="1">
      <alignment horizontal="center"/>
    </xf>
    <xf numFmtId="0" fontId="2" fillId="6" borderId="51" xfId="0" applyNumberFormat="1" applyFont="1" applyFill="1" applyBorder="1" applyAlignment="1" applyProtection="1">
      <alignment horizontal="center"/>
    </xf>
    <xf numFmtId="1" fontId="0" fillId="6" borderId="20" xfId="0" applyNumberFormat="1" applyFill="1" applyBorder="1" applyAlignment="1" applyProtection="1">
      <alignment horizontal="center"/>
    </xf>
    <xf numFmtId="0" fontId="0" fillId="6" borderId="1" xfId="0" applyFill="1" applyBorder="1" applyAlignment="1" applyProtection="1">
      <alignment horizontal="center"/>
    </xf>
    <xf numFmtId="0" fontId="0" fillId="6" borderId="14" xfId="0" applyFill="1" applyBorder="1" applyAlignment="1" applyProtection="1">
      <alignment horizontal="center"/>
    </xf>
    <xf numFmtId="164" fontId="0" fillId="6" borderId="3" xfId="0" applyNumberFormat="1" applyFill="1" applyBorder="1" applyProtection="1"/>
    <xf numFmtId="1" fontId="0" fillId="5" borderId="25" xfId="0" applyNumberFormat="1" applyFill="1" applyBorder="1" applyAlignment="1" applyProtection="1">
      <alignment horizontal="center"/>
    </xf>
    <xf numFmtId="1" fontId="0" fillId="6" borderId="25" xfId="0" applyNumberFormat="1" applyFill="1" applyBorder="1" applyAlignment="1" applyProtection="1">
      <alignment horizontal="center"/>
    </xf>
    <xf numFmtId="0" fontId="0" fillId="5" borderId="0" xfId="0" applyFill="1" applyBorder="1" applyAlignment="1" applyProtection="1">
      <alignment horizontal="center"/>
    </xf>
    <xf numFmtId="0" fontId="0" fillId="5" borderId="17" xfId="0" applyFill="1" applyBorder="1" applyAlignment="1" applyProtection="1">
      <alignment horizontal="center"/>
    </xf>
    <xf numFmtId="0" fontId="5" fillId="5" borderId="6" xfId="0" applyFont="1" applyFill="1" applyBorder="1" applyAlignment="1" applyProtection="1">
      <alignment horizontal="center"/>
    </xf>
    <xf numFmtId="0" fontId="5" fillId="5" borderId="39" xfId="0" applyFont="1" applyFill="1" applyBorder="1" applyAlignment="1" applyProtection="1">
      <alignment horizontal="center"/>
    </xf>
    <xf numFmtId="164" fontId="5" fillId="6" borderId="39" xfId="0" applyNumberFormat="1" applyFont="1" applyFill="1" applyBorder="1" applyProtection="1"/>
    <xf numFmtId="0" fontId="5" fillId="5" borderId="2" xfId="0" applyFont="1" applyFill="1" applyBorder="1" applyAlignment="1" applyProtection="1">
      <alignment horizontal="center"/>
    </xf>
    <xf numFmtId="0" fontId="5" fillId="5" borderId="3" xfId="0" applyFont="1" applyFill="1" applyBorder="1" applyAlignment="1" applyProtection="1">
      <alignment horizontal="center"/>
    </xf>
    <xf numFmtId="0" fontId="5" fillId="5" borderId="9" xfId="0" applyFont="1" applyFill="1" applyBorder="1" applyAlignment="1" applyProtection="1">
      <alignment horizontal="center"/>
    </xf>
    <xf numFmtId="1" fontId="0" fillId="6" borderId="45" xfId="0" applyNumberFormat="1" applyFill="1" applyBorder="1" applyAlignment="1" applyProtection="1">
      <alignment horizontal="center"/>
    </xf>
    <xf numFmtId="0" fontId="0" fillId="6" borderId="10" xfId="0" applyFill="1" applyBorder="1" applyAlignment="1" applyProtection="1">
      <alignment horizontal="center"/>
    </xf>
    <xf numFmtId="0" fontId="0" fillId="6" borderId="50" xfId="0" applyFill="1" applyBorder="1" applyAlignment="1" applyProtection="1">
      <alignment horizontal="center"/>
    </xf>
    <xf numFmtId="164" fontId="5" fillId="6" borderId="3" xfId="0" applyNumberFormat="1" applyFont="1" applyFill="1" applyBorder="1" applyProtection="1"/>
    <xf numFmtId="0" fontId="0" fillId="0" borderId="0" xfId="0" applyBorder="1" applyAlignment="1" applyProtection="1">
      <alignment horizontal="center"/>
    </xf>
    <xf numFmtId="0" fontId="2" fillId="0" borderId="15" xfId="0" applyFont="1" applyFill="1" applyBorder="1" applyAlignment="1" applyProtection="1">
      <alignment horizontal="center"/>
    </xf>
    <xf numFmtId="0" fontId="2" fillId="0" borderId="1" xfId="0" applyFont="1" applyFill="1" applyBorder="1" applyAlignment="1" applyProtection="1">
      <alignment horizontal="center"/>
    </xf>
    <xf numFmtId="0" fontId="2" fillId="0" borderId="35" xfId="0" applyFont="1" applyFill="1" applyBorder="1" applyAlignment="1" applyProtection="1">
      <alignment horizontal="center"/>
    </xf>
    <xf numFmtId="0" fontId="0" fillId="0" borderId="0" xfId="0" applyBorder="1" applyProtection="1"/>
    <xf numFmtId="0" fontId="0" fillId="5" borderId="10" xfId="0" applyFill="1" applyBorder="1" applyProtection="1"/>
    <xf numFmtId="0" fontId="1" fillId="0" borderId="0" xfId="0" applyFont="1" applyBorder="1" applyAlignment="1" applyProtection="1">
      <alignment horizontal="center"/>
    </xf>
    <xf numFmtId="0" fontId="0" fillId="6" borderId="10" xfId="0" applyFill="1" applyBorder="1" applyProtection="1"/>
    <xf numFmtId="2" fontId="0" fillId="0" borderId="0"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6" borderId="10" xfId="0" applyNumberFormat="1" applyFill="1" applyBorder="1" applyAlignment="1" applyProtection="1">
      <alignment horizontal="center"/>
    </xf>
    <xf numFmtId="1" fontId="0" fillId="5" borderId="10" xfId="0" applyNumberFormat="1" applyFill="1" applyBorder="1" applyAlignment="1" applyProtection="1">
      <alignment horizontal="center"/>
    </xf>
    <xf numFmtId="0" fontId="0" fillId="5" borderId="10" xfId="0" applyFill="1" applyBorder="1" applyAlignment="1" applyProtection="1">
      <alignment horizontal="center"/>
    </xf>
    <xf numFmtId="0" fontId="0" fillId="5" borderId="50" xfId="0" applyFill="1" applyBorder="1" applyAlignment="1" applyProtection="1">
      <alignment horizontal="center"/>
    </xf>
    <xf numFmtId="1" fontId="0" fillId="5" borderId="45" xfId="0" applyNumberForma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Protection="1"/>
    <xf numFmtId="0" fontId="3" fillId="0" borderId="0" xfId="0" applyFont="1" applyFill="1" applyBorder="1" applyAlignment="1" applyProtection="1"/>
    <xf numFmtId="0" fontId="8" fillId="0" borderId="0" xfId="0" applyFont="1" applyBorder="1" applyProtection="1"/>
    <xf numFmtId="0" fontId="6" fillId="0" borderId="0" xfId="0" applyFont="1" applyBorder="1" applyAlignment="1" applyProtection="1">
      <alignment horizontal="center"/>
    </xf>
    <xf numFmtId="2" fontId="8" fillId="0" borderId="0" xfId="0" applyNumberFormat="1" applyFont="1" applyFill="1" applyBorder="1" applyAlignment="1" applyProtection="1">
      <alignment horizontal="center"/>
    </xf>
    <xf numFmtId="0" fontId="3" fillId="0" borderId="0" xfId="0" applyFont="1" applyFill="1" applyBorder="1" applyAlignment="1" applyProtection="1">
      <alignment horizontal="left"/>
    </xf>
    <xf numFmtId="0" fontId="1" fillId="0" borderId="0" xfId="0" applyFont="1" applyAlignment="1">
      <alignment horizontal="center"/>
    </xf>
    <xf numFmtId="0" fontId="1" fillId="0" borderId="17" xfId="0" applyFont="1" applyBorder="1" applyAlignment="1">
      <alignment horizontal="center"/>
    </xf>
    <xf numFmtId="0" fontId="1" fillId="0" borderId="9" xfId="0" applyFont="1" applyBorder="1" applyAlignment="1">
      <alignment horizontal="center"/>
    </xf>
    <xf numFmtId="0" fontId="1" fillId="0" borderId="25" xfId="0" applyFont="1" applyBorder="1" applyAlignment="1">
      <alignment horizontal="center"/>
    </xf>
    <xf numFmtId="0" fontId="2" fillId="0" borderId="37" xfId="0" applyFont="1" applyBorder="1" applyAlignment="1">
      <alignment horizontal="center"/>
    </xf>
    <xf numFmtId="0" fontId="1" fillId="0" borderId="41" xfId="0" applyFont="1" applyBorder="1" applyAlignment="1">
      <alignment horizontal="center"/>
    </xf>
    <xf numFmtId="0" fontId="2" fillId="0" borderId="40" xfId="0" applyFont="1" applyBorder="1" applyAlignment="1">
      <alignment horizontal="center"/>
    </xf>
    <xf numFmtId="0" fontId="2" fillId="0" borderId="46" xfId="0" applyFont="1" applyBorder="1" applyAlignment="1">
      <alignment horizontal="center"/>
    </xf>
    <xf numFmtId="0" fontId="1" fillId="0" borderId="20" xfId="0" applyFont="1" applyBorder="1" applyAlignment="1">
      <alignment horizontal="center"/>
    </xf>
    <xf numFmtId="0" fontId="1" fillId="0" borderId="45" xfId="0" applyFont="1" applyBorder="1" applyAlignment="1">
      <alignment horizontal="center"/>
    </xf>
    <xf numFmtId="0" fontId="2" fillId="0" borderId="38" xfId="0" applyFont="1" applyBorder="1" applyAlignment="1">
      <alignment horizontal="center"/>
    </xf>
    <xf numFmtId="0" fontId="2" fillId="0" borderId="43" xfId="0" applyFont="1" applyBorder="1" applyAlignment="1">
      <alignment horizontal="center"/>
    </xf>
    <xf numFmtId="0" fontId="1" fillId="0" borderId="0" xfId="0" applyFont="1" applyBorder="1" applyAlignment="1">
      <alignment horizontal="center"/>
    </xf>
    <xf numFmtId="0" fontId="2" fillId="0" borderId="35" xfId="0" applyFont="1" applyBorder="1" applyAlignment="1">
      <alignment horizontal="center"/>
    </xf>
    <xf numFmtId="0" fontId="2" fillId="0" borderId="36" xfId="0" applyFont="1" applyBorder="1" applyAlignment="1">
      <alignment horizontal="center"/>
    </xf>
    <xf numFmtId="0" fontId="2" fillId="0" borderId="0" xfId="0" applyFont="1" applyBorder="1" applyAlignment="1">
      <alignment horizontal="left"/>
    </xf>
    <xf numFmtId="0" fontId="2" fillId="0" borderId="18" xfId="0" applyFont="1" applyBorder="1" applyAlignment="1">
      <alignment horizontal="center"/>
    </xf>
    <xf numFmtId="0" fontId="2" fillId="0" borderId="44" xfId="0" applyFont="1" applyBorder="1" applyAlignment="1">
      <alignment horizontal="center"/>
    </xf>
    <xf numFmtId="0" fontId="9"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protection locked="0"/>
    </xf>
    <xf numFmtId="0" fontId="0" fillId="0" borderId="0" xfId="0" applyBorder="1" applyAlignment="1">
      <alignment horizontal="center"/>
    </xf>
    <xf numFmtId="0" fontId="1" fillId="5" borderId="25" xfId="0" applyFont="1" applyFill="1" applyBorder="1" applyAlignment="1" applyProtection="1">
      <alignment horizontal="center"/>
    </xf>
    <xf numFmtId="0" fontId="1" fillId="5" borderId="9" xfId="0" applyFont="1" applyFill="1" applyBorder="1" applyAlignment="1" applyProtection="1">
      <alignment horizontal="center"/>
    </xf>
    <xf numFmtId="0" fontId="1" fillId="5" borderId="45" xfId="0" applyFont="1" applyFill="1" applyBorder="1" applyAlignment="1" applyProtection="1">
      <alignment horizontal="center"/>
    </xf>
    <xf numFmtId="0" fontId="1" fillId="6" borderId="25" xfId="0" applyFont="1" applyFill="1" applyBorder="1" applyAlignment="1" applyProtection="1">
      <alignment horizontal="center"/>
    </xf>
    <xf numFmtId="0" fontId="1" fillId="6" borderId="9" xfId="0" applyFont="1" applyFill="1" applyBorder="1" applyAlignment="1" applyProtection="1">
      <alignment horizontal="center"/>
    </xf>
    <xf numFmtId="0" fontId="1" fillId="6" borderId="45" xfId="0" applyFont="1" applyFill="1" applyBorder="1" applyAlignment="1" applyProtection="1">
      <alignment horizontal="center"/>
    </xf>
    <xf numFmtId="0" fontId="1" fillId="0" borderId="0" xfId="0" applyFont="1" applyFill="1" applyBorder="1" applyAlignment="1">
      <alignment horizontal="center"/>
    </xf>
    <xf numFmtId="0" fontId="3" fillId="0" borderId="0" xfId="0" applyFont="1" applyBorder="1" applyAlignment="1">
      <alignment horizontal="center"/>
    </xf>
    <xf numFmtId="0" fontId="2" fillId="0" borderId="0" xfId="0" applyFont="1" applyBorder="1" applyAlignment="1" applyProtection="1">
      <alignment horizontal="left"/>
    </xf>
    <xf numFmtId="2" fontId="2" fillId="0" borderId="0" xfId="0" applyNumberFormat="1" applyFont="1" applyFill="1" applyBorder="1" applyAlignment="1" applyProtection="1">
      <alignment horizontal="left"/>
    </xf>
    <xf numFmtId="2" fontId="0" fillId="0" borderId="0" xfId="0" applyNumberFormat="1" applyFill="1" applyBorder="1" applyAlignment="1" applyProtection="1">
      <alignment horizontal="left"/>
    </xf>
    <xf numFmtId="0" fontId="3" fillId="0" borderId="0" xfId="0" applyFont="1" applyFill="1" applyBorder="1" applyAlignment="1" applyProtection="1">
      <alignment horizontal="center"/>
    </xf>
    <xf numFmtId="1" fontId="2" fillId="0" borderId="26" xfId="0" applyNumberFormat="1" applyFont="1" applyFill="1" applyBorder="1" applyAlignment="1" applyProtection="1">
      <alignment horizontal="left"/>
    </xf>
    <xf numFmtId="1" fontId="2" fillId="0" borderId="33" xfId="0" applyNumberFormat="1" applyFont="1" applyFill="1" applyBorder="1" applyAlignment="1" applyProtection="1">
      <alignment horizontal="left"/>
    </xf>
    <xf numFmtId="0" fontId="2" fillId="0" borderId="37" xfId="0" applyFont="1" applyBorder="1" applyAlignment="1" applyProtection="1">
      <alignment horizontal="center"/>
    </xf>
    <xf numFmtId="0" fontId="1" fillId="0" borderId="41" xfId="0" applyFont="1" applyBorder="1" applyAlignment="1" applyProtection="1">
      <alignment horizontal="center"/>
    </xf>
    <xf numFmtId="1" fontId="2" fillId="0" borderId="0" xfId="0" applyNumberFormat="1" applyFont="1" applyFill="1" applyBorder="1" applyAlignment="1" applyProtection="1">
      <alignment horizontal="center"/>
    </xf>
    <xf numFmtId="0" fontId="2" fillId="0" borderId="35" xfId="0" applyFont="1" applyBorder="1" applyAlignment="1" applyProtection="1">
      <alignment horizontal="center"/>
    </xf>
    <xf numFmtId="0" fontId="2" fillId="0" borderId="36" xfId="0" applyFont="1" applyBorder="1" applyAlignment="1" applyProtection="1">
      <alignment horizontal="center"/>
    </xf>
    <xf numFmtId="164" fontId="1" fillId="0" borderId="0" xfId="0" applyNumberFormat="1" applyFont="1" applyBorder="1" applyAlignment="1" applyProtection="1">
      <alignment horizontal="center"/>
      <protection locked="0"/>
    </xf>
    <xf numFmtId="164" fontId="2" fillId="0" borderId="0" xfId="0" applyNumberFormat="1" applyFont="1" applyBorder="1" applyAlignment="1" applyProtection="1">
      <alignment horizontal="center"/>
      <protection locked="0"/>
    </xf>
    <xf numFmtId="164" fontId="0" fillId="0" borderId="0" xfId="0" applyNumberFormat="1" applyBorder="1" applyAlignment="1" applyProtection="1">
      <alignment horizontal="center"/>
      <protection locked="0"/>
    </xf>
    <xf numFmtId="0" fontId="2" fillId="0" borderId="18" xfId="0" applyFont="1" applyBorder="1" applyAlignment="1" applyProtection="1">
      <alignment horizontal="center"/>
    </xf>
    <xf numFmtId="0" fontId="2" fillId="0" borderId="44" xfId="0" applyFont="1" applyBorder="1" applyAlignment="1" applyProtection="1">
      <alignment horizontal="center"/>
    </xf>
    <xf numFmtId="1" fontId="2" fillId="0" borderId="59" xfId="0" applyNumberFormat="1" applyFont="1" applyFill="1" applyBorder="1" applyAlignment="1" applyProtection="1">
      <alignment horizontal="left"/>
    </xf>
    <xf numFmtId="1" fontId="2" fillId="0" borderId="60" xfId="0" applyNumberFormat="1" applyFont="1" applyFill="1" applyBorder="1" applyAlignment="1" applyProtection="1">
      <alignment horizontal="left"/>
    </xf>
    <xf numFmtId="1" fontId="2" fillId="0" borderId="27" xfId="0" applyNumberFormat="1" applyFont="1" applyFill="1" applyBorder="1" applyAlignment="1" applyProtection="1">
      <alignment horizontal="left"/>
    </xf>
    <xf numFmtId="1" fontId="2" fillId="0" borderId="32" xfId="0" applyNumberFormat="1" applyFont="1" applyFill="1" applyBorder="1" applyAlignment="1" applyProtection="1">
      <alignment horizontal="left"/>
    </xf>
    <xf numFmtId="0" fontId="1" fillId="0" borderId="0" xfId="0" applyFont="1" applyAlignment="1" applyProtection="1">
      <alignment horizontal="center"/>
      <protection locked="0"/>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44"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 fillId="0" borderId="44" xfId="0" applyFont="1" applyBorder="1" applyAlignment="1" applyProtection="1">
      <alignment horizontal="center"/>
      <protection locked="0"/>
    </xf>
    <xf numFmtId="0" fontId="3" fillId="0" borderId="0" xfId="0" applyNumberFormat="1" applyFont="1" applyBorder="1" applyAlignment="1" applyProtection="1">
      <alignment horizontal="left"/>
      <protection locked="0"/>
    </xf>
    <xf numFmtId="0" fontId="2" fillId="0" borderId="6" xfId="0" applyFont="1" applyBorder="1" applyAlignment="1" applyProtection="1">
      <alignment horizontal="center"/>
    </xf>
    <xf numFmtId="0" fontId="1" fillId="0" borderId="0" xfId="0" applyFont="1" applyBorder="1" applyAlignment="1" applyProtection="1">
      <alignment horizontal="center"/>
    </xf>
    <xf numFmtId="0" fontId="2" fillId="0" borderId="6" xfId="0" applyFont="1"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18" xfId="0" applyFont="1" applyBorder="1" applyAlignment="1">
      <alignment horizontal="center"/>
    </xf>
    <xf numFmtId="0" fontId="1" fillId="0" borderId="44" xfId="0" applyFont="1" applyBorder="1" applyAlignment="1">
      <alignment horizontal="center"/>
    </xf>
    <xf numFmtId="0" fontId="3" fillId="0" borderId="0" xfId="0" applyFont="1" applyFill="1" applyBorder="1" applyAlignment="1">
      <alignment horizontal="center"/>
    </xf>
    <xf numFmtId="0" fontId="2" fillId="0" borderId="0" xfId="0" applyNumberFormat="1" applyFont="1" applyBorder="1" applyAlignment="1" applyProtection="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6" fillId="0" borderId="0"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24.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25.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30.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themeOverride" Target="../theme/themeOverride33.xml"/><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34.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35.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36.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37.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themeOverride" Target="../theme/themeOverride38.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3" Type="http://schemas.openxmlformats.org/officeDocument/2006/relationships/themeOverride" Target="../theme/themeOverride39.xml"/><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themeOverride" Target="../theme/themeOverride40.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themeOverride" Target="../theme/themeOverride41.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themeOverride" Target="../theme/themeOverride42.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themeOverride" Target="../theme/themeOverride43.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themeOverride" Target="../theme/themeOverride44.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themeOverride" Target="../theme/themeOverride45.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themeOverride" Target="../theme/themeOverride46.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themeOverride" Target="../theme/themeOverride47.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themeOverride" Target="../theme/themeOverride48.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themeOverride" Target="../theme/themeOverride49.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themeOverride" Target="../theme/themeOverride50.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51.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themeOverride" Target="../theme/themeOverride52.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themeOverride" Target="../theme/themeOverride53.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themeOverride" Target="../theme/themeOverride54.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themeOverride" Target="../theme/themeOverride55.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3" Type="http://schemas.openxmlformats.org/officeDocument/2006/relationships/themeOverride" Target="../theme/themeOverride56.xml"/><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themeOverride" Target="../theme/themeOverride57.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3" Type="http://schemas.openxmlformats.org/officeDocument/2006/relationships/themeOverride" Target="../theme/themeOverride58.xml"/><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themeOverride" Target="../theme/themeOverride59.xml"/><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60.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61.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3" Type="http://schemas.openxmlformats.org/officeDocument/2006/relationships/themeOverride" Target="../theme/themeOverride62.xml"/><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3" Type="http://schemas.openxmlformats.org/officeDocument/2006/relationships/themeOverride" Target="../theme/themeOverride63.xml"/><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3" Type="http://schemas.openxmlformats.org/officeDocument/2006/relationships/themeOverride" Target="../theme/themeOverride64.xml"/><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3" Type="http://schemas.openxmlformats.org/officeDocument/2006/relationships/themeOverride" Target="../theme/themeOverride65.xml"/><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3" Type="http://schemas.openxmlformats.org/officeDocument/2006/relationships/themeOverride" Target="../theme/themeOverride66.xml"/><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3" Type="http://schemas.openxmlformats.org/officeDocument/2006/relationships/themeOverride" Target="../theme/themeOverride67.xml"/><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68.xml"/><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3" Type="http://schemas.openxmlformats.org/officeDocument/2006/relationships/themeOverride" Target="../theme/themeOverride69.xml"/><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3" Type="http://schemas.openxmlformats.org/officeDocument/2006/relationships/themeOverride" Target="../theme/themeOverride70.xml"/><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3" Type="http://schemas.openxmlformats.org/officeDocument/2006/relationships/themeOverride" Target="../theme/themeOverride71.xml"/><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3" Type="http://schemas.openxmlformats.org/officeDocument/2006/relationships/themeOverride" Target="../theme/themeOverride72.xml"/><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3" Type="http://schemas.openxmlformats.org/officeDocument/2006/relationships/themeOverride" Target="../theme/themeOverride73.xml"/><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3" Type="http://schemas.openxmlformats.org/officeDocument/2006/relationships/themeOverride" Target="../theme/themeOverride74.xml"/><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3" Type="http://schemas.openxmlformats.org/officeDocument/2006/relationships/themeOverride" Target="../theme/themeOverride75.xml"/><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3" Type="http://schemas.openxmlformats.org/officeDocument/2006/relationships/themeOverride" Target="../theme/themeOverride76.xml"/><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3" Type="http://schemas.openxmlformats.org/officeDocument/2006/relationships/themeOverride" Target="../theme/themeOverride77.xml"/><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3" Type="http://schemas.openxmlformats.org/officeDocument/2006/relationships/themeOverride" Target="../theme/themeOverride78.xml"/><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3" Type="http://schemas.openxmlformats.org/officeDocument/2006/relationships/themeOverride" Target="../theme/themeOverride79.xml"/><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3" Type="http://schemas.openxmlformats.org/officeDocument/2006/relationships/themeOverride" Target="../theme/themeOverride80.xml"/><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3" Type="http://schemas.openxmlformats.org/officeDocument/2006/relationships/themeOverride" Target="../theme/themeOverride81.xml"/><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3" Type="http://schemas.openxmlformats.org/officeDocument/2006/relationships/themeOverride" Target="../theme/themeOverride82.xml"/><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3" Type="http://schemas.openxmlformats.org/officeDocument/2006/relationships/themeOverride" Target="../theme/themeOverride83.xml"/><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3" Type="http://schemas.openxmlformats.org/officeDocument/2006/relationships/themeOverride" Target="../theme/themeOverride84.xml"/><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3" Type="http://schemas.openxmlformats.org/officeDocument/2006/relationships/themeOverride" Target="../theme/themeOverride85.xml"/><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3" Type="http://schemas.openxmlformats.org/officeDocument/2006/relationships/themeOverride" Target="../theme/themeOverride86.xml"/><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3" Type="http://schemas.openxmlformats.org/officeDocument/2006/relationships/themeOverride" Target="../theme/themeOverride87.xml"/><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3" Type="http://schemas.openxmlformats.org/officeDocument/2006/relationships/themeOverride" Target="../theme/themeOverride88.xml"/><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3" Type="http://schemas.openxmlformats.org/officeDocument/2006/relationships/themeOverride" Target="../theme/themeOverride89.xml"/><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3" Type="http://schemas.openxmlformats.org/officeDocument/2006/relationships/themeOverride" Target="../theme/themeOverride90.xml"/><Relationship Id="rId2" Type="http://schemas.microsoft.com/office/2011/relationships/chartColorStyle" Target="colors96.xml"/><Relationship Id="rId1" Type="http://schemas.microsoft.com/office/2011/relationships/chartStyle" Target="style9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Walk!$B$42</c:f>
          <c:strCache>
            <c:ptCount val="1"/>
            <c:pt idx="0">
              <c:v>L Med/Lat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Walk!$A$153:$A$160</c:f>
              <c:numCache>
                <c:formatCode>0.00</c:formatCode>
                <c:ptCount val="8"/>
                <c:pt idx="0">
                  <c:v>0</c:v>
                </c:pt>
                <c:pt idx="1">
                  <c:v>10</c:v>
                </c:pt>
                <c:pt idx="2">
                  <c:v>17.36</c:v>
                </c:pt>
                <c:pt idx="3">
                  <c:v>19.79</c:v>
                </c:pt>
                <c:pt idx="4">
                  <c:v>64.239999999999995</c:v>
                </c:pt>
                <c:pt idx="5">
                  <c:v>75.349999999999994</c:v>
                </c:pt>
                <c:pt idx="6">
                  <c:v>92.01</c:v>
                </c:pt>
                <c:pt idx="7">
                  <c:v>100</c:v>
                </c:pt>
              </c:numCache>
            </c:numRef>
          </c:xVal>
          <c:yVal>
            <c:numRef>
              <c:f>Walk!$B$153:$B$160</c:f>
              <c:numCache>
                <c:formatCode>0</c:formatCode>
                <c:ptCount val="8"/>
                <c:pt idx="0">
                  <c:v>100</c:v>
                </c:pt>
                <c:pt idx="1">
                  <c:v>100</c:v>
                </c:pt>
                <c:pt idx="2">
                  <c:v>100</c:v>
                </c:pt>
                <c:pt idx="3">
                  <c:v>0</c:v>
                </c:pt>
                <c:pt idx="4">
                  <c:v>0</c:v>
                </c:pt>
                <c:pt idx="5">
                  <c:v>150</c:v>
                </c:pt>
                <c:pt idx="6">
                  <c:v>131</c:v>
                </c:pt>
                <c:pt idx="7">
                  <c:v>131</c:v>
                </c:pt>
              </c:numCache>
            </c:numRef>
          </c:yVal>
          <c:smooth val="0"/>
        </c:ser>
        <c:dLbls>
          <c:showLegendKey val="0"/>
          <c:showVal val="0"/>
          <c:showCatName val="0"/>
          <c:showSerName val="0"/>
          <c:showPercent val="0"/>
          <c:showBubbleSize val="0"/>
        </c:dLbls>
        <c:axId val="129328856"/>
        <c:axId val="129329248"/>
      </c:scatterChart>
      <c:valAx>
        <c:axId val="1293288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9329248"/>
        <c:crosses val="autoZero"/>
        <c:crossBetween val="midCat"/>
        <c:minorUnit val="2"/>
      </c:valAx>
      <c:valAx>
        <c:axId val="1293292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93288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Walk!$B$42</c:f>
          <c:strCache>
            <c:ptCount val="1"/>
            <c:pt idx="0">
              <c:v>L Med/Lat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Walk!$O$153:$O$160</c:f>
              <c:numCache>
                <c:formatCode>0.00</c:formatCode>
                <c:ptCount val="8"/>
                <c:pt idx="0">
                  <c:v>0</c:v>
                </c:pt>
                <c:pt idx="1">
                  <c:v>4.51</c:v>
                </c:pt>
                <c:pt idx="2">
                  <c:v>14.93</c:v>
                </c:pt>
                <c:pt idx="3">
                  <c:v>57</c:v>
                </c:pt>
                <c:pt idx="4">
                  <c:v>79</c:v>
                </c:pt>
                <c:pt idx="5">
                  <c:v>85</c:v>
                </c:pt>
                <c:pt idx="6">
                  <c:v>95</c:v>
                </c:pt>
                <c:pt idx="7">
                  <c:v>100</c:v>
                </c:pt>
              </c:numCache>
            </c:numRef>
          </c:xVal>
          <c:yVal>
            <c:numRef>
              <c:f>Walk!$P$153:$P$160</c:f>
              <c:numCache>
                <c:formatCode>0</c:formatCode>
                <c:ptCount val="8"/>
                <c:pt idx="0">
                  <c:v>131</c:v>
                </c:pt>
                <c:pt idx="1">
                  <c:v>120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180943600"/>
        <c:axId val="180943992"/>
      </c:scatterChart>
      <c:valAx>
        <c:axId val="1809436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0943992"/>
        <c:crosses val="autoZero"/>
        <c:crossBetween val="midCat"/>
        <c:minorUnit val="2"/>
      </c:valAx>
      <c:valAx>
        <c:axId val="1809439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09436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Walk!$B$50</c:f>
          <c:strCache>
            <c:ptCount val="1"/>
            <c:pt idx="0">
              <c:v>L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Walk!$A$177:$A$184</c:f>
              <c:numCache>
                <c:formatCode>0.00</c:formatCode>
                <c:ptCount val="8"/>
                <c:pt idx="0">
                  <c:v>0</c:v>
                </c:pt>
                <c:pt idx="1">
                  <c:v>10</c:v>
                </c:pt>
                <c:pt idx="2">
                  <c:v>17.36</c:v>
                </c:pt>
                <c:pt idx="3">
                  <c:v>19.79</c:v>
                </c:pt>
                <c:pt idx="4">
                  <c:v>69.790000000000006</c:v>
                </c:pt>
                <c:pt idx="5">
                  <c:v>92.01</c:v>
                </c:pt>
                <c:pt idx="6">
                  <c:v>95</c:v>
                </c:pt>
                <c:pt idx="7">
                  <c:v>100</c:v>
                </c:pt>
              </c:numCache>
            </c:numRef>
          </c:xVal>
          <c:yVal>
            <c:numRef>
              <c:f>Walk!$B$177:$B$184</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80944776"/>
        <c:axId val="180945168"/>
      </c:scatterChart>
      <c:valAx>
        <c:axId val="1809447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0945168"/>
        <c:crosses val="autoZero"/>
        <c:crossBetween val="midCat"/>
        <c:minorUnit val="2"/>
      </c:valAx>
      <c:valAx>
        <c:axId val="1809451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09447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Walk!$B$50</c:f>
          <c:strCache>
            <c:ptCount val="1"/>
            <c:pt idx="0">
              <c:v>L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Walk!$O$177:$O$184</c:f>
              <c:numCache>
                <c:formatCode>0.00</c:formatCode>
                <c:ptCount val="8"/>
                <c:pt idx="0">
                  <c:v>0</c:v>
                </c:pt>
                <c:pt idx="1">
                  <c:v>10</c:v>
                </c:pt>
                <c:pt idx="2">
                  <c:v>50</c:v>
                </c:pt>
                <c:pt idx="3">
                  <c:v>75</c:v>
                </c:pt>
                <c:pt idx="4">
                  <c:v>88</c:v>
                </c:pt>
                <c:pt idx="5">
                  <c:v>94</c:v>
                </c:pt>
                <c:pt idx="6">
                  <c:v>95</c:v>
                </c:pt>
                <c:pt idx="7">
                  <c:v>100</c:v>
                </c:pt>
              </c:numCache>
            </c:numRef>
          </c:xVal>
          <c:yVal>
            <c:numRef>
              <c:f>Walk!$P$177:$P$184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0945952"/>
        <c:axId val="180946344"/>
      </c:scatterChart>
      <c:valAx>
        <c:axId val="1809459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0946344"/>
        <c:crosses val="autoZero"/>
        <c:crossBetween val="midCat"/>
        <c:minorUnit val="2"/>
      </c:valAx>
      <c:valAx>
        <c:axId val="1809463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09459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Walk!$B$58</c:f>
          <c:strCache>
            <c:ptCount val="1"/>
            <c:pt idx="0">
              <c:v>L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Walk!$A$201:$A$208</c:f>
              <c:numCache>
                <c:formatCode>0.00</c:formatCode>
                <c:ptCount val="8"/>
                <c:pt idx="0">
                  <c:v>0</c:v>
                </c:pt>
                <c:pt idx="1">
                  <c:v>10</c:v>
                </c:pt>
                <c:pt idx="2">
                  <c:v>17.36</c:v>
                </c:pt>
                <c:pt idx="3">
                  <c:v>19.79</c:v>
                </c:pt>
                <c:pt idx="4">
                  <c:v>67.010000000000005</c:v>
                </c:pt>
                <c:pt idx="5">
                  <c:v>80.900000000000006</c:v>
                </c:pt>
                <c:pt idx="6">
                  <c:v>90</c:v>
                </c:pt>
                <c:pt idx="7">
                  <c:v>100</c:v>
                </c:pt>
              </c:numCache>
            </c:numRef>
          </c:xVal>
          <c:yVal>
            <c:numRef>
              <c:f>Walk!$B$201:$B$208</c:f>
              <c:numCache>
                <c:formatCode>0</c:formatCode>
                <c:ptCount val="8"/>
                <c:pt idx="0">
                  <c:v>25</c:v>
                </c:pt>
                <c:pt idx="1">
                  <c:v>25</c:v>
                </c:pt>
                <c:pt idx="2">
                  <c:v>25</c:v>
                </c:pt>
                <c:pt idx="3">
                  <c:v>0</c:v>
                </c:pt>
                <c:pt idx="4">
                  <c:v>0</c:v>
                </c:pt>
                <c:pt idx="5">
                  <c:v>25</c:v>
                </c:pt>
                <c:pt idx="6">
                  <c:v>25</c:v>
                </c:pt>
                <c:pt idx="7">
                  <c:v>25</c:v>
                </c:pt>
              </c:numCache>
            </c:numRef>
          </c:yVal>
          <c:smooth val="0"/>
        </c:ser>
        <c:dLbls>
          <c:showLegendKey val="0"/>
          <c:showVal val="0"/>
          <c:showCatName val="0"/>
          <c:showSerName val="0"/>
          <c:showPercent val="0"/>
          <c:showBubbleSize val="0"/>
        </c:dLbls>
        <c:axId val="181857792"/>
        <c:axId val="181858184"/>
      </c:scatterChart>
      <c:valAx>
        <c:axId val="1818577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8184"/>
        <c:crosses val="autoZero"/>
        <c:crossBetween val="midCat"/>
        <c:minorUnit val="2"/>
      </c:valAx>
      <c:valAx>
        <c:axId val="1818581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77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Walk!$B$58</c:f>
          <c:strCache>
            <c:ptCount val="1"/>
            <c:pt idx="0">
              <c:v>L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Walk!$O$201:$O$208</c:f>
              <c:numCache>
                <c:formatCode>0.00</c:formatCode>
                <c:ptCount val="8"/>
                <c:pt idx="0">
                  <c:v>0</c:v>
                </c:pt>
                <c:pt idx="1">
                  <c:v>10</c:v>
                </c:pt>
                <c:pt idx="2">
                  <c:v>20</c:v>
                </c:pt>
                <c:pt idx="3">
                  <c:v>50</c:v>
                </c:pt>
                <c:pt idx="4">
                  <c:v>93.06</c:v>
                </c:pt>
                <c:pt idx="5">
                  <c:v>97</c:v>
                </c:pt>
                <c:pt idx="6">
                  <c:v>99</c:v>
                </c:pt>
                <c:pt idx="7">
                  <c:v>100</c:v>
                </c:pt>
              </c:numCache>
            </c:numRef>
          </c:xVal>
          <c:yVal>
            <c:numRef>
              <c:f>Walk!$P$201:$P$208</c:f>
              <c:numCache>
                <c:formatCode>0</c:formatCode>
                <c:ptCount val="8"/>
                <c:pt idx="0">
                  <c:v>25</c:v>
                </c:pt>
                <c:pt idx="1">
                  <c:v>25</c:v>
                </c:pt>
                <c:pt idx="2">
                  <c:v>25</c:v>
                </c:pt>
                <c:pt idx="3">
                  <c:v>25</c:v>
                </c:pt>
                <c:pt idx="4">
                  <c:v>25</c:v>
                </c:pt>
                <c:pt idx="5">
                  <c:v>25</c:v>
                </c:pt>
                <c:pt idx="6">
                  <c:v>25</c:v>
                </c:pt>
                <c:pt idx="7">
                  <c:v>25</c:v>
                </c:pt>
              </c:numCache>
            </c:numRef>
          </c:yVal>
          <c:smooth val="0"/>
        </c:ser>
        <c:dLbls>
          <c:showLegendKey val="0"/>
          <c:showVal val="0"/>
          <c:showCatName val="0"/>
          <c:showSerName val="0"/>
          <c:showPercent val="0"/>
          <c:showBubbleSize val="0"/>
        </c:dLbls>
        <c:axId val="181859360"/>
        <c:axId val="181859752"/>
      </c:scatterChart>
      <c:valAx>
        <c:axId val="181859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9752"/>
        <c:crosses val="autoZero"/>
        <c:crossBetween val="midCat"/>
        <c:minorUnit val="2"/>
      </c:valAx>
      <c:valAx>
        <c:axId val="1818597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9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Walk!$B$66</c:f>
          <c:strCache>
            <c:ptCount val="1"/>
            <c:pt idx="0">
              <c:v>L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Walk!$A$225:$A$232</c:f>
              <c:numCache>
                <c:formatCode>0.00</c:formatCode>
                <c:ptCount val="8"/>
                <c:pt idx="0">
                  <c:v>0</c:v>
                </c:pt>
                <c:pt idx="1">
                  <c:v>17.36</c:v>
                </c:pt>
                <c:pt idx="2">
                  <c:v>19.79</c:v>
                </c:pt>
                <c:pt idx="3">
                  <c:v>89.24</c:v>
                </c:pt>
                <c:pt idx="4">
                  <c:v>92.01</c:v>
                </c:pt>
                <c:pt idx="5">
                  <c:v>94</c:v>
                </c:pt>
                <c:pt idx="6">
                  <c:v>96</c:v>
                </c:pt>
                <c:pt idx="7">
                  <c:v>100</c:v>
                </c:pt>
              </c:numCache>
            </c:numRef>
          </c:xVal>
          <c:yVal>
            <c:numRef>
              <c:f>Walk!$B$225:$B$232</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81857400"/>
        <c:axId val="181857008"/>
      </c:scatterChart>
      <c:valAx>
        <c:axId val="1818574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7008"/>
        <c:crosses val="autoZero"/>
        <c:crossBetween val="midCat"/>
        <c:minorUnit val="2"/>
      </c:valAx>
      <c:valAx>
        <c:axId val="1818570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74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Walk!$B$66</c:f>
          <c:strCache>
            <c:ptCount val="1"/>
            <c:pt idx="0">
              <c:v>L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Walk!$O$225:$O$232</c:f>
              <c:numCache>
                <c:formatCode>0.00</c:formatCode>
                <c:ptCount val="8"/>
                <c:pt idx="0">
                  <c:v>0</c:v>
                </c:pt>
                <c:pt idx="1">
                  <c:v>10</c:v>
                </c:pt>
                <c:pt idx="2">
                  <c:v>50</c:v>
                </c:pt>
                <c:pt idx="3">
                  <c:v>89.93</c:v>
                </c:pt>
                <c:pt idx="4">
                  <c:v>95</c:v>
                </c:pt>
                <c:pt idx="5">
                  <c:v>98</c:v>
                </c:pt>
                <c:pt idx="6">
                  <c:v>99</c:v>
                </c:pt>
                <c:pt idx="7">
                  <c:v>100</c:v>
                </c:pt>
              </c:numCache>
            </c:numRef>
          </c:xVal>
          <c:yVal>
            <c:numRef>
              <c:f>Walk!$P$225:$P$232</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81858968"/>
        <c:axId val="181856224"/>
      </c:scatterChart>
      <c:valAx>
        <c:axId val="1818589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6224"/>
        <c:crosses val="autoZero"/>
        <c:crossBetween val="midCat"/>
        <c:minorUnit val="2"/>
      </c:valAx>
      <c:valAx>
        <c:axId val="1818562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18589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Walk!$B$74</c:f>
          <c:strCache>
            <c:ptCount val="1"/>
            <c:pt idx="0">
              <c:v>L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Walk!$A$249:$A$256</c:f>
              <c:numCache>
                <c:formatCode>0.00</c:formatCode>
                <c:ptCount val="8"/>
                <c:pt idx="0">
                  <c:v>0</c:v>
                </c:pt>
                <c:pt idx="1">
                  <c:v>17.36</c:v>
                </c:pt>
                <c:pt idx="2">
                  <c:v>19.79</c:v>
                </c:pt>
                <c:pt idx="3">
                  <c:v>86.46</c:v>
                </c:pt>
                <c:pt idx="4">
                  <c:v>92.01</c:v>
                </c:pt>
                <c:pt idx="5">
                  <c:v>96</c:v>
                </c:pt>
                <c:pt idx="6">
                  <c:v>98</c:v>
                </c:pt>
                <c:pt idx="7">
                  <c:v>100</c:v>
                </c:pt>
              </c:numCache>
            </c:numRef>
          </c:xVal>
          <c:yVal>
            <c:numRef>
              <c:f>Walk!$B$249:$B$256</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82145072"/>
        <c:axId val="182145464"/>
      </c:scatterChart>
      <c:valAx>
        <c:axId val="182145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145464"/>
        <c:crosses val="autoZero"/>
        <c:crossBetween val="midCat"/>
        <c:minorUnit val="2"/>
      </c:valAx>
      <c:valAx>
        <c:axId val="182145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145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Walk!$B$74</c:f>
          <c:strCache>
            <c:ptCount val="1"/>
            <c:pt idx="0">
              <c:v>L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Walk!$O$249:$O$256</c:f>
              <c:numCache>
                <c:formatCode>0.00</c:formatCode>
                <c:ptCount val="8"/>
                <c:pt idx="0">
                  <c:v>0</c:v>
                </c:pt>
                <c:pt idx="1">
                  <c:v>10</c:v>
                </c:pt>
                <c:pt idx="2">
                  <c:v>50</c:v>
                </c:pt>
                <c:pt idx="3">
                  <c:v>93.06</c:v>
                </c:pt>
                <c:pt idx="4">
                  <c:v>96.53</c:v>
                </c:pt>
                <c:pt idx="5">
                  <c:v>98</c:v>
                </c:pt>
                <c:pt idx="6">
                  <c:v>99</c:v>
                </c:pt>
                <c:pt idx="7">
                  <c:v>100</c:v>
                </c:pt>
              </c:numCache>
            </c:numRef>
          </c:xVal>
          <c:yVal>
            <c:numRef>
              <c:f>Walk!$P$249:$P$256</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82146248"/>
        <c:axId val="182146640"/>
      </c:scatterChart>
      <c:valAx>
        <c:axId val="182146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146640"/>
        <c:crosses val="autoZero"/>
        <c:crossBetween val="midCat"/>
        <c:minorUnit val="2"/>
      </c:valAx>
      <c:valAx>
        <c:axId val="182146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146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Walk!$B$82</c:f>
          <c:strCache>
            <c:ptCount val="1"/>
            <c:pt idx="0">
              <c:v>L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Walk!$A$273:$A$280</c:f>
              <c:numCache>
                <c:formatCode>0.00</c:formatCode>
                <c:ptCount val="8"/>
                <c:pt idx="0">
                  <c:v>0</c:v>
                </c:pt>
                <c:pt idx="1">
                  <c:v>10</c:v>
                </c:pt>
                <c:pt idx="2">
                  <c:v>17.36</c:v>
                </c:pt>
                <c:pt idx="3">
                  <c:v>19.79</c:v>
                </c:pt>
                <c:pt idx="4">
                  <c:v>69.790000000000006</c:v>
                </c:pt>
                <c:pt idx="5">
                  <c:v>92.01</c:v>
                </c:pt>
                <c:pt idx="6">
                  <c:v>95</c:v>
                </c:pt>
                <c:pt idx="7">
                  <c:v>100</c:v>
                </c:pt>
              </c:numCache>
            </c:numRef>
          </c:xVal>
          <c:yVal>
            <c:numRef>
              <c:f>Walk!$B$273:$B$280</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82147424"/>
        <c:axId val="182147816"/>
      </c:scatterChart>
      <c:valAx>
        <c:axId val="182147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147816"/>
        <c:crosses val="autoZero"/>
        <c:crossBetween val="midCat"/>
        <c:minorUnit val="2"/>
      </c:valAx>
      <c:valAx>
        <c:axId val="1821478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147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Walk!$B$82</c:f>
          <c:strCache>
            <c:ptCount val="1"/>
            <c:pt idx="0">
              <c:v>L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Walk!$O$273:$O$280</c:f>
              <c:numCache>
                <c:formatCode>0.00</c:formatCode>
                <c:ptCount val="8"/>
                <c:pt idx="0">
                  <c:v>0</c:v>
                </c:pt>
                <c:pt idx="1">
                  <c:v>10</c:v>
                </c:pt>
                <c:pt idx="2">
                  <c:v>50</c:v>
                </c:pt>
                <c:pt idx="3">
                  <c:v>75</c:v>
                </c:pt>
                <c:pt idx="4">
                  <c:v>88</c:v>
                </c:pt>
                <c:pt idx="5">
                  <c:v>94</c:v>
                </c:pt>
                <c:pt idx="6">
                  <c:v>95</c:v>
                </c:pt>
                <c:pt idx="7">
                  <c:v>100</c:v>
                </c:pt>
              </c:numCache>
            </c:numRef>
          </c:xVal>
          <c:yVal>
            <c:numRef>
              <c:f>Walk!$P$273:$P$280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667544"/>
        <c:axId val="182667936"/>
      </c:scatterChart>
      <c:valAx>
        <c:axId val="1826675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667936"/>
        <c:crosses val="autoZero"/>
        <c:crossBetween val="midCat"/>
        <c:minorUnit val="2"/>
      </c:valAx>
      <c:valAx>
        <c:axId val="1826679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6675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Walk!$B$90</c:f>
          <c:strCache>
            <c:ptCount val="1"/>
            <c:pt idx="0">
              <c:v>L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Walk!$A$297:$A$304</c:f>
              <c:numCache>
                <c:formatCode>0.00</c:formatCode>
                <c:ptCount val="8"/>
                <c:pt idx="0">
                  <c:v>0</c:v>
                </c:pt>
                <c:pt idx="1">
                  <c:v>10</c:v>
                </c:pt>
                <c:pt idx="2">
                  <c:v>17.36</c:v>
                </c:pt>
                <c:pt idx="3">
                  <c:v>19.79</c:v>
                </c:pt>
                <c:pt idx="4">
                  <c:v>69.790000000000006</c:v>
                </c:pt>
                <c:pt idx="5">
                  <c:v>92.01</c:v>
                </c:pt>
                <c:pt idx="6">
                  <c:v>95</c:v>
                </c:pt>
                <c:pt idx="7">
                  <c:v>100</c:v>
                </c:pt>
              </c:numCache>
            </c:numRef>
          </c:xVal>
          <c:yVal>
            <c:numRef>
              <c:f>Walk!$B$297:$B$304</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82668720"/>
        <c:axId val="182669112"/>
      </c:scatterChart>
      <c:valAx>
        <c:axId val="1826687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669112"/>
        <c:crosses val="autoZero"/>
        <c:crossBetween val="midCat"/>
        <c:minorUnit val="2"/>
      </c:valAx>
      <c:valAx>
        <c:axId val="1826691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6687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Walk!$B$90</c:f>
          <c:strCache>
            <c:ptCount val="1"/>
            <c:pt idx="0">
              <c:v>L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Walk!$O$297:$O$304</c:f>
              <c:numCache>
                <c:formatCode>0.00</c:formatCode>
                <c:ptCount val="8"/>
                <c:pt idx="0">
                  <c:v>0</c:v>
                </c:pt>
                <c:pt idx="1">
                  <c:v>10</c:v>
                </c:pt>
                <c:pt idx="2">
                  <c:v>50</c:v>
                </c:pt>
                <c:pt idx="3">
                  <c:v>75</c:v>
                </c:pt>
                <c:pt idx="4">
                  <c:v>88</c:v>
                </c:pt>
                <c:pt idx="5">
                  <c:v>94</c:v>
                </c:pt>
                <c:pt idx="6">
                  <c:v>95</c:v>
                </c:pt>
                <c:pt idx="7">
                  <c:v>100</c:v>
                </c:pt>
              </c:numCache>
            </c:numRef>
          </c:xVal>
          <c:yVal>
            <c:numRef>
              <c:f>Walk!$P$297:$P$304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669896"/>
        <c:axId val="182670288"/>
      </c:scatterChart>
      <c:valAx>
        <c:axId val="182669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670288"/>
        <c:crosses val="autoZero"/>
        <c:crossBetween val="midCat"/>
        <c:minorUnit val="2"/>
      </c:valAx>
      <c:valAx>
        <c:axId val="182670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669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Walk!$B$98</c:f>
          <c:strCache>
            <c:ptCount val="1"/>
            <c:pt idx="0">
              <c:v>L TA/Per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Walk!$A$321:$A$328</c:f>
              <c:numCache>
                <c:formatCode>0.00</c:formatCode>
                <c:ptCount val="8"/>
                <c:pt idx="0">
                  <c:v>0</c:v>
                </c:pt>
                <c:pt idx="1">
                  <c:v>10</c:v>
                </c:pt>
                <c:pt idx="2">
                  <c:v>17.36</c:v>
                </c:pt>
                <c:pt idx="3">
                  <c:v>19.79</c:v>
                </c:pt>
                <c:pt idx="4">
                  <c:v>75.349999999999994</c:v>
                </c:pt>
                <c:pt idx="5">
                  <c:v>86.46</c:v>
                </c:pt>
                <c:pt idx="6">
                  <c:v>95</c:v>
                </c:pt>
                <c:pt idx="7">
                  <c:v>100</c:v>
                </c:pt>
              </c:numCache>
            </c:numRef>
          </c:xVal>
          <c:yVal>
            <c:numRef>
              <c:f>Walk!$B$321:$B$328</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82756824"/>
        <c:axId val="182757216"/>
      </c:scatterChart>
      <c:valAx>
        <c:axId val="182756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757216"/>
        <c:crosses val="autoZero"/>
        <c:crossBetween val="midCat"/>
        <c:minorUnit val="2"/>
      </c:valAx>
      <c:valAx>
        <c:axId val="182757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756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Walk!$B$98</c:f>
          <c:strCache>
            <c:ptCount val="1"/>
            <c:pt idx="0">
              <c:v>L TA/Per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Walk!$O$321:$O$328</c:f>
              <c:numCache>
                <c:formatCode>0.00</c:formatCode>
                <c:ptCount val="8"/>
                <c:pt idx="0">
                  <c:v>0</c:v>
                </c:pt>
                <c:pt idx="1">
                  <c:v>10</c:v>
                </c:pt>
                <c:pt idx="2">
                  <c:v>50</c:v>
                </c:pt>
                <c:pt idx="3">
                  <c:v>75</c:v>
                </c:pt>
                <c:pt idx="4">
                  <c:v>88</c:v>
                </c:pt>
                <c:pt idx="5">
                  <c:v>94</c:v>
                </c:pt>
                <c:pt idx="6">
                  <c:v>95</c:v>
                </c:pt>
                <c:pt idx="7">
                  <c:v>100</c:v>
                </c:pt>
              </c:numCache>
            </c:numRef>
          </c:xVal>
          <c:yVal>
            <c:numRef>
              <c:f>Walk!$P$321:$P$328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758000"/>
        <c:axId val="182758392"/>
      </c:scatterChart>
      <c:valAx>
        <c:axId val="1827580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758392"/>
        <c:crosses val="autoZero"/>
        <c:crossBetween val="midCat"/>
        <c:minorUnit val="2"/>
      </c:valAx>
      <c:valAx>
        <c:axId val="1827583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7580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Walk!$A$345:$A$352</c:f>
              <c:numCache>
                <c:formatCode>0.00</c:formatCode>
                <c:ptCount val="8"/>
                <c:pt idx="0">
                  <c:v>0</c:v>
                </c:pt>
                <c:pt idx="1">
                  <c:v>7.89</c:v>
                </c:pt>
                <c:pt idx="2">
                  <c:v>20</c:v>
                </c:pt>
                <c:pt idx="3">
                  <c:v>55.26</c:v>
                </c:pt>
                <c:pt idx="4">
                  <c:v>60</c:v>
                </c:pt>
                <c:pt idx="5">
                  <c:v>65</c:v>
                </c:pt>
                <c:pt idx="6">
                  <c:v>71.05</c:v>
                </c:pt>
                <c:pt idx="7">
                  <c:v>100</c:v>
                </c:pt>
              </c:numCache>
            </c:numRef>
          </c:xVal>
          <c:yVal>
            <c:numRef>
              <c:f>Walk!$B$345:$B$352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759176"/>
        <c:axId val="182759568"/>
      </c:scatterChart>
      <c:valAx>
        <c:axId val="1827591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759568"/>
        <c:crosses val="autoZero"/>
        <c:crossBetween val="midCat"/>
        <c:minorUnit val="2"/>
      </c:valAx>
      <c:valAx>
        <c:axId val="1827595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7591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Walk!$O$345:$O$352</c:f>
              <c:numCache>
                <c:formatCode>0.00</c:formatCode>
                <c:ptCount val="8"/>
                <c:pt idx="0">
                  <c:v>0</c:v>
                </c:pt>
                <c:pt idx="1">
                  <c:v>10</c:v>
                </c:pt>
                <c:pt idx="2">
                  <c:v>20</c:v>
                </c:pt>
                <c:pt idx="3">
                  <c:v>30</c:v>
                </c:pt>
                <c:pt idx="4">
                  <c:v>40</c:v>
                </c:pt>
                <c:pt idx="5">
                  <c:v>50</c:v>
                </c:pt>
                <c:pt idx="6">
                  <c:v>66.7</c:v>
                </c:pt>
                <c:pt idx="7">
                  <c:v>100</c:v>
                </c:pt>
              </c:numCache>
            </c:numRef>
          </c:xVal>
          <c:yVal>
            <c:numRef>
              <c:f>Walk!$P$345:$P$352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925768"/>
        <c:axId val="182926160"/>
      </c:scatterChart>
      <c:valAx>
        <c:axId val="1829257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6160"/>
        <c:crosses val="autoZero"/>
        <c:crossBetween val="midCat"/>
        <c:minorUnit val="2"/>
      </c:valAx>
      <c:valAx>
        <c:axId val="1829261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57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Walk!$A$369:$A$376</c:f>
              <c:numCache>
                <c:formatCode>0.00</c:formatCode>
                <c:ptCount val="8"/>
                <c:pt idx="0">
                  <c:v>0</c:v>
                </c:pt>
                <c:pt idx="1">
                  <c:v>7.89</c:v>
                </c:pt>
                <c:pt idx="2">
                  <c:v>20</c:v>
                </c:pt>
                <c:pt idx="3">
                  <c:v>55.26</c:v>
                </c:pt>
                <c:pt idx="4">
                  <c:v>60</c:v>
                </c:pt>
                <c:pt idx="5">
                  <c:v>65</c:v>
                </c:pt>
                <c:pt idx="6">
                  <c:v>71.05</c:v>
                </c:pt>
                <c:pt idx="7">
                  <c:v>100</c:v>
                </c:pt>
              </c:numCache>
            </c:numRef>
          </c:xVal>
          <c:yVal>
            <c:numRef>
              <c:f>Walk!$B$369:$B$376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926552"/>
        <c:axId val="182926944"/>
      </c:scatterChart>
      <c:valAx>
        <c:axId val="1829265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6944"/>
        <c:crosses val="autoZero"/>
        <c:crossBetween val="midCat"/>
        <c:minorUnit val="2"/>
      </c:valAx>
      <c:valAx>
        <c:axId val="1829269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65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Walk!$O$369:$O$376</c:f>
              <c:numCache>
                <c:formatCode>0.00</c:formatCode>
                <c:ptCount val="8"/>
                <c:pt idx="0">
                  <c:v>0</c:v>
                </c:pt>
                <c:pt idx="1">
                  <c:v>10</c:v>
                </c:pt>
                <c:pt idx="2">
                  <c:v>20</c:v>
                </c:pt>
                <c:pt idx="3">
                  <c:v>30</c:v>
                </c:pt>
                <c:pt idx="4">
                  <c:v>40</c:v>
                </c:pt>
                <c:pt idx="5">
                  <c:v>50</c:v>
                </c:pt>
                <c:pt idx="6">
                  <c:v>66.7</c:v>
                </c:pt>
                <c:pt idx="7">
                  <c:v>100</c:v>
                </c:pt>
              </c:numCache>
            </c:numRef>
          </c:xVal>
          <c:yVal>
            <c:numRef>
              <c:f>Walk!$P$369:$P$376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927728"/>
        <c:axId val="182928120"/>
      </c:scatterChart>
      <c:valAx>
        <c:axId val="1829277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8120"/>
        <c:crosses val="autoZero"/>
        <c:crossBetween val="midCat"/>
        <c:minorUnit val="2"/>
      </c:valAx>
      <c:valAx>
        <c:axId val="1829281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77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Walk!$A$393:$A$400</c:f>
              <c:numCache>
                <c:formatCode>0.00</c:formatCode>
                <c:ptCount val="8"/>
                <c:pt idx="0">
                  <c:v>0</c:v>
                </c:pt>
                <c:pt idx="1">
                  <c:v>7.89</c:v>
                </c:pt>
                <c:pt idx="2">
                  <c:v>20</c:v>
                </c:pt>
                <c:pt idx="3">
                  <c:v>55.26</c:v>
                </c:pt>
                <c:pt idx="4">
                  <c:v>60</c:v>
                </c:pt>
                <c:pt idx="5">
                  <c:v>65</c:v>
                </c:pt>
                <c:pt idx="6">
                  <c:v>71.05</c:v>
                </c:pt>
                <c:pt idx="7">
                  <c:v>100</c:v>
                </c:pt>
              </c:numCache>
            </c:numRef>
          </c:xVal>
          <c:yVal>
            <c:numRef>
              <c:f>Walk!$B$393:$B$400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2928904"/>
        <c:axId val="182929296"/>
      </c:scatterChart>
      <c:valAx>
        <c:axId val="1829289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9296"/>
        <c:crosses val="autoZero"/>
        <c:crossBetween val="midCat"/>
        <c:minorUnit val="2"/>
      </c:valAx>
      <c:valAx>
        <c:axId val="1829292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29289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Walk!$O$393:$O$400</c:f>
              <c:numCache>
                <c:formatCode>0.00</c:formatCode>
                <c:ptCount val="8"/>
                <c:pt idx="0">
                  <c:v>0</c:v>
                </c:pt>
                <c:pt idx="1">
                  <c:v>10</c:v>
                </c:pt>
                <c:pt idx="2">
                  <c:v>20</c:v>
                </c:pt>
                <c:pt idx="3">
                  <c:v>30</c:v>
                </c:pt>
                <c:pt idx="4">
                  <c:v>40</c:v>
                </c:pt>
                <c:pt idx="5">
                  <c:v>50</c:v>
                </c:pt>
                <c:pt idx="6">
                  <c:v>66.7</c:v>
                </c:pt>
                <c:pt idx="7">
                  <c:v>100</c:v>
                </c:pt>
              </c:numCache>
            </c:numRef>
          </c:xVal>
          <c:yVal>
            <c:numRef>
              <c:f>Walk!$P$393:$P$400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3180568"/>
        <c:axId val="183180960"/>
      </c:scatterChart>
      <c:valAx>
        <c:axId val="1831805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180960"/>
        <c:crosses val="autoZero"/>
        <c:crossBetween val="midCat"/>
        <c:minorUnit val="2"/>
      </c:valAx>
      <c:valAx>
        <c:axId val="1831809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1805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Walk!$A$417:$A$424</c:f>
              <c:numCache>
                <c:formatCode>0.00</c:formatCode>
                <c:ptCount val="8"/>
                <c:pt idx="0">
                  <c:v>0</c:v>
                </c:pt>
                <c:pt idx="1">
                  <c:v>7.89</c:v>
                </c:pt>
                <c:pt idx="2">
                  <c:v>20</c:v>
                </c:pt>
                <c:pt idx="3">
                  <c:v>55.26</c:v>
                </c:pt>
                <c:pt idx="4">
                  <c:v>60</c:v>
                </c:pt>
                <c:pt idx="5">
                  <c:v>65</c:v>
                </c:pt>
                <c:pt idx="6">
                  <c:v>71.05</c:v>
                </c:pt>
                <c:pt idx="7">
                  <c:v>100</c:v>
                </c:pt>
              </c:numCache>
            </c:numRef>
          </c:xVal>
          <c:yVal>
            <c:numRef>
              <c:f>Walk!$B$417:$B$424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3181744"/>
        <c:axId val="183182136"/>
      </c:scatterChart>
      <c:valAx>
        <c:axId val="1831817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182136"/>
        <c:crosses val="autoZero"/>
        <c:crossBetween val="midCat"/>
        <c:minorUnit val="2"/>
      </c:valAx>
      <c:valAx>
        <c:axId val="1831821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1817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Walk!$O$417:$O$424</c:f>
              <c:numCache>
                <c:formatCode>0.00</c:formatCode>
                <c:ptCount val="8"/>
                <c:pt idx="0">
                  <c:v>0</c:v>
                </c:pt>
                <c:pt idx="1">
                  <c:v>10</c:v>
                </c:pt>
                <c:pt idx="2">
                  <c:v>20</c:v>
                </c:pt>
                <c:pt idx="3">
                  <c:v>30</c:v>
                </c:pt>
                <c:pt idx="4">
                  <c:v>40</c:v>
                </c:pt>
                <c:pt idx="5">
                  <c:v>50</c:v>
                </c:pt>
                <c:pt idx="6">
                  <c:v>66.7</c:v>
                </c:pt>
                <c:pt idx="7">
                  <c:v>100</c:v>
                </c:pt>
              </c:numCache>
            </c:numRef>
          </c:xVal>
          <c:yVal>
            <c:numRef>
              <c:f>Walk!$P$417:$P$424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3182920"/>
        <c:axId val="183183312"/>
      </c:scatterChart>
      <c:valAx>
        <c:axId val="1831829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183312"/>
        <c:crosses val="autoZero"/>
        <c:crossBetween val="midCat"/>
        <c:minorUnit val="2"/>
      </c:valAx>
      <c:valAx>
        <c:axId val="1831833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1829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Walk!$J$42</c:f>
          <c:strCache>
            <c:ptCount val="1"/>
            <c:pt idx="0">
              <c:v>R Int/Lat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Walk!$A$442:$A$449</c:f>
              <c:numCache>
                <c:formatCode>0.00</c:formatCode>
                <c:ptCount val="8"/>
                <c:pt idx="0">
                  <c:v>0</c:v>
                </c:pt>
                <c:pt idx="1">
                  <c:v>25</c:v>
                </c:pt>
                <c:pt idx="2">
                  <c:v>50</c:v>
                </c:pt>
                <c:pt idx="3">
                  <c:v>75</c:v>
                </c:pt>
                <c:pt idx="4">
                  <c:v>88</c:v>
                </c:pt>
                <c:pt idx="5">
                  <c:v>94</c:v>
                </c:pt>
                <c:pt idx="6">
                  <c:v>95</c:v>
                </c:pt>
                <c:pt idx="7">
                  <c:v>100</c:v>
                </c:pt>
              </c:numCache>
            </c:numRef>
          </c:xVal>
          <c:yVal>
            <c:numRef>
              <c:f>Walk!$B$442:$B$449</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83465832"/>
        <c:axId val="183466224"/>
      </c:scatterChart>
      <c:valAx>
        <c:axId val="1834658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466224"/>
        <c:crosses val="autoZero"/>
        <c:crossBetween val="midCat"/>
        <c:minorUnit val="2"/>
      </c:valAx>
      <c:valAx>
        <c:axId val="1834662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4658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Walk!$J$42</c:f>
          <c:strCache>
            <c:ptCount val="1"/>
            <c:pt idx="0">
              <c:v>R Int/Lat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Walk!$O$442:$O$449</c:f>
              <c:numCache>
                <c:formatCode>0.00</c:formatCode>
                <c:ptCount val="8"/>
                <c:pt idx="0">
                  <c:v>0</c:v>
                </c:pt>
                <c:pt idx="1">
                  <c:v>5</c:v>
                </c:pt>
                <c:pt idx="2">
                  <c:v>9.3800000000000008</c:v>
                </c:pt>
                <c:pt idx="3">
                  <c:v>11.81</c:v>
                </c:pt>
                <c:pt idx="4">
                  <c:v>61.81</c:v>
                </c:pt>
                <c:pt idx="5">
                  <c:v>93.06</c:v>
                </c:pt>
                <c:pt idx="6">
                  <c:v>95</c:v>
                </c:pt>
                <c:pt idx="7">
                  <c:v>100</c:v>
                </c:pt>
              </c:numCache>
            </c:numRef>
          </c:xVal>
          <c:yVal>
            <c:numRef>
              <c:f>Walk!$P$442:$P$449</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183467008"/>
        <c:axId val="183467400"/>
      </c:scatterChart>
      <c:valAx>
        <c:axId val="1834670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467400"/>
        <c:crosses val="autoZero"/>
        <c:crossBetween val="midCat"/>
        <c:minorUnit val="2"/>
      </c:valAx>
      <c:valAx>
        <c:axId val="1834674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4670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Walk!$J$50</c:f>
          <c:strCache>
            <c:ptCount val="1"/>
            <c:pt idx="0">
              <c:v>R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Walk!$A$466:$A$473</c:f>
              <c:numCache>
                <c:formatCode>0.00</c:formatCode>
                <c:ptCount val="8"/>
                <c:pt idx="0">
                  <c:v>0</c:v>
                </c:pt>
                <c:pt idx="1">
                  <c:v>10</c:v>
                </c:pt>
                <c:pt idx="2">
                  <c:v>50</c:v>
                </c:pt>
                <c:pt idx="3">
                  <c:v>75</c:v>
                </c:pt>
                <c:pt idx="4">
                  <c:v>88</c:v>
                </c:pt>
                <c:pt idx="5">
                  <c:v>94</c:v>
                </c:pt>
                <c:pt idx="6">
                  <c:v>95</c:v>
                </c:pt>
                <c:pt idx="7">
                  <c:v>100</c:v>
                </c:pt>
              </c:numCache>
            </c:numRef>
          </c:xVal>
          <c:yVal>
            <c:numRef>
              <c:f>Walk!$B$466:$B$473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83468184"/>
        <c:axId val="183468576"/>
      </c:scatterChart>
      <c:valAx>
        <c:axId val="1834681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468576"/>
        <c:crosses val="autoZero"/>
        <c:crossBetween val="midCat"/>
        <c:minorUnit val="2"/>
      </c:valAx>
      <c:valAx>
        <c:axId val="1834685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4681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Walk!$J$50</c:f>
          <c:strCache>
            <c:ptCount val="1"/>
            <c:pt idx="0">
              <c:v>R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Walk!$O$466:$O$473</c:f>
              <c:numCache>
                <c:formatCode>0.00</c:formatCode>
                <c:ptCount val="8"/>
                <c:pt idx="0">
                  <c:v>0</c:v>
                </c:pt>
                <c:pt idx="1">
                  <c:v>5</c:v>
                </c:pt>
                <c:pt idx="2">
                  <c:v>9.3800000000000008</c:v>
                </c:pt>
                <c:pt idx="3">
                  <c:v>11.81</c:v>
                </c:pt>
                <c:pt idx="4">
                  <c:v>77.430000000000007</c:v>
                </c:pt>
                <c:pt idx="5">
                  <c:v>93.06</c:v>
                </c:pt>
                <c:pt idx="6">
                  <c:v>95</c:v>
                </c:pt>
                <c:pt idx="7">
                  <c:v>100</c:v>
                </c:pt>
              </c:numCache>
            </c:numRef>
          </c:xVal>
          <c:yVal>
            <c:numRef>
              <c:f>Walk!$P$466:$P$473</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83469360"/>
        <c:axId val="208584800"/>
      </c:scatterChart>
      <c:valAx>
        <c:axId val="183469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584800"/>
        <c:crosses val="autoZero"/>
        <c:crossBetween val="midCat"/>
        <c:minorUnit val="2"/>
      </c:valAx>
      <c:valAx>
        <c:axId val="2085848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3469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Walk!$J$58</c:f>
          <c:strCache>
            <c:ptCount val="1"/>
            <c:pt idx="0">
              <c:v>R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Walk!$A$490:$A$497</c:f>
              <c:numCache>
                <c:formatCode>0.00</c:formatCode>
                <c:ptCount val="8"/>
                <c:pt idx="0">
                  <c:v>0</c:v>
                </c:pt>
                <c:pt idx="1">
                  <c:v>10</c:v>
                </c:pt>
                <c:pt idx="2">
                  <c:v>50</c:v>
                </c:pt>
                <c:pt idx="3">
                  <c:v>75</c:v>
                </c:pt>
                <c:pt idx="4">
                  <c:v>88</c:v>
                </c:pt>
                <c:pt idx="5">
                  <c:v>94</c:v>
                </c:pt>
                <c:pt idx="6">
                  <c:v>95</c:v>
                </c:pt>
                <c:pt idx="7">
                  <c:v>100</c:v>
                </c:pt>
              </c:numCache>
            </c:numRef>
          </c:xVal>
          <c:yVal>
            <c:numRef>
              <c:f>Walk!$B$490:$B$497</c:f>
              <c:numCache>
                <c:formatCode>0</c:formatCode>
                <c:ptCount val="8"/>
                <c:pt idx="0">
                  <c:v>110</c:v>
                </c:pt>
                <c:pt idx="1">
                  <c:v>110</c:v>
                </c:pt>
                <c:pt idx="2">
                  <c:v>110</c:v>
                </c:pt>
                <c:pt idx="3">
                  <c:v>110</c:v>
                </c:pt>
                <c:pt idx="4">
                  <c:v>110</c:v>
                </c:pt>
                <c:pt idx="5">
                  <c:v>110</c:v>
                </c:pt>
                <c:pt idx="6">
                  <c:v>110</c:v>
                </c:pt>
                <c:pt idx="7">
                  <c:v>110</c:v>
                </c:pt>
              </c:numCache>
            </c:numRef>
          </c:yVal>
          <c:smooth val="0"/>
        </c:ser>
        <c:dLbls>
          <c:showLegendKey val="0"/>
          <c:showVal val="0"/>
          <c:showCatName val="0"/>
          <c:showSerName val="0"/>
          <c:showPercent val="0"/>
          <c:showBubbleSize val="0"/>
        </c:dLbls>
        <c:axId val="208585584"/>
        <c:axId val="208585976"/>
      </c:scatterChart>
      <c:valAx>
        <c:axId val="2085855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585976"/>
        <c:crosses val="autoZero"/>
        <c:crossBetween val="midCat"/>
        <c:minorUnit val="2"/>
      </c:valAx>
      <c:valAx>
        <c:axId val="2085859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5855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Walk!$J$58</c:f>
          <c:strCache>
            <c:ptCount val="1"/>
            <c:pt idx="0">
              <c:v>R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Walk!$O$490:$O$497</c:f>
              <c:numCache>
                <c:formatCode>0.00</c:formatCode>
                <c:ptCount val="8"/>
                <c:pt idx="0">
                  <c:v>0</c:v>
                </c:pt>
                <c:pt idx="1">
                  <c:v>4</c:v>
                </c:pt>
                <c:pt idx="2">
                  <c:v>8</c:v>
                </c:pt>
                <c:pt idx="3">
                  <c:v>9.3800000000000008</c:v>
                </c:pt>
                <c:pt idx="4">
                  <c:v>11.81</c:v>
                </c:pt>
                <c:pt idx="5">
                  <c:v>86.81</c:v>
                </c:pt>
                <c:pt idx="6">
                  <c:v>93.06</c:v>
                </c:pt>
                <c:pt idx="7">
                  <c:v>100</c:v>
                </c:pt>
              </c:numCache>
            </c:numRef>
          </c:xVal>
          <c:yVal>
            <c:numRef>
              <c:f>Walk!$P$490:$P$497</c:f>
              <c:numCache>
                <c:formatCode>0</c:formatCode>
                <c:ptCount val="8"/>
                <c:pt idx="0">
                  <c:v>110</c:v>
                </c:pt>
                <c:pt idx="1">
                  <c:v>110</c:v>
                </c:pt>
                <c:pt idx="2">
                  <c:v>110</c:v>
                </c:pt>
                <c:pt idx="3">
                  <c:v>110</c:v>
                </c:pt>
                <c:pt idx="4">
                  <c:v>0</c:v>
                </c:pt>
                <c:pt idx="5">
                  <c:v>0</c:v>
                </c:pt>
                <c:pt idx="6">
                  <c:v>108</c:v>
                </c:pt>
                <c:pt idx="7">
                  <c:v>110</c:v>
                </c:pt>
              </c:numCache>
            </c:numRef>
          </c:yVal>
          <c:smooth val="0"/>
        </c:ser>
        <c:dLbls>
          <c:showLegendKey val="0"/>
          <c:showVal val="0"/>
          <c:showCatName val="0"/>
          <c:showSerName val="0"/>
          <c:showPercent val="0"/>
          <c:showBubbleSize val="0"/>
        </c:dLbls>
        <c:axId val="208587152"/>
        <c:axId val="208587544"/>
      </c:scatterChart>
      <c:valAx>
        <c:axId val="2085871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587544"/>
        <c:crosses val="autoZero"/>
        <c:crossBetween val="midCat"/>
        <c:minorUnit val="2"/>
      </c:valAx>
      <c:valAx>
        <c:axId val="2085875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5871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Walk!$J$66</c:f>
          <c:strCache>
            <c:ptCount val="1"/>
            <c:pt idx="0">
              <c:v>R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Walk!$A$514:$A$521</c:f>
              <c:numCache>
                <c:formatCode>0.00</c:formatCode>
                <c:ptCount val="8"/>
                <c:pt idx="0">
                  <c:v>0</c:v>
                </c:pt>
                <c:pt idx="1">
                  <c:v>25</c:v>
                </c:pt>
                <c:pt idx="2">
                  <c:v>50</c:v>
                </c:pt>
                <c:pt idx="3">
                  <c:v>75</c:v>
                </c:pt>
                <c:pt idx="4">
                  <c:v>88</c:v>
                </c:pt>
                <c:pt idx="5">
                  <c:v>94</c:v>
                </c:pt>
                <c:pt idx="6">
                  <c:v>95</c:v>
                </c:pt>
                <c:pt idx="7">
                  <c:v>100</c:v>
                </c:pt>
              </c:numCache>
            </c:numRef>
          </c:xVal>
          <c:yVal>
            <c:numRef>
              <c:f>Walk!$B$514:$B$521</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08588328"/>
        <c:axId val="208772168"/>
      </c:scatterChart>
      <c:valAx>
        <c:axId val="2085883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772168"/>
        <c:crosses val="autoZero"/>
        <c:crossBetween val="midCat"/>
        <c:minorUnit val="2"/>
      </c:valAx>
      <c:valAx>
        <c:axId val="2087721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5883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Walk!$J$66</c:f>
          <c:strCache>
            <c:ptCount val="1"/>
            <c:pt idx="0">
              <c:v>R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Walk!$O$514:$O$521</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Walk!$P$514:$P$521</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08772560"/>
        <c:axId val="208772952"/>
      </c:scatterChart>
      <c:valAx>
        <c:axId val="2087725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772952"/>
        <c:crosses val="autoZero"/>
        <c:crossBetween val="midCat"/>
        <c:minorUnit val="2"/>
      </c:valAx>
      <c:valAx>
        <c:axId val="2087729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7725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Walk!$J$74</c:f>
          <c:strCache>
            <c:ptCount val="1"/>
            <c:pt idx="0">
              <c:v>R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Walk!$A$538:$A$545</c:f>
              <c:numCache>
                <c:formatCode>0.00</c:formatCode>
                <c:ptCount val="8"/>
                <c:pt idx="0">
                  <c:v>0</c:v>
                </c:pt>
                <c:pt idx="1">
                  <c:v>10</c:v>
                </c:pt>
                <c:pt idx="2">
                  <c:v>50</c:v>
                </c:pt>
                <c:pt idx="3">
                  <c:v>75</c:v>
                </c:pt>
                <c:pt idx="4">
                  <c:v>88</c:v>
                </c:pt>
                <c:pt idx="5">
                  <c:v>94</c:v>
                </c:pt>
                <c:pt idx="6">
                  <c:v>95</c:v>
                </c:pt>
                <c:pt idx="7">
                  <c:v>100</c:v>
                </c:pt>
              </c:numCache>
            </c:numRef>
          </c:xVal>
          <c:yVal>
            <c:numRef>
              <c:f>Walk!$B$538:$B$545</c:f>
              <c:numCache>
                <c:formatCode>0</c:formatCode>
                <c:ptCount val="8"/>
                <c:pt idx="0">
                  <c:v>25</c:v>
                </c:pt>
                <c:pt idx="1">
                  <c:v>25</c:v>
                </c:pt>
                <c:pt idx="2">
                  <c:v>25</c:v>
                </c:pt>
                <c:pt idx="3">
                  <c:v>25</c:v>
                </c:pt>
                <c:pt idx="4">
                  <c:v>25</c:v>
                </c:pt>
                <c:pt idx="5">
                  <c:v>25</c:v>
                </c:pt>
                <c:pt idx="6">
                  <c:v>25</c:v>
                </c:pt>
                <c:pt idx="7">
                  <c:v>25</c:v>
                </c:pt>
              </c:numCache>
            </c:numRef>
          </c:yVal>
          <c:smooth val="0"/>
        </c:ser>
        <c:dLbls>
          <c:showLegendKey val="0"/>
          <c:showVal val="0"/>
          <c:showCatName val="0"/>
          <c:showSerName val="0"/>
          <c:showPercent val="0"/>
          <c:showBubbleSize val="0"/>
        </c:dLbls>
        <c:axId val="208773736"/>
        <c:axId val="208774128"/>
      </c:scatterChart>
      <c:valAx>
        <c:axId val="2087737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774128"/>
        <c:crosses val="autoZero"/>
        <c:crossBetween val="midCat"/>
        <c:minorUnit val="2"/>
      </c:valAx>
      <c:valAx>
        <c:axId val="2087741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7737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Walk!$J$74</c:f>
          <c:strCache>
            <c:ptCount val="1"/>
            <c:pt idx="0">
              <c:v>R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Walk!$O$538:$O$545</c:f>
              <c:numCache>
                <c:formatCode>0.00</c:formatCode>
                <c:ptCount val="8"/>
                <c:pt idx="0">
                  <c:v>0</c:v>
                </c:pt>
                <c:pt idx="1">
                  <c:v>5</c:v>
                </c:pt>
                <c:pt idx="2">
                  <c:v>9.3800000000000008</c:v>
                </c:pt>
                <c:pt idx="3">
                  <c:v>11.81</c:v>
                </c:pt>
                <c:pt idx="4">
                  <c:v>61.81</c:v>
                </c:pt>
                <c:pt idx="5">
                  <c:v>74.31</c:v>
                </c:pt>
                <c:pt idx="6">
                  <c:v>89.93</c:v>
                </c:pt>
                <c:pt idx="7">
                  <c:v>100</c:v>
                </c:pt>
              </c:numCache>
            </c:numRef>
          </c:xVal>
          <c:yVal>
            <c:numRef>
              <c:f>Walk!$P$538:$P$545</c:f>
              <c:numCache>
                <c:formatCode>0</c:formatCode>
                <c:ptCount val="8"/>
                <c:pt idx="0">
                  <c:v>25</c:v>
                </c:pt>
                <c:pt idx="1">
                  <c:v>25</c:v>
                </c:pt>
                <c:pt idx="2">
                  <c:v>25</c:v>
                </c:pt>
                <c:pt idx="3">
                  <c:v>0</c:v>
                </c:pt>
                <c:pt idx="4">
                  <c:v>0</c:v>
                </c:pt>
                <c:pt idx="5">
                  <c:v>25</c:v>
                </c:pt>
                <c:pt idx="6">
                  <c:v>25</c:v>
                </c:pt>
                <c:pt idx="7">
                  <c:v>25</c:v>
                </c:pt>
              </c:numCache>
            </c:numRef>
          </c:yVal>
          <c:smooth val="0"/>
        </c:ser>
        <c:dLbls>
          <c:showLegendKey val="0"/>
          <c:showVal val="0"/>
          <c:showCatName val="0"/>
          <c:showSerName val="0"/>
          <c:showPercent val="0"/>
          <c:showBubbleSize val="0"/>
        </c:dLbls>
        <c:axId val="208774912"/>
        <c:axId val="208775304"/>
      </c:scatterChart>
      <c:valAx>
        <c:axId val="2087749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775304"/>
        <c:crosses val="autoZero"/>
        <c:crossBetween val="midCat"/>
        <c:minorUnit val="2"/>
      </c:valAx>
      <c:valAx>
        <c:axId val="2087753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7749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Walk!$J$82</c:f>
          <c:strCache>
            <c:ptCount val="1"/>
            <c:pt idx="0">
              <c:v>R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Walk!$A$562:$A$569</c:f>
              <c:numCache>
                <c:formatCode>0.00</c:formatCode>
                <c:ptCount val="8"/>
                <c:pt idx="0">
                  <c:v>0</c:v>
                </c:pt>
                <c:pt idx="1">
                  <c:v>10</c:v>
                </c:pt>
                <c:pt idx="2">
                  <c:v>50</c:v>
                </c:pt>
                <c:pt idx="3">
                  <c:v>75</c:v>
                </c:pt>
                <c:pt idx="4">
                  <c:v>88</c:v>
                </c:pt>
                <c:pt idx="5">
                  <c:v>94</c:v>
                </c:pt>
                <c:pt idx="6">
                  <c:v>95</c:v>
                </c:pt>
                <c:pt idx="7">
                  <c:v>100</c:v>
                </c:pt>
              </c:numCache>
            </c:numRef>
          </c:xVal>
          <c:yVal>
            <c:numRef>
              <c:f>Walk!$B$562:$B$569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014896"/>
        <c:axId val="209015288"/>
      </c:scatterChart>
      <c:valAx>
        <c:axId val="209014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015288"/>
        <c:crosses val="autoZero"/>
        <c:crossBetween val="midCat"/>
        <c:minorUnit val="2"/>
      </c:valAx>
      <c:valAx>
        <c:axId val="209015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014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Walk!$J$82</c:f>
          <c:strCache>
            <c:ptCount val="1"/>
            <c:pt idx="0">
              <c:v>R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Walk!$O$562:$O$569</c:f>
              <c:numCache>
                <c:formatCode>0.00</c:formatCode>
                <c:ptCount val="8"/>
                <c:pt idx="0">
                  <c:v>0</c:v>
                </c:pt>
                <c:pt idx="1">
                  <c:v>5</c:v>
                </c:pt>
                <c:pt idx="2">
                  <c:v>9.3800000000000008</c:v>
                </c:pt>
                <c:pt idx="3">
                  <c:v>11.81</c:v>
                </c:pt>
                <c:pt idx="4">
                  <c:v>68.06</c:v>
                </c:pt>
                <c:pt idx="5">
                  <c:v>80.56</c:v>
                </c:pt>
                <c:pt idx="6">
                  <c:v>95</c:v>
                </c:pt>
                <c:pt idx="7">
                  <c:v>100</c:v>
                </c:pt>
              </c:numCache>
            </c:numRef>
          </c:xVal>
          <c:yVal>
            <c:numRef>
              <c:f>Walk!$P$562:$P$569</c:f>
              <c:numCache>
                <c:formatCode>0</c:formatCode>
                <c:ptCount val="8"/>
                <c:pt idx="0">
                  <c:v>0</c:v>
                </c:pt>
                <c:pt idx="1">
                  <c:v>0</c:v>
                </c:pt>
                <c:pt idx="2">
                  <c:v>0</c:v>
                </c:pt>
                <c:pt idx="3">
                  <c:v>70</c:v>
                </c:pt>
                <c:pt idx="4">
                  <c:v>70</c:v>
                </c:pt>
                <c:pt idx="5">
                  <c:v>0</c:v>
                </c:pt>
                <c:pt idx="6">
                  <c:v>0</c:v>
                </c:pt>
                <c:pt idx="7">
                  <c:v>0</c:v>
                </c:pt>
              </c:numCache>
            </c:numRef>
          </c:yVal>
          <c:smooth val="0"/>
        </c:ser>
        <c:dLbls>
          <c:showLegendKey val="0"/>
          <c:showVal val="0"/>
          <c:showCatName val="0"/>
          <c:showSerName val="0"/>
          <c:showPercent val="0"/>
          <c:showBubbleSize val="0"/>
        </c:dLbls>
        <c:axId val="209016072"/>
        <c:axId val="209016464"/>
      </c:scatterChart>
      <c:valAx>
        <c:axId val="209016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016464"/>
        <c:crosses val="autoZero"/>
        <c:crossBetween val="midCat"/>
        <c:minorUnit val="2"/>
      </c:valAx>
      <c:valAx>
        <c:axId val="209016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016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Walk!$J$90</c:f>
          <c:strCache>
            <c:ptCount val="1"/>
            <c:pt idx="0">
              <c:v>R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Walk!$A$586:$A$593</c:f>
              <c:numCache>
                <c:formatCode>0.00</c:formatCode>
                <c:ptCount val="8"/>
                <c:pt idx="0">
                  <c:v>0</c:v>
                </c:pt>
                <c:pt idx="1">
                  <c:v>10</c:v>
                </c:pt>
                <c:pt idx="2">
                  <c:v>50</c:v>
                </c:pt>
                <c:pt idx="3">
                  <c:v>75</c:v>
                </c:pt>
                <c:pt idx="4">
                  <c:v>88</c:v>
                </c:pt>
                <c:pt idx="5">
                  <c:v>94</c:v>
                </c:pt>
                <c:pt idx="6">
                  <c:v>95</c:v>
                </c:pt>
                <c:pt idx="7">
                  <c:v>100</c:v>
                </c:pt>
              </c:numCache>
            </c:numRef>
          </c:xVal>
          <c:yVal>
            <c:numRef>
              <c:f>Walk!$B$586:$B$593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017248"/>
        <c:axId val="209017640"/>
      </c:scatterChart>
      <c:valAx>
        <c:axId val="209017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017640"/>
        <c:crosses val="autoZero"/>
        <c:crossBetween val="midCat"/>
        <c:minorUnit val="2"/>
      </c:valAx>
      <c:valAx>
        <c:axId val="209017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017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Walk!$J$90</c:f>
          <c:strCache>
            <c:ptCount val="1"/>
            <c:pt idx="0">
              <c:v>R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Walk!$O$586:$O$593</c:f>
              <c:numCache>
                <c:formatCode>0.00</c:formatCode>
                <c:ptCount val="8"/>
                <c:pt idx="0">
                  <c:v>0</c:v>
                </c:pt>
                <c:pt idx="1">
                  <c:v>5</c:v>
                </c:pt>
                <c:pt idx="2">
                  <c:v>9.3800000000000008</c:v>
                </c:pt>
                <c:pt idx="3">
                  <c:v>11.81</c:v>
                </c:pt>
                <c:pt idx="4">
                  <c:v>68.06</c:v>
                </c:pt>
                <c:pt idx="5">
                  <c:v>80.56</c:v>
                </c:pt>
                <c:pt idx="6">
                  <c:v>95</c:v>
                </c:pt>
                <c:pt idx="7">
                  <c:v>100</c:v>
                </c:pt>
              </c:numCache>
            </c:numRef>
          </c:xVal>
          <c:yVal>
            <c:numRef>
              <c:f>Walk!$P$586:$P$593</c:f>
              <c:numCache>
                <c:formatCode>0</c:formatCode>
                <c:ptCount val="8"/>
                <c:pt idx="0">
                  <c:v>0</c:v>
                </c:pt>
                <c:pt idx="1">
                  <c:v>0</c:v>
                </c:pt>
                <c:pt idx="2">
                  <c:v>0</c:v>
                </c:pt>
                <c:pt idx="3">
                  <c:v>70</c:v>
                </c:pt>
                <c:pt idx="4">
                  <c:v>70</c:v>
                </c:pt>
                <c:pt idx="5">
                  <c:v>0</c:v>
                </c:pt>
                <c:pt idx="6">
                  <c:v>0</c:v>
                </c:pt>
                <c:pt idx="7">
                  <c:v>0</c:v>
                </c:pt>
              </c:numCache>
            </c:numRef>
          </c:yVal>
          <c:smooth val="0"/>
        </c:ser>
        <c:dLbls>
          <c:showLegendKey val="0"/>
          <c:showVal val="0"/>
          <c:showCatName val="0"/>
          <c:showSerName val="0"/>
          <c:showPercent val="0"/>
          <c:showBubbleSize val="0"/>
        </c:dLbls>
        <c:axId val="209018424"/>
        <c:axId val="209669816"/>
      </c:scatterChart>
      <c:valAx>
        <c:axId val="209018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669816"/>
        <c:crosses val="autoZero"/>
        <c:crossBetween val="midCat"/>
        <c:minorUnit val="2"/>
      </c:valAx>
      <c:valAx>
        <c:axId val="2096698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018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Walk!$J$98</c:f>
          <c:strCache>
            <c:ptCount val="1"/>
            <c:pt idx="0">
              <c:v>R TA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Walk!$A$610:$A$617</c:f>
              <c:numCache>
                <c:formatCode>0.00</c:formatCode>
                <c:ptCount val="8"/>
                <c:pt idx="0">
                  <c:v>0</c:v>
                </c:pt>
                <c:pt idx="1">
                  <c:v>10</c:v>
                </c:pt>
                <c:pt idx="2">
                  <c:v>50</c:v>
                </c:pt>
                <c:pt idx="3">
                  <c:v>75</c:v>
                </c:pt>
                <c:pt idx="4">
                  <c:v>88</c:v>
                </c:pt>
                <c:pt idx="5">
                  <c:v>94</c:v>
                </c:pt>
                <c:pt idx="6">
                  <c:v>95</c:v>
                </c:pt>
                <c:pt idx="7">
                  <c:v>100</c:v>
                </c:pt>
              </c:numCache>
            </c:numRef>
          </c:xVal>
          <c:yVal>
            <c:numRef>
              <c:f>Walk!$B$610:$B$617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670600"/>
        <c:axId val="209670992"/>
      </c:scatterChart>
      <c:valAx>
        <c:axId val="2096706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670992"/>
        <c:crosses val="autoZero"/>
        <c:crossBetween val="midCat"/>
        <c:minorUnit val="2"/>
      </c:valAx>
      <c:valAx>
        <c:axId val="2096709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6706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Walk!$J$98</c:f>
          <c:strCache>
            <c:ptCount val="1"/>
            <c:pt idx="0">
              <c:v>R TA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Walk!$O$610:$O$617</c:f>
              <c:numCache>
                <c:formatCode>0.00</c:formatCode>
                <c:ptCount val="8"/>
                <c:pt idx="0">
                  <c:v>0</c:v>
                </c:pt>
                <c:pt idx="1">
                  <c:v>5</c:v>
                </c:pt>
                <c:pt idx="2">
                  <c:v>9.3800000000000008</c:v>
                </c:pt>
                <c:pt idx="3">
                  <c:v>11.81</c:v>
                </c:pt>
                <c:pt idx="4">
                  <c:v>68.06</c:v>
                </c:pt>
                <c:pt idx="5">
                  <c:v>77.430000000000007</c:v>
                </c:pt>
                <c:pt idx="6">
                  <c:v>93.06</c:v>
                </c:pt>
                <c:pt idx="7">
                  <c:v>100</c:v>
                </c:pt>
              </c:numCache>
            </c:numRef>
          </c:xVal>
          <c:yVal>
            <c:numRef>
              <c:f>Walk!$P$610:$P$617</c:f>
              <c:numCache>
                <c:formatCode>0</c:formatCode>
                <c:ptCount val="8"/>
                <c:pt idx="0">
                  <c:v>0</c:v>
                </c:pt>
                <c:pt idx="1">
                  <c:v>0</c:v>
                </c:pt>
                <c:pt idx="2">
                  <c:v>0</c:v>
                </c:pt>
                <c:pt idx="3">
                  <c:v>150</c:v>
                </c:pt>
                <c:pt idx="4">
                  <c:v>150</c:v>
                </c:pt>
                <c:pt idx="5">
                  <c:v>70</c:v>
                </c:pt>
                <c:pt idx="6">
                  <c:v>0</c:v>
                </c:pt>
                <c:pt idx="7">
                  <c:v>0</c:v>
                </c:pt>
              </c:numCache>
            </c:numRef>
          </c:yVal>
          <c:smooth val="0"/>
        </c:ser>
        <c:dLbls>
          <c:showLegendKey val="0"/>
          <c:showVal val="0"/>
          <c:showCatName val="0"/>
          <c:showSerName val="0"/>
          <c:showPercent val="0"/>
          <c:showBubbleSize val="0"/>
        </c:dLbls>
        <c:axId val="209671776"/>
        <c:axId val="209672168"/>
      </c:scatterChart>
      <c:valAx>
        <c:axId val="2096717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672168"/>
        <c:crosses val="autoZero"/>
        <c:crossBetween val="midCat"/>
        <c:minorUnit val="2"/>
      </c:valAx>
      <c:valAx>
        <c:axId val="2096721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6717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Walk!$A$634:$A$641</c:f>
              <c:numCache>
                <c:formatCode>0.00</c:formatCode>
                <c:ptCount val="8"/>
                <c:pt idx="0">
                  <c:v>0</c:v>
                </c:pt>
                <c:pt idx="1">
                  <c:v>7.89</c:v>
                </c:pt>
                <c:pt idx="2">
                  <c:v>20</c:v>
                </c:pt>
                <c:pt idx="3">
                  <c:v>55.26</c:v>
                </c:pt>
                <c:pt idx="4">
                  <c:v>60</c:v>
                </c:pt>
                <c:pt idx="5">
                  <c:v>65</c:v>
                </c:pt>
                <c:pt idx="6">
                  <c:v>71.05</c:v>
                </c:pt>
                <c:pt idx="7">
                  <c:v>100</c:v>
                </c:pt>
              </c:numCache>
            </c:numRef>
          </c:xVal>
          <c:yVal>
            <c:numRef>
              <c:f>Walk!$B$634:$B$641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672952"/>
        <c:axId val="209673344"/>
      </c:scatterChart>
      <c:valAx>
        <c:axId val="2096729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673344"/>
        <c:crosses val="autoZero"/>
        <c:crossBetween val="midCat"/>
        <c:minorUnit val="2"/>
      </c:valAx>
      <c:valAx>
        <c:axId val="2096733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6729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Walk!$O$634:$O$641</c:f>
              <c:numCache>
                <c:formatCode>0.00</c:formatCode>
                <c:ptCount val="8"/>
                <c:pt idx="0">
                  <c:v>0</c:v>
                </c:pt>
                <c:pt idx="1">
                  <c:v>10</c:v>
                </c:pt>
                <c:pt idx="2">
                  <c:v>20</c:v>
                </c:pt>
                <c:pt idx="3">
                  <c:v>30</c:v>
                </c:pt>
                <c:pt idx="4">
                  <c:v>40</c:v>
                </c:pt>
                <c:pt idx="5">
                  <c:v>50</c:v>
                </c:pt>
                <c:pt idx="6">
                  <c:v>66.7</c:v>
                </c:pt>
                <c:pt idx="7">
                  <c:v>100</c:v>
                </c:pt>
              </c:numCache>
            </c:numRef>
          </c:xVal>
          <c:yVal>
            <c:numRef>
              <c:f>Walk!$P$634:$P$641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714200"/>
        <c:axId val="209714592"/>
      </c:scatterChart>
      <c:valAx>
        <c:axId val="2097142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714592"/>
        <c:crosses val="autoZero"/>
        <c:crossBetween val="midCat"/>
        <c:minorUnit val="2"/>
      </c:valAx>
      <c:valAx>
        <c:axId val="2097145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7142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Walk!$A$658:$A$665</c:f>
              <c:numCache>
                <c:formatCode>0.00</c:formatCode>
                <c:ptCount val="8"/>
                <c:pt idx="0">
                  <c:v>0</c:v>
                </c:pt>
                <c:pt idx="1">
                  <c:v>7.89</c:v>
                </c:pt>
                <c:pt idx="2">
                  <c:v>20</c:v>
                </c:pt>
                <c:pt idx="3">
                  <c:v>55.26</c:v>
                </c:pt>
                <c:pt idx="4">
                  <c:v>60</c:v>
                </c:pt>
                <c:pt idx="5">
                  <c:v>65</c:v>
                </c:pt>
                <c:pt idx="6">
                  <c:v>71.05</c:v>
                </c:pt>
                <c:pt idx="7">
                  <c:v>100</c:v>
                </c:pt>
              </c:numCache>
            </c:numRef>
          </c:xVal>
          <c:yVal>
            <c:numRef>
              <c:f>Walk!$B$658:$B$665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715376"/>
        <c:axId val="209715768"/>
      </c:scatterChart>
      <c:valAx>
        <c:axId val="2097153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715768"/>
        <c:crosses val="autoZero"/>
        <c:crossBetween val="midCat"/>
        <c:minorUnit val="2"/>
      </c:valAx>
      <c:valAx>
        <c:axId val="2097157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7153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Walk!$O$658:$O$665</c:f>
              <c:numCache>
                <c:formatCode>0.00</c:formatCode>
                <c:ptCount val="8"/>
                <c:pt idx="0">
                  <c:v>0</c:v>
                </c:pt>
                <c:pt idx="1">
                  <c:v>10</c:v>
                </c:pt>
                <c:pt idx="2">
                  <c:v>20</c:v>
                </c:pt>
                <c:pt idx="3">
                  <c:v>30</c:v>
                </c:pt>
                <c:pt idx="4">
                  <c:v>40</c:v>
                </c:pt>
                <c:pt idx="5">
                  <c:v>50</c:v>
                </c:pt>
                <c:pt idx="6">
                  <c:v>66.7</c:v>
                </c:pt>
                <c:pt idx="7">
                  <c:v>100</c:v>
                </c:pt>
              </c:numCache>
            </c:numRef>
          </c:xVal>
          <c:yVal>
            <c:numRef>
              <c:f>Walk!$P$658:$P$665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716552"/>
        <c:axId val="209716944"/>
      </c:scatterChart>
      <c:valAx>
        <c:axId val="2097165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716944"/>
        <c:crosses val="autoZero"/>
        <c:crossBetween val="midCat"/>
        <c:minorUnit val="2"/>
      </c:valAx>
      <c:valAx>
        <c:axId val="2097169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7165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Walk!$A$682:$A$689</c:f>
              <c:numCache>
                <c:formatCode>0.00</c:formatCode>
                <c:ptCount val="8"/>
                <c:pt idx="0">
                  <c:v>0</c:v>
                </c:pt>
                <c:pt idx="1">
                  <c:v>7.89</c:v>
                </c:pt>
                <c:pt idx="2">
                  <c:v>20</c:v>
                </c:pt>
                <c:pt idx="3">
                  <c:v>55.26</c:v>
                </c:pt>
                <c:pt idx="4">
                  <c:v>60</c:v>
                </c:pt>
                <c:pt idx="5">
                  <c:v>65</c:v>
                </c:pt>
                <c:pt idx="6">
                  <c:v>71.05</c:v>
                </c:pt>
                <c:pt idx="7">
                  <c:v>100</c:v>
                </c:pt>
              </c:numCache>
            </c:numRef>
          </c:xVal>
          <c:yVal>
            <c:numRef>
              <c:f>Walk!$B$682:$B$689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095896"/>
        <c:axId val="210096288"/>
      </c:scatterChart>
      <c:valAx>
        <c:axId val="210095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096288"/>
        <c:crosses val="autoZero"/>
        <c:crossBetween val="midCat"/>
        <c:minorUnit val="2"/>
      </c:valAx>
      <c:valAx>
        <c:axId val="210096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095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Walk!$O$682:$O$689</c:f>
              <c:numCache>
                <c:formatCode>0.00</c:formatCode>
                <c:ptCount val="8"/>
                <c:pt idx="0">
                  <c:v>0</c:v>
                </c:pt>
                <c:pt idx="1">
                  <c:v>10</c:v>
                </c:pt>
                <c:pt idx="2">
                  <c:v>20</c:v>
                </c:pt>
                <c:pt idx="3">
                  <c:v>30</c:v>
                </c:pt>
                <c:pt idx="4">
                  <c:v>40</c:v>
                </c:pt>
                <c:pt idx="5">
                  <c:v>50</c:v>
                </c:pt>
                <c:pt idx="6">
                  <c:v>66.7</c:v>
                </c:pt>
                <c:pt idx="7">
                  <c:v>100</c:v>
                </c:pt>
              </c:numCache>
            </c:numRef>
          </c:xVal>
          <c:yVal>
            <c:numRef>
              <c:f>Walk!$P$682:$P$689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097072"/>
        <c:axId val="210097464"/>
      </c:scatterChart>
      <c:valAx>
        <c:axId val="210097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097464"/>
        <c:crosses val="autoZero"/>
        <c:crossBetween val="midCat"/>
        <c:minorUnit val="2"/>
      </c:valAx>
      <c:valAx>
        <c:axId val="210097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097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Walk!$A$706:$A$713</c:f>
              <c:numCache>
                <c:formatCode>0.00</c:formatCode>
                <c:ptCount val="8"/>
                <c:pt idx="0">
                  <c:v>0</c:v>
                </c:pt>
                <c:pt idx="1">
                  <c:v>7.89</c:v>
                </c:pt>
                <c:pt idx="2">
                  <c:v>20</c:v>
                </c:pt>
                <c:pt idx="3">
                  <c:v>55.26</c:v>
                </c:pt>
                <c:pt idx="4">
                  <c:v>60</c:v>
                </c:pt>
                <c:pt idx="5">
                  <c:v>65</c:v>
                </c:pt>
                <c:pt idx="6">
                  <c:v>71.05</c:v>
                </c:pt>
                <c:pt idx="7">
                  <c:v>100</c:v>
                </c:pt>
              </c:numCache>
            </c:numRef>
          </c:xVal>
          <c:yVal>
            <c:numRef>
              <c:f>Walk!$B$706:$B$713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098248"/>
        <c:axId val="210098640"/>
      </c:scatterChart>
      <c:valAx>
        <c:axId val="210098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098640"/>
        <c:crosses val="autoZero"/>
        <c:crossBetween val="midCat"/>
        <c:minorUnit val="2"/>
      </c:valAx>
      <c:valAx>
        <c:axId val="210098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098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Walk!$O$706:$O$713</c:f>
              <c:numCache>
                <c:formatCode>0.00</c:formatCode>
                <c:ptCount val="8"/>
                <c:pt idx="0">
                  <c:v>0</c:v>
                </c:pt>
                <c:pt idx="1">
                  <c:v>10</c:v>
                </c:pt>
                <c:pt idx="2">
                  <c:v>20</c:v>
                </c:pt>
                <c:pt idx="3">
                  <c:v>30</c:v>
                </c:pt>
                <c:pt idx="4">
                  <c:v>40</c:v>
                </c:pt>
                <c:pt idx="5">
                  <c:v>50</c:v>
                </c:pt>
                <c:pt idx="6">
                  <c:v>66.7</c:v>
                </c:pt>
                <c:pt idx="7">
                  <c:v>100</c:v>
                </c:pt>
              </c:numCache>
            </c:numRef>
          </c:xVal>
          <c:yVal>
            <c:numRef>
              <c:f>Walk!$P$706:$P$713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099424"/>
        <c:axId val="209891088"/>
      </c:scatterChart>
      <c:valAx>
        <c:axId val="210099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891088"/>
        <c:crosses val="autoZero"/>
        <c:crossBetween val="midCat"/>
        <c:minorUnit val="2"/>
      </c:valAx>
      <c:valAx>
        <c:axId val="2098910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099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Stand!$B$42</c:f>
          <c:strCache>
            <c:ptCount val="1"/>
            <c:pt idx="0">
              <c:v>L Med/Lat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Stand!$A$153:$A$160</c:f>
              <c:numCache>
                <c:formatCode>0.00</c:formatCode>
                <c:ptCount val="8"/>
                <c:pt idx="0">
                  <c:v>0</c:v>
                </c:pt>
                <c:pt idx="1">
                  <c:v>5</c:v>
                </c:pt>
                <c:pt idx="2">
                  <c:v>10.26</c:v>
                </c:pt>
                <c:pt idx="3">
                  <c:v>12.82</c:v>
                </c:pt>
                <c:pt idx="4">
                  <c:v>56</c:v>
                </c:pt>
                <c:pt idx="5">
                  <c:v>78</c:v>
                </c:pt>
                <c:pt idx="6">
                  <c:v>90</c:v>
                </c:pt>
                <c:pt idx="7">
                  <c:v>100</c:v>
                </c:pt>
              </c:numCache>
            </c:numRef>
          </c:xVal>
          <c:yVal>
            <c:numRef>
              <c:f>Stand!$B$153:$B$160</c:f>
              <c:numCache>
                <c:formatCode>0</c:formatCode>
                <c:ptCount val="8"/>
                <c:pt idx="0">
                  <c:v>0</c:v>
                </c:pt>
                <c:pt idx="1">
                  <c:v>0</c:v>
                </c:pt>
                <c:pt idx="2">
                  <c:v>0</c:v>
                </c:pt>
                <c:pt idx="3">
                  <c:v>119</c:v>
                </c:pt>
                <c:pt idx="4">
                  <c:v>119</c:v>
                </c:pt>
                <c:pt idx="5">
                  <c:v>119</c:v>
                </c:pt>
                <c:pt idx="6">
                  <c:v>119</c:v>
                </c:pt>
                <c:pt idx="7">
                  <c:v>119</c:v>
                </c:pt>
              </c:numCache>
            </c:numRef>
          </c:yVal>
          <c:smooth val="0"/>
        </c:ser>
        <c:dLbls>
          <c:showLegendKey val="0"/>
          <c:showVal val="0"/>
          <c:showCatName val="0"/>
          <c:showSerName val="0"/>
          <c:showPercent val="0"/>
          <c:showBubbleSize val="0"/>
        </c:dLbls>
        <c:axId val="209892656"/>
        <c:axId val="209893048"/>
      </c:scatterChart>
      <c:valAx>
        <c:axId val="2098926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893048"/>
        <c:crosses val="autoZero"/>
        <c:crossBetween val="midCat"/>
        <c:minorUnit val="2"/>
      </c:valAx>
      <c:valAx>
        <c:axId val="2098930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8926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Stand!$B$50</c:f>
          <c:strCache>
            <c:ptCount val="1"/>
            <c:pt idx="0">
              <c:v>L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Stand!$A$177:$A$184</c:f>
              <c:numCache>
                <c:formatCode>0.00</c:formatCode>
                <c:ptCount val="8"/>
                <c:pt idx="0">
                  <c:v>0</c:v>
                </c:pt>
                <c:pt idx="1">
                  <c:v>10</c:v>
                </c:pt>
                <c:pt idx="2">
                  <c:v>50</c:v>
                </c:pt>
                <c:pt idx="3">
                  <c:v>75</c:v>
                </c:pt>
                <c:pt idx="4">
                  <c:v>88</c:v>
                </c:pt>
                <c:pt idx="5">
                  <c:v>94</c:v>
                </c:pt>
                <c:pt idx="6">
                  <c:v>95</c:v>
                </c:pt>
                <c:pt idx="7">
                  <c:v>100</c:v>
                </c:pt>
              </c:numCache>
            </c:numRef>
          </c:xVal>
          <c:yVal>
            <c:numRef>
              <c:f>Stand!$B$177:$B$184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09893832"/>
        <c:axId val="209894224"/>
      </c:scatterChart>
      <c:valAx>
        <c:axId val="2098938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894224"/>
        <c:crosses val="autoZero"/>
        <c:crossBetween val="midCat"/>
        <c:minorUnit val="2"/>
      </c:valAx>
      <c:valAx>
        <c:axId val="2098942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98938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Stand!$B$58</c:f>
          <c:strCache>
            <c:ptCount val="1"/>
            <c:pt idx="0">
              <c:v>L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Stand!$A$201:$A$208</c:f>
              <c:numCache>
                <c:formatCode>0.00</c:formatCode>
                <c:ptCount val="8"/>
                <c:pt idx="0">
                  <c:v>0</c:v>
                </c:pt>
                <c:pt idx="1">
                  <c:v>5</c:v>
                </c:pt>
                <c:pt idx="2">
                  <c:v>10.256410000000001</c:v>
                </c:pt>
                <c:pt idx="3">
                  <c:v>12.820513</c:v>
                </c:pt>
                <c:pt idx="4">
                  <c:v>89.743589999999998</c:v>
                </c:pt>
                <c:pt idx="5">
                  <c:v>95</c:v>
                </c:pt>
                <c:pt idx="6">
                  <c:v>98</c:v>
                </c:pt>
                <c:pt idx="7">
                  <c:v>100</c:v>
                </c:pt>
              </c:numCache>
            </c:numRef>
          </c:xVal>
          <c:yVal>
            <c:numRef>
              <c:f>Stand!$B$201:$B$208</c:f>
              <c:numCache>
                <c:formatCode>0</c:formatCode>
                <c:ptCount val="8"/>
                <c:pt idx="0">
                  <c:v>0</c:v>
                </c:pt>
                <c:pt idx="1">
                  <c:v>0</c:v>
                </c:pt>
                <c:pt idx="2">
                  <c:v>0</c:v>
                </c:pt>
                <c:pt idx="3">
                  <c:v>60</c:v>
                </c:pt>
                <c:pt idx="4">
                  <c:v>60</c:v>
                </c:pt>
                <c:pt idx="5">
                  <c:v>43</c:v>
                </c:pt>
                <c:pt idx="6">
                  <c:v>36</c:v>
                </c:pt>
                <c:pt idx="7">
                  <c:v>25</c:v>
                </c:pt>
              </c:numCache>
            </c:numRef>
          </c:yVal>
          <c:smooth val="0"/>
        </c:ser>
        <c:dLbls>
          <c:showLegendKey val="0"/>
          <c:showVal val="0"/>
          <c:showCatName val="0"/>
          <c:showSerName val="0"/>
          <c:showPercent val="0"/>
          <c:showBubbleSize val="0"/>
        </c:dLbls>
        <c:axId val="210446968"/>
        <c:axId val="210447360"/>
      </c:scatterChart>
      <c:valAx>
        <c:axId val="2104469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447360"/>
        <c:crosses val="autoZero"/>
        <c:crossBetween val="midCat"/>
        <c:minorUnit val="2"/>
      </c:valAx>
      <c:valAx>
        <c:axId val="2104473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4469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Stand!$B$66</c:f>
          <c:strCache>
            <c:ptCount val="1"/>
            <c:pt idx="0">
              <c:v>L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Stand!$A$225:$A$232</c:f>
              <c:numCache>
                <c:formatCode>0.00</c:formatCode>
                <c:ptCount val="8"/>
                <c:pt idx="0">
                  <c:v>0</c:v>
                </c:pt>
                <c:pt idx="1">
                  <c:v>10.26</c:v>
                </c:pt>
                <c:pt idx="2">
                  <c:v>12.82</c:v>
                </c:pt>
                <c:pt idx="3">
                  <c:v>56</c:v>
                </c:pt>
                <c:pt idx="4">
                  <c:v>78</c:v>
                </c:pt>
                <c:pt idx="5">
                  <c:v>89</c:v>
                </c:pt>
                <c:pt idx="6">
                  <c:v>95</c:v>
                </c:pt>
                <c:pt idx="7">
                  <c:v>100</c:v>
                </c:pt>
              </c:numCache>
            </c:numRef>
          </c:xVal>
          <c:yVal>
            <c:numRef>
              <c:f>Stand!$B$225:$B$232</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10448928"/>
        <c:axId val="210449320"/>
      </c:scatterChart>
      <c:valAx>
        <c:axId val="2104489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449320"/>
        <c:crosses val="autoZero"/>
        <c:crossBetween val="midCat"/>
        <c:minorUnit val="2"/>
      </c:valAx>
      <c:valAx>
        <c:axId val="2104493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4489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Stand!$B$74</c:f>
          <c:strCache>
            <c:ptCount val="1"/>
            <c:pt idx="0">
              <c:v>L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Stand!$A$249:$A$256</c:f>
              <c:numCache>
                <c:formatCode>0.00</c:formatCode>
                <c:ptCount val="8"/>
                <c:pt idx="0">
                  <c:v>0</c:v>
                </c:pt>
                <c:pt idx="1">
                  <c:v>10.26</c:v>
                </c:pt>
                <c:pt idx="2">
                  <c:v>12.82</c:v>
                </c:pt>
                <c:pt idx="3">
                  <c:v>56</c:v>
                </c:pt>
                <c:pt idx="4">
                  <c:v>78</c:v>
                </c:pt>
                <c:pt idx="5">
                  <c:v>89</c:v>
                </c:pt>
                <c:pt idx="6">
                  <c:v>95</c:v>
                </c:pt>
                <c:pt idx="7">
                  <c:v>100</c:v>
                </c:pt>
              </c:numCache>
            </c:numRef>
          </c:xVal>
          <c:yVal>
            <c:numRef>
              <c:f>Stand!$B$249:$B$256</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10450104"/>
        <c:axId val="210450496"/>
      </c:scatterChart>
      <c:valAx>
        <c:axId val="2104501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450496"/>
        <c:crosses val="autoZero"/>
        <c:crossBetween val="midCat"/>
        <c:minorUnit val="2"/>
      </c:valAx>
      <c:valAx>
        <c:axId val="2104504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4501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Stand!$B$82</c:f>
          <c:strCache>
            <c:ptCount val="1"/>
            <c:pt idx="0">
              <c:v>L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Stand!$A$273:$A$280</c:f>
              <c:numCache>
                <c:formatCode>0.00</c:formatCode>
                <c:ptCount val="8"/>
                <c:pt idx="0">
                  <c:v>0</c:v>
                </c:pt>
                <c:pt idx="1">
                  <c:v>10</c:v>
                </c:pt>
                <c:pt idx="2">
                  <c:v>50</c:v>
                </c:pt>
                <c:pt idx="3">
                  <c:v>75</c:v>
                </c:pt>
                <c:pt idx="4">
                  <c:v>88</c:v>
                </c:pt>
                <c:pt idx="5">
                  <c:v>94</c:v>
                </c:pt>
                <c:pt idx="6">
                  <c:v>95</c:v>
                </c:pt>
                <c:pt idx="7">
                  <c:v>100</c:v>
                </c:pt>
              </c:numCache>
            </c:numRef>
          </c:xVal>
          <c:yVal>
            <c:numRef>
              <c:f>Stand!$B$273:$B$280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538536"/>
        <c:axId val="210538928"/>
      </c:scatterChart>
      <c:valAx>
        <c:axId val="210538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538928"/>
        <c:crosses val="autoZero"/>
        <c:crossBetween val="midCat"/>
        <c:minorUnit val="2"/>
      </c:valAx>
      <c:valAx>
        <c:axId val="210538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538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Stand!$B$90</c:f>
          <c:strCache>
            <c:ptCount val="1"/>
            <c:pt idx="0">
              <c:v>L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Stand!$A$297:$A$304</c:f>
              <c:numCache>
                <c:formatCode>0.00</c:formatCode>
                <c:ptCount val="8"/>
                <c:pt idx="0">
                  <c:v>0</c:v>
                </c:pt>
                <c:pt idx="1">
                  <c:v>10</c:v>
                </c:pt>
                <c:pt idx="2">
                  <c:v>50</c:v>
                </c:pt>
                <c:pt idx="3">
                  <c:v>75</c:v>
                </c:pt>
                <c:pt idx="4">
                  <c:v>88</c:v>
                </c:pt>
                <c:pt idx="5">
                  <c:v>94</c:v>
                </c:pt>
                <c:pt idx="6">
                  <c:v>95</c:v>
                </c:pt>
                <c:pt idx="7">
                  <c:v>100</c:v>
                </c:pt>
              </c:numCache>
            </c:numRef>
          </c:xVal>
          <c:yVal>
            <c:numRef>
              <c:f>Stand!$B$297:$B$304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539712"/>
        <c:axId val="210540104"/>
      </c:scatterChart>
      <c:valAx>
        <c:axId val="210539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540104"/>
        <c:crosses val="autoZero"/>
        <c:crossBetween val="midCat"/>
        <c:minorUnit val="2"/>
      </c:valAx>
      <c:valAx>
        <c:axId val="210540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539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Stand!$B$98</c:f>
          <c:strCache>
            <c:ptCount val="1"/>
            <c:pt idx="0">
              <c:v>L TA/Per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Stand!$A$321:$A$328</c:f>
              <c:numCache>
                <c:formatCode>0.00</c:formatCode>
                <c:ptCount val="8"/>
                <c:pt idx="0">
                  <c:v>0</c:v>
                </c:pt>
                <c:pt idx="1">
                  <c:v>10</c:v>
                </c:pt>
                <c:pt idx="2">
                  <c:v>50</c:v>
                </c:pt>
                <c:pt idx="3">
                  <c:v>75</c:v>
                </c:pt>
                <c:pt idx="4">
                  <c:v>88</c:v>
                </c:pt>
                <c:pt idx="5">
                  <c:v>94</c:v>
                </c:pt>
                <c:pt idx="6">
                  <c:v>95</c:v>
                </c:pt>
                <c:pt idx="7">
                  <c:v>100</c:v>
                </c:pt>
              </c:numCache>
            </c:numRef>
          </c:xVal>
          <c:yVal>
            <c:numRef>
              <c:f>Stand!$B$321:$B$328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540888"/>
        <c:axId val="210541280"/>
      </c:scatterChart>
      <c:valAx>
        <c:axId val="210540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541280"/>
        <c:crosses val="autoZero"/>
        <c:crossBetween val="midCat"/>
        <c:minorUnit val="2"/>
      </c:valAx>
      <c:valAx>
        <c:axId val="2105412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0540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Stand!$A$345:$A$352</c:f>
              <c:numCache>
                <c:formatCode>0.00</c:formatCode>
                <c:ptCount val="8"/>
                <c:pt idx="0">
                  <c:v>0</c:v>
                </c:pt>
                <c:pt idx="1">
                  <c:v>7.89</c:v>
                </c:pt>
                <c:pt idx="2">
                  <c:v>20</c:v>
                </c:pt>
                <c:pt idx="3">
                  <c:v>55.26</c:v>
                </c:pt>
                <c:pt idx="4">
                  <c:v>60</c:v>
                </c:pt>
                <c:pt idx="5">
                  <c:v>65</c:v>
                </c:pt>
                <c:pt idx="6">
                  <c:v>71.05</c:v>
                </c:pt>
                <c:pt idx="7">
                  <c:v>100</c:v>
                </c:pt>
              </c:numCache>
            </c:numRef>
          </c:xVal>
          <c:yVal>
            <c:numRef>
              <c:f>Stand!$B$345:$B$352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258416"/>
        <c:axId val="211258808"/>
      </c:scatterChart>
      <c:valAx>
        <c:axId val="2112584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58808"/>
        <c:crosses val="autoZero"/>
        <c:crossBetween val="midCat"/>
        <c:minorUnit val="2"/>
      </c:valAx>
      <c:valAx>
        <c:axId val="2112588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584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Stand!$A$369:$A$376</c:f>
              <c:numCache>
                <c:formatCode>0.00</c:formatCode>
                <c:ptCount val="8"/>
                <c:pt idx="0">
                  <c:v>0</c:v>
                </c:pt>
                <c:pt idx="1">
                  <c:v>7.89</c:v>
                </c:pt>
                <c:pt idx="2">
                  <c:v>20</c:v>
                </c:pt>
                <c:pt idx="3">
                  <c:v>55.26</c:v>
                </c:pt>
                <c:pt idx="4">
                  <c:v>60</c:v>
                </c:pt>
                <c:pt idx="5">
                  <c:v>65</c:v>
                </c:pt>
                <c:pt idx="6">
                  <c:v>71.05</c:v>
                </c:pt>
                <c:pt idx="7">
                  <c:v>100</c:v>
                </c:pt>
              </c:numCache>
            </c:numRef>
          </c:xVal>
          <c:yVal>
            <c:numRef>
              <c:f>Stand!$B$369:$B$376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259592"/>
        <c:axId val="211259984"/>
      </c:scatterChart>
      <c:valAx>
        <c:axId val="2112595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59984"/>
        <c:crosses val="autoZero"/>
        <c:crossBetween val="midCat"/>
        <c:minorUnit val="2"/>
      </c:valAx>
      <c:valAx>
        <c:axId val="2112599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595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Stand!$A$393:$A$400</c:f>
              <c:numCache>
                <c:formatCode>0.00</c:formatCode>
                <c:ptCount val="8"/>
                <c:pt idx="0">
                  <c:v>0</c:v>
                </c:pt>
                <c:pt idx="1">
                  <c:v>7.89</c:v>
                </c:pt>
                <c:pt idx="2">
                  <c:v>20</c:v>
                </c:pt>
                <c:pt idx="3">
                  <c:v>55.26</c:v>
                </c:pt>
                <c:pt idx="4">
                  <c:v>60</c:v>
                </c:pt>
                <c:pt idx="5">
                  <c:v>65</c:v>
                </c:pt>
                <c:pt idx="6">
                  <c:v>71.05</c:v>
                </c:pt>
                <c:pt idx="7">
                  <c:v>100</c:v>
                </c:pt>
              </c:numCache>
            </c:numRef>
          </c:xVal>
          <c:yVal>
            <c:numRef>
              <c:f>Stand!$B$393:$B$400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260768"/>
        <c:axId val="211261160"/>
      </c:scatterChart>
      <c:valAx>
        <c:axId val="2112607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1160"/>
        <c:crosses val="autoZero"/>
        <c:crossBetween val="midCat"/>
        <c:minorUnit val="2"/>
      </c:valAx>
      <c:valAx>
        <c:axId val="2112611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07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Stand!$A$417:$A$424</c:f>
              <c:numCache>
                <c:formatCode>0.00</c:formatCode>
                <c:ptCount val="8"/>
                <c:pt idx="0">
                  <c:v>0</c:v>
                </c:pt>
                <c:pt idx="1">
                  <c:v>7.89</c:v>
                </c:pt>
                <c:pt idx="2">
                  <c:v>20</c:v>
                </c:pt>
                <c:pt idx="3">
                  <c:v>55.26</c:v>
                </c:pt>
                <c:pt idx="4">
                  <c:v>60</c:v>
                </c:pt>
                <c:pt idx="5">
                  <c:v>65</c:v>
                </c:pt>
                <c:pt idx="6">
                  <c:v>71.05</c:v>
                </c:pt>
                <c:pt idx="7">
                  <c:v>100</c:v>
                </c:pt>
              </c:numCache>
            </c:numRef>
          </c:xVal>
          <c:yVal>
            <c:numRef>
              <c:f>Stand!$B$417:$B$424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261944"/>
        <c:axId val="211262336"/>
      </c:scatterChart>
      <c:valAx>
        <c:axId val="2112619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2336"/>
        <c:crosses val="autoZero"/>
        <c:crossBetween val="midCat"/>
        <c:minorUnit val="2"/>
      </c:valAx>
      <c:valAx>
        <c:axId val="2112623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19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Stand!$J$42</c:f>
          <c:strCache>
            <c:ptCount val="1"/>
            <c:pt idx="0">
              <c:v>R Int/Lat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Stand!$A$442:$A$449</c:f>
              <c:numCache>
                <c:formatCode>0.00</c:formatCode>
                <c:ptCount val="8"/>
                <c:pt idx="0">
                  <c:v>0</c:v>
                </c:pt>
                <c:pt idx="1">
                  <c:v>5</c:v>
                </c:pt>
                <c:pt idx="2">
                  <c:v>10.256410000000001</c:v>
                </c:pt>
                <c:pt idx="3">
                  <c:v>12.820513</c:v>
                </c:pt>
                <c:pt idx="4">
                  <c:v>56</c:v>
                </c:pt>
                <c:pt idx="5">
                  <c:v>78</c:v>
                </c:pt>
                <c:pt idx="6">
                  <c:v>95</c:v>
                </c:pt>
                <c:pt idx="7">
                  <c:v>100</c:v>
                </c:pt>
              </c:numCache>
            </c:numRef>
          </c:xVal>
          <c:yVal>
            <c:numRef>
              <c:f>Stand!$B$442:$B$449</c:f>
              <c:numCache>
                <c:formatCode>0</c:formatCode>
                <c:ptCount val="8"/>
                <c:pt idx="0">
                  <c:v>0</c:v>
                </c:pt>
                <c:pt idx="1">
                  <c:v>0</c:v>
                </c:pt>
                <c:pt idx="2">
                  <c:v>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11263120"/>
        <c:axId val="211263512"/>
      </c:scatterChart>
      <c:valAx>
        <c:axId val="2112631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3512"/>
        <c:crosses val="autoZero"/>
        <c:crossBetween val="midCat"/>
        <c:minorUnit val="2"/>
      </c:valAx>
      <c:valAx>
        <c:axId val="2112635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31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Stand!$J$50</c:f>
          <c:strCache>
            <c:ptCount val="1"/>
            <c:pt idx="0">
              <c:v>R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Stand!$A$466:$A$473</c:f>
              <c:numCache>
                <c:formatCode>0.00</c:formatCode>
                <c:ptCount val="8"/>
                <c:pt idx="0">
                  <c:v>0</c:v>
                </c:pt>
                <c:pt idx="1">
                  <c:v>10</c:v>
                </c:pt>
                <c:pt idx="2">
                  <c:v>50</c:v>
                </c:pt>
                <c:pt idx="3">
                  <c:v>75</c:v>
                </c:pt>
                <c:pt idx="4">
                  <c:v>88</c:v>
                </c:pt>
                <c:pt idx="5">
                  <c:v>94</c:v>
                </c:pt>
                <c:pt idx="6">
                  <c:v>95</c:v>
                </c:pt>
                <c:pt idx="7">
                  <c:v>100</c:v>
                </c:pt>
              </c:numCache>
            </c:numRef>
          </c:xVal>
          <c:yVal>
            <c:numRef>
              <c:f>Stand!$B$466:$B$473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264296"/>
        <c:axId val="211264688"/>
      </c:scatterChart>
      <c:valAx>
        <c:axId val="2112642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4688"/>
        <c:crosses val="autoZero"/>
        <c:crossBetween val="midCat"/>
        <c:minorUnit val="2"/>
      </c:valAx>
      <c:valAx>
        <c:axId val="2112646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42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Stand!$J$58</c:f>
          <c:strCache>
            <c:ptCount val="1"/>
            <c:pt idx="0">
              <c:v>R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Stand!$A$490:$A$497</c:f>
              <c:numCache>
                <c:formatCode>0.00</c:formatCode>
                <c:ptCount val="8"/>
                <c:pt idx="0">
                  <c:v>0</c:v>
                </c:pt>
                <c:pt idx="1">
                  <c:v>10.26</c:v>
                </c:pt>
                <c:pt idx="2">
                  <c:v>12.82</c:v>
                </c:pt>
                <c:pt idx="3">
                  <c:v>56</c:v>
                </c:pt>
                <c:pt idx="4">
                  <c:v>78</c:v>
                </c:pt>
                <c:pt idx="5">
                  <c:v>89</c:v>
                </c:pt>
                <c:pt idx="6">
                  <c:v>95</c:v>
                </c:pt>
                <c:pt idx="7">
                  <c:v>100</c:v>
                </c:pt>
              </c:numCache>
            </c:numRef>
          </c:xVal>
          <c:yVal>
            <c:numRef>
              <c:f>Stand!$B$490:$B$497</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11265472"/>
        <c:axId val="211265864"/>
      </c:scatterChart>
      <c:valAx>
        <c:axId val="211265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5864"/>
        <c:crosses val="autoZero"/>
        <c:crossBetween val="midCat"/>
        <c:minorUnit val="2"/>
      </c:valAx>
      <c:valAx>
        <c:axId val="211265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265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Stand!$J$66</c:f>
          <c:strCache>
            <c:ptCount val="1"/>
            <c:pt idx="0">
              <c:v>R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Stand!$A$514:$A$521</c:f>
              <c:numCache>
                <c:formatCode>0.00</c:formatCode>
                <c:ptCount val="8"/>
                <c:pt idx="0">
                  <c:v>0</c:v>
                </c:pt>
                <c:pt idx="1">
                  <c:v>10.26</c:v>
                </c:pt>
                <c:pt idx="2">
                  <c:v>12.82</c:v>
                </c:pt>
                <c:pt idx="3">
                  <c:v>56</c:v>
                </c:pt>
                <c:pt idx="4">
                  <c:v>78</c:v>
                </c:pt>
                <c:pt idx="5">
                  <c:v>89</c:v>
                </c:pt>
                <c:pt idx="6">
                  <c:v>95</c:v>
                </c:pt>
                <c:pt idx="7">
                  <c:v>100</c:v>
                </c:pt>
              </c:numCache>
            </c:numRef>
          </c:xVal>
          <c:yVal>
            <c:numRef>
              <c:f>Stand!$B$514:$B$521</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11763648"/>
        <c:axId val="211764040"/>
      </c:scatterChart>
      <c:valAx>
        <c:axId val="211763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4040"/>
        <c:crosses val="autoZero"/>
        <c:crossBetween val="midCat"/>
        <c:minorUnit val="2"/>
      </c:valAx>
      <c:valAx>
        <c:axId val="211764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3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Stand!$J$74</c:f>
          <c:strCache>
            <c:ptCount val="1"/>
            <c:pt idx="0">
              <c:v>R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Stand!$A$538:$A$545</c:f>
              <c:numCache>
                <c:formatCode>0.00</c:formatCode>
                <c:ptCount val="8"/>
                <c:pt idx="0">
                  <c:v>0</c:v>
                </c:pt>
                <c:pt idx="1">
                  <c:v>5</c:v>
                </c:pt>
                <c:pt idx="2">
                  <c:v>10.26</c:v>
                </c:pt>
                <c:pt idx="3">
                  <c:v>12.82</c:v>
                </c:pt>
                <c:pt idx="4">
                  <c:v>56</c:v>
                </c:pt>
                <c:pt idx="5">
                  <c:v>78</c:v>
                </c:pt>
                <c:pt idx="6">
                  <c:v>95</c:v>
                </c:pt>
                <c:pt idx="7">
                  <c:v>100</c:v>
                </c:pt>
              </c:numCache>
            </c:numRef>
          </c:xVal>
          <c:yVal>
            <c:numRef>
              <c:f>Stand!$B$538:$B$545</c:f>
              <c:numCache>
                <c:formatCode>0</c:formatCode>
                <c:ptCount val="8"/>
                <c:pt idx="0">
                  <c:v>0</c:v>
                </c:pt>
                <c:pt idx="1">
                  <c:v>0</c:v>
                </c:pt>
                <c:pt idx="2">
                  <c:v>0</c:v>
                </c:pt>
                <c:pt idx="3">
                  <c:v>25</c:v>
                </c:pt>
                <c:pt idx="4">
                  <c:v>25</c:v>
                </c:pt>
                <c:pt idx="5">
                  <c:v>25</c:v>
                </c:pt>
                <c:pt idx="6">
                  <c:v>25</c:v>
                </c:pt>
                <c:pt idx="7">
                  <c:v>25</c:v>
                </c:pt>
              </c:numCache>
            </c:numRef>
          </c:yVal>
          <c:smooth val="0"/>
        </c:ser>
        <c:dLbls>
          <c:showLegendKey val="0"/>
          <c:showVal val="0"/>
          <c:showCatName val="0"/>
          <c:showSerName val="0"/>
          <c:showPercent val="0"/>
          <c:showBubbleSize val="0"/>
        </c:dLbls>
        <c:axId val="211764432"/>
        <c:axId val="211764824"/>
      </c:scatterChart>
      <c:valAx>
        <c:axId val="2117644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4824"/>
        <c:crosses val="autoZero"/>
        <c:crossBetween val="midCat"/>
        <c:minorUnit val="2"/>
      </c:valAx>
      <c:valAx>
        <c:axId val="2117648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44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Stand!$J$82</c:f>
          <c:strCache>
            <c:ptCount val="1"/>
            <c:pt idx="0">
              <c:v>R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Stand!$A$562:$A$569</c:f>
              <c:numCache>
                <c:formatCode>0.00</c:formatCode>
                <c:ptCount val="8"/>
                <c:pt idx="0">
                  <c:v>0</c:v>
                </c:pt>
                <c:pt idx="1">
                  <c:v>10</c:v>
                </c:pt>
                <c:pt idx="2">
                  <c:v>50</c:v>
                </c:pt>
                <c:pt idx="3">
                  <c:v>75</c:v>
                </c:pt>
                <c:pt idx="4">
                  <c:v>88</c:v>
                </c:pt>
                <c:pt idx="5">
                  <c:v>94</c:v>
                </c:pt>
                <c:pt idx="6">
                  <c:v>95</c:v>
                </c:pt>
                <c:pt idx="7">
                  <c:v>100</c:v>
                </c:pt>
              </c:numCache>
            </c:numRef>
          </c:xVal>
          <c:yVal>
            <c:numRef>
              <c:f>Stand!$B$562:$B$569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766000"/>
        <c:axId val="211766392"/>
      </c:scatterChart>
      <c:valAx>
        <c:axId val="2117660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6392"/>
        <c:crosses val="autoZero"/>
        <c:crossBetween val="midCat"/>
        <c:minorUnit val="2"/>
      </c:valAx>
      <c:valAx>
        <c:axId val="2117663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60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Stand!$J$90</c:f>
          <c:strCache>
            <c:ptCount val="1"/>
            <c:pt idx="0">
              <c:v>R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Stand!$A$586:$A$593</c:f>
              <c:numCache>
                <c:formatCode>0.00</c:formatCode>
                <c:ptCount val="8"/>
                <c:pt idx="0">
                  <c:v>0</c:v>
                </c:pt>
                <c:pt idx="1">
                  <c:v>10</c:v>
                </c:pt>
                <c:pt idx="2">
                  <c:v>50</c:v>
                </c:pt>
                <c:pt idx="3">
                  <c:v>75</c:v>
                </c:pt>
                <c:pt idx="4">
                  <c:v>88</c:v>
                </c:pt>
                <c:pt idx="5">
                  <c:v>94</c:v>
                </c:pt>
                <c:pt idx="6">
                  <c:v>95</c:v>
                </c:pt>
                <c:pt idx="7">
                  <c:v>100</c:v>
                </c:pt>
              </c:numCache>
            </c:numRef>
          </c:xVal>
          <c:yVal>
            <c:numRef>
              <c:f>Stand!$B$586:$B$593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766784"/>
        <c:axId val="211767176"/>
      </c:scatterChart>
      <c:valAx>
        <c:axId val="2117667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7176"/>
        <c:crosses val="autoZero"/>
        <c:crossBetween val="midCat"/>
        <c:minorUnit val="2"/>
      </c:valAx>
      <c:valAx>
        <c:axId val="2117671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67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Stand!$J$98</c:f>
          <c:strCache>
            <c:ptCount val="1"/>
            <c:pt idx="0">
              <c:v>R TA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Stand!$A$610:$A$617</c:f>
              <c:numCache>
                <c:formatCode>0.00</c:formatCode>
                <c:ptCount val="8"/>
                <c:pt idx="0">
                  <c:v>0</c:v>
                </c:pt>
                <c:pt idx="1">
                  <c:v>10</c:v>
                </c:pt>
                <c:pt idx="2">
                  <c:v>50</c:v>
                </c:pt>
                <c:pt idx="3">
                  <c:v>75</c:v>
                </c:pt>
                <c:pt idx="4">
                  <c:v>88</c:v>
                </c:pt>
                <c:pt idx="5">
                  <c:v>94</c:v>
                </c:pt>
                <c:pt idx="6">
                  <c:v>95</c:v>
                </c:pt>
                <c:pt idx="7">
                  <c:v>100</c:v>
                </c:pt>
              </c:numCache>
            </c:numRef>
          </c:xVal>
          <c:yVal>
            <c:numRef>
              <c:f>Stand!$B$610:$B$617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767960"/>
        <c:axId val="211768352"/>
      </c:scatterChart>
      <c:valAx>
        <c:axId val="2117679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8352"/>
        <c:crosses val="autoZero"/>
        <c:crossBetween val="midCat"/>
        <c:minorUnit val="2"/>
      </c:valAx>
      <c:valAx>
        <c:axId val="2117683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79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Stand!$A$634:$A$641</c:f>
              <c:numCache>
                <c:formatCode>0.00</c:formatCode>
                <c:ptCount val="8"/>
                <c:pt idx="0">
                  <c:v>0</c:v>
                </c:pt>
                <c:pt idx="1">
                  <c:v>7.89</c:v>
                </c:pt>
                <c:pt idx="2">
                  <c:v>20</c:v>
                </c:pt>
                <c:pt idx="3">
                  <c:v>55.26</c:v>
                </c:pt>
                <c:pt idx="4">
                  <c:v>60</c:v>
                </c:pt>
                <c:pt idx="5">
                  <c:v>65</c:v>
                </c:pt>
                <c:pt idx="6">
                  <c:v>71.05</c:v>
                </c:pt>
                <c:pt idx="7">
                  <c:v>100</c:v>
                </c:pt>
              </c:numCache>
            </c:numRef>
          </c:xVal>
          <c:yVal>
            <c:numRef>
              <c:f>Stand!$B$634:$B$641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769136"/>
        <c:axId val="211769528"/>
      </c:scatterChart>
      <c:valAx>
        <c:axId val="2117691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9528"/>
        <c:crosses val="autoZero"/>
        <c:crossBetween val="midCat"/>
        <c:minorUnit val="2"/>
      </c:valAx>
      <c:valAx>
        <c:axId val="2117695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691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Stand!$A$658:$A$665</c:f>
              <c:numCache>
                <c:formatCode>0.00</c:formatCode>
                <c:ptCount val="8"/>
                <c:pt idx="0">
                  <c:v>0</c:v>
                </c:pt>
                <c:pt idx="1">
                  <c:v>7.89</c:v>
                </c:pt>
                <c:pt idx="2">
                  <c:v>20</c:v>
                </c:pt>
                <c:pt idx="3">
                  <c:v>55.26</c:v>
                </c:pt>
                <c:pt idx="4">
                  <c:v>60</c:v>
                </c:pt>
                <c:pt idx="5">
                  <c:v>65</c:v>
                </c:pt>
                <c:pt idx="6">
                  <c:v>71.05</c:v>
                </c:pt>
                <c:pt idx="7">
                  <c:v>100</c:v>
                </c:pt>
              </c:numCache>
            </c:numRef>
          </c:xVal>
          <c:yVal>
            <c:numRef>
              <c:f>Stand!$B$658:$B$665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1770312"/>
        <c:axId val="212127384"/>
      </c:scatterChart>
      <c:valAx>
        <c:axId val="2117703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27384"/>
        <c:crosses val="autoZero"/>
        <c:crossBetween val="midCat"/>
        <c:minorUnit val="2"/>
      </c:valAx>
      <c:valAx>
        <c:axId val="212127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17703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Stand!$A$682:$A$689</c:f>
              <c:numCache>
                <c:formatCode>0.00</c:formatCode>
                <c:ptCount val="8"/>
                <c:pt idx="0">
                  <c:v>0</c:v>
                </c:pt>
                <c:pt idx="1">
                  <c:v>7.89</c:v>
                </c:pt>
                <c:pt idx="2">
                  <c:v>20</c:v>
                </c:pt>
                <c:pt idx="3">
                  <c:v>55.26</c:v>
                </c:pt>
                <c:pt idx="4">
                  <c:v>60</c:v>
                </c:pt>
                <c:pt idx="5">
                  <c:v>65</c:v>
                </c:pt>
                <c:pt idx="6">
                  <c:v>71.05</c:v>
                </c:pt>
                <c:pt idx="7">
                  <c:v>100</c:v>
                </c:pt>
              </c:numCache>
            </c:numRef>
          </c:xVal>
          <c:yVal>
            <c:numRef>
              <c:f>Stand!$B$682:$B$689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128168"/>
        <c:axId val="212128560"/>
      </c:scatterChart>
      <c:valAx>
        <c:axId val="2121281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28560"/>
        <c:crosses val="autoZero"/>
        <c:crossBetween val="midCat"/>
        <c:minorUnit val="2"/>
      </c:valAx>
      <c:valAx>
        <c:axId val="2121285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281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Stand!$A$706:$A$713</c:f>
              <c:numCache>
                <c:formatCode>0.00</c:formatCode>
                <c:ptCount val="8"/>
                <c:pt idx="0">
                  <c:v>0</c:v>
                </c:pt>
                <c:pt idx="1">
                  <c:v>7.89</c:v>
                </c:pt>
                <c:pt idx="2">
                  <c:v>20</c:v>
                </c:pt>
                <c:pt idx="3">
                  <c:v>55.26</c:v>
                </c:pt>
                <c:pt idx="4">
                  <c:v>60</c:v>
                </c:pt>
                <c:pt idx="5">
                  <c:v>65</c:v>
                </c:pt>
                <c:pt idx="6">
                  <c:v>71.05</c:v>
                </c:pt>
                <c:pt idx="7">
                  <c:v>100</c:v>
                </c:pt>
              </c:numCache>
            </c:numRef>
          </c:xVal>
          <c:yVal>
            <c:numRef>
              <c:f>Stand!$B$706:$B$713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129344"/>
        <c:axId val="212129736"/>
      </c:scatterChart>
      <c:valAx>
        <c:axId val="2121293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29736"/>
        <c:crosses val="autoZero"/>
        <c:crossBetween val="midCat"/>
        <c:minorUnit val="2"/>
      </c:valAx>
      <c:valAx>
        <c:axId val="2121297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293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Sit!$B$42</c:f>
          <c:strCache>
            <c:ptCount val="1"/>
            <c:pt idx="0">
              <c:v>L Med/Lat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Sit!$A$153:$A$160</c:f>
              <c:numCache>
                <c:formatCode>0.00</c:formatCode>
                <c:ptCount val="8"/>
                <c:pt idx="0">
                  <c:v>0</c:v>
                </c:pt>
                <c:pt idx="1">
                  <c:v>50</c:v>
                </c:pt>
                <c:pt idx="2">
                  <c:v>55</c:v>
                </c:pt>
                <c:pt idx="3">
                  <c:v>60</c:v>
                </c:pt>
                <c:pt idx="4">
                  <c:v>75</c:v>
                </c:pt>
                <c:pt idx="5">
                  <c:v>88</c:v>
                </c:pt>
                <c:pt idx="6">
                  <c:v>94</c:v>
                </c:pt>
                <c:pt idx="7">
                  <c:v>100</c:v>
                </c:pt>
              </c:numCache>
            </c:numRef>
          </c:xVal>
          <c:yVal>
            <c:numRef>
              <c:f>Sit!$B$153:$B$160</c:f>
              <c:numCache>
                <c:formatCode>0</c:formatCode>
                <c:ptCount val="8"/>
                <c:pt idx="0">
                  <c:v>100</c:v>
                </c:pt>
                <c:pt idx="1">
                  <c:v>50</c:v>
                </c:pt>
                <c:pt idx="2">
                  <c:v>50</c:v>
                </c:pt>
                <c:pt idx="3">
                  <c:v>50</c:v>
                </c:pt>
                <c:pt idx="4">
                  <c:v>50</c:v>
                </c:pt>
                <c:pt idx="5">
                  <c:v>26</c:v>
                </c:pt>
                <c:pt idx="6">
                  <c:v>13</c:v>
                </c:pt>
                <c:pt idx="7">
                  <c:v>0</c:v>
                </c:pt>
              </c:numCache>
            </c:numRef>
          </c:yVal>
          <c:smooth val="0"/>
        </c:ser>
        <c:dLbls>
          <c:showLegendKey val="0"/>
          <c:showVal val="0"/>
          <c:showCatName val="0"/>
          <c:showSerName val="0"/>
          <c:showPercent val="0"/>
          <c:showBubbleSize val="0"/>
        </c:dLbls>
        <c:axId val="212130912"/>
        <c:axId val="212131304"/>
      </c:scatterChart>
      <c:valAx>
        <c:axId val="2121309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1304"/>
        <c:crosses val="autoZero"/>
        <c:crossBetween val="midCat"/>
        <c:minorUnit val="2"/>
      </c:valAx>
      <c:valAx>
        <c:axId val="2121313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09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Sit!$B$50</c:f>
          <c:strCache>
            <c:ptCount val="1"/>
            <c:pt idx="0">
              <c:v>L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Sit!$A$177:$A$184</c:f>
              <c:numCache>
                <c:formatCode>0.00</c:formatCode>
                <c:ptCount val="8"/>
                <c:pt idx="0">
                  <c:v>0</c:v>
                </c:pt>
                <c:pt idx="1">
                  <c:v>10</c:v>
                </c:pt>
                <c:pt idx="2">
                  <c:v>50</c:v>
                </c:pt>
                <c:pt idx="3">
                  <c:v>75</c:v>
                </c:pt>
                <c:pt idx="4">
                  <c:v>88</c:v>
                </c:pt>
                <c:pt idx="5">
                  <c:v>94</c:v>
                </c:pt>
                <c:pt idx="6">
                  <c:v>95</c:v>
                </c:pt>
                <c:pt idx="7">
                  <c:v>100</c:v>
                </c:pt>
              </c:numCache>
            </c:numRef>
          </c:xVal>
          <c:yVal>
            <c:numRef>
              <c:f>Sit!$B$177:$B$184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132088"/>
        <c:axId val="212132480"/>
      </c:scatterChart>
      <c:valAx>
        <c:axId val="2121320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2480"/>
        <c:crosses val="autoZero"/>
        <c:crossBetween val="midCat"/>
        <c:minorUnit val="2"/>
      </c:valAx>
      <c:valAx>
        <c:axId val="2121324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20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Sit!$B$58</c:f>
          <c:strCache>
            <c:ptCount val="1"/>
            <c:pt idx="0">
              <c:v>L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Sit!$A$201:$A$208</c:f>
              <c:numCache>
                <c:formatCode>0.00</c:formatCode>
                <c:ptCount val="8"/>
                <c:pt idx="0">
                  <c:v>0</c:v>
                </c:pt>
                <c:pt idx="1">
                  <c:v>50</c:v>
                </c:pt>
                <c:pt idx="2">
                  <c:v>55</c:v>
                </c:pt>
                <c:pt idx="3">
                  <c:v>60</c:v>
                </c:pt>
                <c:pt idx="4">
                  <c:v>75</c:v>
                </c:pt>
                <c:pt idx="5">
                  <c:v>88</c:v>
                </c:pt>
                <c:pt idx="6">
                  <c:v>94</c:v>
                </c:pt>
                <c:pt idx="7">
                  <c:v>100</c:v>
                </c:pt>
              </c:numCache>
            </c:numRef>
          </c:xVal>
          <c:yVal>
            <c:numRef>
              <c:f>Sit!$B$201:$B$208</c:f>
              <c:numCache>
                <c:formatCode>0</c:formatCode>
                <c:ptCount val="8"/>
                <c:pt idx="0">
                  <c:v>20</c:v>
                </c:pt>
                <c:pt idx="1">
                  <c:v>10</c:v>
                </c:pt>
                <c:pt idx="2">
                  <c:v>10</c:v>
                </c:pt>
                <c:pt idx="3">
                  <c:v>10</c:v>
                </c:pt>
                <c:pt idx="4">
                  <c:v>10</c:v>
                </c:pt>
                <c:pt idx="5">
                  <c:v>5</c:v>
                </c:pt>
                <c:pt idx="6">
                  <c:v>3</c:v>
                </c:pt>
                <c:pt idx="7">
                  <c:v>0</c:v>
                </c:pt>
              </c:numCache>
            </c:numRef>
          </c:yVal>
          <c:smooth val="0"/>
        </c:ser>
        <c:dLbls>
          <c:showLegendKey val="0"/>
          <c:showVal val="0"/>
          <c:showCatName val="0"/>
          <c:showSerName val="0"/>
          <c:showPercent val="0"/>
          <c:showBubbleSize val="0"/>
        </c:dLbls>
        <c:axId val="212133264"/>
        <c:axId val="212133656"/>
      </c:scatterChart>
      <c:valAx>
        <c:axId val="2121332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3656"/>
        <c:crosses val="autoZero"/>
        <c:crossBetween val="midCat"/>
        <c:minorUnit val="2"/>
      </c:valAx>
      <c:valAx>
        <c:axId val="2121336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32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Sit!$B$66</c:f>
          <c:strCache>
            <c:ptCount val="1"/>
            <c:pt idx="0">
              <c:v>L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Sit!$A$225:$A$232</c:f>
              <c:numCache>
                <c:formatCode>0.00</c:formatCode>
                <c:ptCount val="8"/>
                <c:pt idx="0">
                  <c:v>0</c:v>
                </c:pt>
                <c:pt idx="1">
                  <c:v>10</c:v>
                </c:pt>
                <c:pt idx="2">
                  <c:v>50</c:v>
                </c:pt>
                <c:pt idx="3">
                  <c:v>80</c:v>
                </c:pt>
                <c:pt idx="4">
                  <c:v>90</c:v>
                </c:pt>
                <c:pt idx="5">
                  <c:v>95</c:v>
                </c:pt>
                <c:pt idx="6">
                  <c:v>98</c:v>
                </c:pt>
                <c:pt idx="7">
                  <c:v>100</c:v>
                </c:pt>
              </c:numCache>
            </c:numRef>
          </c:xVal>
          <c:yVal>
            <c:numRef>
              <c:f>Sit!$B$225:$B$232</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12134440"/>
        <c:axId val="212134832"/>
      </c:scatterChart>
      <c:valAx>
        <c:axId val="2121344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4832"/>
        <c:crosses val="autoZero"/>
        <c:crossBetween val="midCat"/>
        <c:minorUnit val="2"/>
      </c:valAx>
      <c:valAx>
        <c:axId val="2121348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1344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Sit!$B$74</c:f>
          <c:strCache>
            <c:ptCount val="1"/>
            <c:pt idx="0">
              <c:v>L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Sit!$A$249:$A$256</c:f>
              <c:numCache>
                <c:formatCode>0.00</c:formatCode>
                <c:ptCount val="8"/>
                <c:pt idx="0">
                  <c:v>0</c:v>
                </c:pt>
                <c:pt idx="1">
                  <c:v>40</c:v>
                </c:pt>
                <c:pt idx="2">
                  <c:v>70</c:v>
                </c:pt>
                <c:pt idx="3">
                  <c:v>85</c:v>
                </c:pt>
                <c:pt idx="4">
                  <c:v>93</c:v>
                </c:pt>
                <c:pt idx="5">
                  <c:v>95</c:v>
                </c:pt>
                <c:pt idx="6">
                  <c:v>98</c:v>
                </c:pt>
                <c:pt idx="7">
                  <c:v>100</c:v>
                </c:pt>
              </c:numCache>
            </c:numRef>
          </c:xVal>
          <c:yVal>
            <c:numRef>
              <c:f>Sit!$B$249:$B$256</c:f>
              <c:numCache>
                <c:formatCode>0</c:formatCode>
                <c:ptCount val="8"/>
                <c:pt idx="0">
                  <c:v>125</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855128"/>
        <c:axId val="212855520"/>
      </c:scatterChart>
      <c:valAx>
        <c:axId val="2128551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5520"/>
        <c:crosses val="autoZero"/>
        <c:crossBetween val="midCat"/>
        <c:minorUnit val="2"/>
      </c:valAx>
      <c:valAx>
        <c:axId val="2128555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51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Sit!$B$82</c:f>
          <c:strCache>
            <c:ptCount val="1"/>
            <c:pt idx="0">
              <c:v>L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Sit!$A$273:$A$280</c:f>
              <c:numCache>
                <c:formatCode>0.00</c:formatCode>
                <c:ptCount val="8"/>
                <c:pt idx="0">
                  <c:v>0</c:v>
                </c:pt>
                <c:pt idx="1">
                  <c:v>10</c:v>
                </c:pt>
                <c:pt idx="2">
                  <c:v>50</c:v>
                </c:pt>
                <c:pt idx="3">
                  <c:v>75</c:v>
                </c:pt>
                <c:pt idx="4">
                  <c:v>88</c:v>
                </c:pt>
                <c:pt idx="5">
                  <c:v>94</c:v>
                </c:pt>
                <c:pt idx="6">
                  <c:v>95</c:v>
                </c:pt>
                <c:pt idx="7">
                  <c:v>100</c:v>
                </c:pt>
              </c:numCache>
            </c:numRef>
          </c:xVal>
          <c:yVal>
            <c:numRef>
              <c:f>Sit!$B$273:$B$280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856304"/>
        <c:axId val="212856696"/>
      </c:scatterChart>
      <c:valAx>
        <c:axId val="2128563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6696"/>
        <c:crosses val="autoZero"/>
        <c:crossBetween val="midCat"/>
        <c:minorUnit val="2"/>
      </c:valAx>
      <c:valAx>
        <c:axId val="2128566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63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Sit!$B$90</c:f>
          <c:strCache>
            <c:ptCount val="1"/>
            <c:pt idx="0">
              <c:v>L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Sit!$A$297:$A$304</c:f>
              <c:numCache>
                <c:formatCode>0.00</c:formatCode>
                <c:ptCount val="8"/>
                <c:pt idx="0">
                  <c:v>0</c:v>
                </c:pt>
                <c:pt idx="1">
                  <c:v>10</c:v>
                </c:pt>
                <c:pt idx="2">
                  <c:v>50</c:v>
                </c:pt>
                <c:pt idx="3">
                  <c:v>75</c:v>
                </c:pt>
                <c:pt idx="4">
                  <c:v>88</c:v>
                </c:pt>
                <c:pt idx="5">
                  <c:v>94</c:v>
                </c:pt>
                <c:pt idx="6">
                  <c:v>95</c:v>
                </c:pt>
                <c:pt idx="7">
                  <c:v>100</c:v>
                </c:pt>
              </c:numCache>
            </c:numRef>
          </c:xVal>
          <c:yVal>
            <c:numRef>
              <c:f>Sit!$B$297:$B$304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857480"/>
        <c:axId val="212857872"/>
      </c:scatterChart>
      <c:valAx>
        <c:axId val="2128574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7872"/>
        <c:crosses val="autoZero"/>
        <c:crossBetween val="midCat"/>
        <c:minorUnit val="2"/>
      </c:valAx>
      <c:valAx>
        <c:axId val="2128578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74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Sit!$B$98</c:f>
          <c:strCache>
            <c:ptCount val="1"/>
            <c:pt idx="0">
              <c:v>L TA/Per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Sit!$A$321:$A$328</c:f>
              <c:numCache>
                <c:formatCode>0.00</c:formatCode>
                <c:ptCount val="8"/>
                <c:pt idx="0">
                  <c:v>0</c:v>
                </c:pt>
                <c:pt idx="1">
                  <c:v>10</c:v>
                </c:pt>
                <c:pt idx="2">
                  <c:v>50</c:v>
                </c:pt>
                <c:pt idx="3">
                  <c:v>75</c:v>
                </c:pt>
                <c:pt idx="4">
                  <c:v>88</c:v>
                </c:pt>
                <c:pt idx="5">
                  <c:v>94</c:v>
                </c:pt>
                <c:pt idx="6">
                  <c:v>95</c:v>
                </c:pt>
                <c:pt idx="7">
                  <c:v>100</c:v>
                </c:pt>
              </c:numCache>
            </c:numRef>
          </c:xVal>
          <c:yVal>
            <c:numRef>
              <c:f>Sit!$B$321:$B$328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858656"/>
        <c:axId val="212859048"/>
      </c:scatterChart>
      <c:valAx>
        <c:axId val="2128586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9048"/>
        <c:crosses val="autoZero"/>
        <c:crossBetween val="midCat"/>
        <c:minorUnit val="2"/>
      </c:valAx>
      <c:valAx>
        <c:axId val="2128590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86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Sit!$A$345:$A$352</c:f>
              <c:numCache>
                <c:formatCode>0.00</c:formatCode>
                <c:ptCount val="8"/>
                <c:pt idx="0">
                  <c:v>0</c:v>
                </c:pt>
                <c:pt idx="1">
                  <c:v>7.89</c:v>
                </c:pt>
                <c:pt idx="2">
                  <c:v>20</c:v>
                </c:pt>
                <c:pt idx="3">
                  <c:v>55.26</c:v>
                </c:pt>
                <c:pt idx="4">
                  <c:v>60</c:v>
                </c:pt>
                <c:pt idx="5">
                  <c:v>65</c:v>
                </c:pt>
                <c:pt idx="6">
                  <c:v>71.05</c:v>
                </c:pt>
                <c:pt idx="7">
                  <c:v>100</c:v>
                </c:pt>
              </c:numCache>
            </c:numRef>
          </c:xVal>
          <c:yVal>
            <c:numRef>
              <c:f>Sit!$B$345:$B$352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859832"/>
        <c:axId val="212860224"/>
      </c:scatterChart>
      <c:valAx>
        <c:axId val="2128598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60224"/>
        <c:crosses val="autoZero"/>
        <c:crossBetween val="midCat"/>
        <c:minorUnit val="2"/>
      </c:valAx>
      <c:valAx>
        <c:axId val="2128602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598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Sit!$A$369:$A$376</c:f>
              <c:numCache>
                <c:formatCode>0.00</c:formatCode>
                <c:ptCount val="8"/>
                <c:pt idx="0">
                  <c:v>0</c:v>
                </c:pt>
                <c:pt idx="1">
                  <c:v>7.89</c:v>
                </c:pt>
                <c:pt idx="2">
                  <c:v>20</c:v>
                </c:pt>
                <c:pt idx="3">
                  <c:v>55.26</c:v>
                </c:pt>
                <c:pt idx="4">
                  <c:v>60</c:v>
                </c:pt>
                <c:pt idx="5">
                  <c:v>65</c:v>
                </c:pt>
                <c:pt idx="6">
                  <c:v>71.05</c:v>
                </c:pt>
                <c:pt idx="7">
                  <c:v>100</c:v>
                </c:pt>
              </c:numCache>
            </c:numRef>
          </c:xVal>
          <c:yVal>
            <c:numRef>
              <c:f>Sit!$B$369:$B$376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861008"/>
        <c:axId val="212861400"/>
      </c:scatterChart>
      <c:valAx>
        <c:axId val="2128610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61400"/>
        <c:crosses val="autoZero"/>
        <c:crossBetween val="midCat"/>
        <c:minorUnit val="2"/>
      </c:valAx>
      <c:valAx>
        <c:axId val="2128614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610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Sit!$A$393:$A$400</c:f>
              <c:numCache>
                <c:formatCode>0.00</c:formatCode>
                <c:ptCount val="8"/>
                <c:pt idx="0">
                  <c:v>0</c:v>
                </c:pt>
                <c:pt idx="1">
                  <c:v>7.89</c:v>
                </c:pt>
                <c:pt idx="2">
                  <c:v>20</c:v>
                </c:pt>
                <c:pt idx="3">
                  <c:v>55.26</c:v>
                </c:pt>
                <c:pt idx="4">
                  <c:v>60</c:v>
                </c:pt>
                <c:pt idx="5">
                  <c:v>65</c:v>
                </c:pt>
                <c:pt idx="6">
                  <c:v>71.05</c:v>
                </c:pt>
                <c:pt idx="7">
                  <c:v>100</c:v>
                </c:pt>
              </c:numCache>
            </c:numRef>
          </c:xVal>
          <c:yVal>
            <c:numRef>
              <c:f>Sit!$B$393:$B$400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2862184"/>
        <c:axId val="213298880"/>
      </c:scatterChart>
      <c:valAx>
        <c:axId val="2128621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298880"/>
        <c:crosses val="autoZero"/>
        <c:crossBetween val="midCat"/>
        <c:minorUnit val="2"/>
      </c:valAx>
      <c:valAx>
        <c:axId val="2132988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8621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Sit!$A$417:$A$424</c:f>
              <c:numCache>
                <c:formatCode>0.00</c:formatCode>
                <c:ptCount val="8"/>
                <c:pt idx="0">
                  <c:v>0</c:v>
                </c:pt>
                <c:pt idx="1">
                  <c:v>7.89</c:v>
                </c:pt>
                <c:pt idx="2">
                  <c:v>20</c:v>
                </c:pt>
                <c:pt idx="3">
                  <c:v>55.26</c:v>
                </c:pt>
                <c:pt idx="4">
                  <c:v>60</c:v>
                </c:pt>
                <c:pt idx="5">
                  <c:v>65</c:v>
                </c:pt>
                <c:pt idx="6">
                  <c:v>71.05</c:v>
                </c:pt>
                <c:pt idx="7">
                  <c:v>100</c:v>
                </c:pt>
              </c:numCache>
            </c:numRef>
          </c:xVal>
          <c:yVal>
            <c:numRef>
              <c:f>Sit!$B$417:$B$424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299664"/>
        <c:axId val="213300056"/>
      </c:scatterChart>
      <c:valAx>
        <c:axId val="2132996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0056"/>
        <c:crosses val="autoZero"/>
        <c:crossBetween val="midCat"/>
        <c:minorUnit val="2"/>
      </c:valAx>
      <c:valAx>
        <c:axId val="2133000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2996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Sit!$J$42</c:f>
          <c:strCache>
            <c:ptCount val="1"/>
            <c:pt idx="0">
              <c:v>R Int/Lat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Sit!$A$442:$A$449</c:f>
              <c:numCache>
                <c:formatCode>0.00</c:formatCode>
                <c:ptCount val="8"/>
                <c:pt idx="0">
                  <c:v>0</c:v>
                </c:pt>
                <c:pt idx="1">
                  <c:v>50</c:v>
                </c:pt>
                <c:pt idx="2">
                  <c:v>55</c:v>
                </c:pt>
                <c:pt idx="3">
                  <c:v>60</c:v>
                </c:pt>
                <c:pt idx="4">
                  <c:v>75</c:v>
                </c:pt>
                <c:pt idx="5">
                  <c:v>88</c:v>
                </c:pt>
                <c:pt idx="6">
                  <c:v>94</c:v>
                </c:pt>
                <c:pt idx="7">
                  <c:v>100</c:v>
                </c:pt>
              </c:numCache>
            </c:numRef>
          </c:xVal>
          <c:yVal>
            <c:numRef>
              <c:f>Sit!$B$442:$B$449</c:f>
              <c:numCache>
                <c:formatCode>0</c:formatCode>
                <c:ptCount val="8"/>
                <c:pt idx="0">
                  <c:v>150</c:v>
                </c:pt>
                <c:pt idx="1">
                  <c:v>75</c:v>
                </c:pt>
                <c:pt idx="2">
                  <c:v>75</c:v>
                </c:pt>
                <c:pt idx="3">
                  <c:v>75</c:v>
                </c:pt>
                <c:pt idx="4">
                  <c:v>75</c:v>
                </c:pt>
                <c:pt idx="5">
                  <c:v>39</c:v>
                </c:pt>
                <c:pt idx="6">
                  <c:v>20</c:v>
                </c:pt>
                <c:pt idx="7">
                  <c:v>0</c:v>
                </c:pt>
              </c:numCache>
            </c:numRef>
          </c:yVal>
          <c:smooth val="0"/>
        </c:ser>
        <c:dLbls>
          <c:showLegendKey val="0"/>
          <c:showVal val="0"/>
          <c:showCatName val="0"/>
          <c:showSerName val="0"/>
          <c:showPercent val="0"/>
          <c:showBubbleSize val="0"/>
        </c:dLbls>
        <c:axId val="213300840"/>
        <c:axId val="213301232"/>
      </c:scatterChart>
      <c:valAx>
        <c:axId val="2133008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1232"/>
        <c:crosses val="autoZero"/>
        <c:crossBetween val="midCat"/>
        <c:minorUnit val="2"/>
      </c:valAx>
      <c:valAx>
        <c:axId val="2133012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08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Sit!$J$50</c:f>
          <c:strCache>
            <c:ptCount val="1"/>
            <c:pt idx="0">
              <c:v>R Tensr</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Sit!$A$466:$A$473</c:f>
              <c:numCache>
                <c:formatCode>0.00</c:formatCode>
                <c:ptCount val="8"/>
                <c:pt idx="0">
                  <c:v>0</c:v>
                </c:pt>
                <c:pt idx="1">
                  <c:v>10</c:v>
                </c:pt>
                <c:pt idx="2">
                  <c:v>50</c:v>
                </c:pt>
                <c:pt idx="3">
                  <c:v>75</c:v>
                </c:pt>
                <c:pt idx="4">
                  <c:v>88</c:v>
                </c:pt>
                <c:pt idx="5">
                  <c:v>94</c:v>
                </c:pt>
                <c:pt idx="6">
                  <c:v>95</c:v>
                </c:pt>
                <c:pt idx="7">
                  <c:v>100</c:v>
                </c:pt>
              </c:numCache>
            </c:numRef>
          </c:xVal>
          <c:yVal>
            <c:numRef>
              <c:f>Sit!$B$466:$B$473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302016"/>
        <c:axId val="213302408"/>
      </c:scatterChart>
      <c:valAx>
        <c:axId val="2133020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2408"/>
        <c:crosses val="autoZero"/>
        <c:crossBetween val="midCat"/>
        <c:minorUnit val="2"/>
      </c:valAx>
      <c:valAx>
        <c:axId val="2133024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20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Sit!$J$58</c:f>
          <c:strCache>
            <c:ptCount val="1"/>
            <c:pt idx="0">
              <c:v>R Gl Max</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Sit!$A$490:$A$497</c:f>
              <c:numCache>
                <c:formatCode>0.00</c:formatCode>
                <c:ptCount val="8"/>
                <c:pt idx="0">
                  <c:v>0</c:v>
                </c:pt>
                <c:pt idx="1">
                  <c:v>50</c:v>
                </c:pt>
                <c:pt idx="2">
                  <c:v>55</c:v>
                </c:pt>
                <c:pt idx="3">
                  <c:v>60</c:v>
                </c:pt>
                <c:pt idx="4">
                  <c:v>75</c:v>
                </c:pt>
                <c:pt idx="5">
                  <c:v>88</c:v>
                </c:pt>
                <c:pt idx="6">
                  <c:v>94</c:v>
                </c:pt>
                <c:pt idx="7">
                  <c:v>100</c:v>
                </c:pt>
              </c:numCache>
            </c:numRef>
          </c:xVal>
          <c:yVal>
            <c:numRef>
              <c:f>Sit!$B$490:$B$497</c:f>
              <c:numCache>
                <c:formatCode>0</c:formatCode>
                <c:ptCount val="8"/>
                <c:pt idx="0">
                  <c:v>110</c:v>
                </c:pt>
                <c:pt idx="1">
                  <c:v>55</c:v>
                </c:pt>
                <c:pt idx="2">
                  <c:v>55</c:v>
                </c:pt>
                <c:pt idx="3">
                  <c:v>55</c:v>
                </c:pt>
                <c:pt idx="4">
                  <c:v>55</c:v>
                </c:pt>
                <c:pt idx="5">
                  <c:v>29</c:v>
                </c:pt>
                <c:pt idx="6">
                  <c:v>14</c:v>
                </c:pt>
                <c:pt idx="7">
                  <c:v>0</c:v>
                </c:pt>
              </c:numCache>
            </c:numRef>
          </c:yVal>
          <c:smooth val="0"/>
        </c:ser>
        <c:dLbls>
          <c:showLegendKey val="0"/>
          <c:showVal val="0"/>
          <c:showCatName val="0"/>
          <c:showSerName val="0"/>
          <c:showPercent val="0"/>
          <c:showBubbleSize val="0"/>
        </c:dLbls>
        <c:axId val="213303192"/>
        <c:axId val="213303584"/>
      </c:scatterChart>
      <c:valAx>
        <c:axId val="2133031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3584"/>
        <c:crosses val="autoZero"/>
        <c:crossBetween val="midCat"/>
        <c:minorUnit val="2"/>
      </c:valAx>
      <c:valAx>
        <c:axId val="2133035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31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Sit!$J$66</c:f>
          <c:strCache>
            <c:ptCount val="1"/>
            <c:pt idx="0">
              <c:v>R P Add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Sit!$A$514:$A$521</c:f>
              <c:numCache>
                <c:formatCode>0.00</c:formatCode>
                <c:ptCount val="8"/>
                <c:pt idx="0">
                  <c:v>0</c:v>
                </c:pt>
                <c:pt idx="1">
                  <c:v>10</c:v>
                </c:pt>
                <c:pt idx="2">
                  <c:v>50</c:v>
                </c:pt>
                <c:pt idx="3">
                  <c:v>80</c:v>
                </c:pt>
                <c:pt idx="4">
                  <c:v>90</c:v>
                </c:pt>
                <c:pt idx="5">
                  <c:v>95</c:v>
                </c:pt>
                <c:pt idx="6">
                  <c:v>98</c:v>
                </c:pt>
                <c:pt idx="7">
                  <c:v>100</c:v>
                </c:pt>
              </c:numCache>
            </c:numRef>
          </c:xVal>
          <c:yVal>
            <c:numRef>
              <c:f>Sit!$B$514:$B$521</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13304760"/>
        <c:axId val="213305152"/>
      </c:scatterChart>
      <c:valAx>
        <c:axId val="2133047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5152"/>
        <c:crosses val="autoZero"/>
        <c:crossBetween val="midCat"/>
        <c:minorUnit val="2"/>
      </c:valAx>
      <c:valAx>
        <c:axId val="2133051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47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Sit!$J$74</c:f>
          <c:strCache>
            <c:ptCount val="1"/>
            <c:pt idx="0">
              <c:v>R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Sit!$A$538:$A$545</c:f>
              <c:numCache>
                <c:formatCode>0.00</c:formatCode>
                <c:ptCount val="8"/>
                <c:pt idx="0">
                  <c:v>0</c:v>
                </c:pt>
                <c:pt idx="1">
                  <c:v>50</c:v>
                </c:pt>
                <c:pt idx="2">
                  <c:v>55</c:v>
                </c:pt>
                <c:pt idx="3">
                  <c:v>60</c:v>
                </c:pt>
                <c:pt idx="4">
                  <c:v>75</c:v>
                </c:pt>
                <c:pt idx="5">
                  <c:v>88</c:v>
                </c:pt>
                <c:pt idx="6">
                  <c:v>94</c:v>
                </c:pt>
                <c:pt idx="7">
                  <c:v>100</c:v>
                </c:pt>
              </c:numCache>
            </c:numRef>
          </c:xVal>
          <c:yVal>
            <c:numRef>
              <c:f>Sit!$B$538:$B$545</c:f>
              <c:numCache>
                <c:formatCode>0</c:formatCode>
                <c:ptCount val="8"/>
                <c:pt idx="0">
                  <c:v>25</c:v>
                </c:pt>
                <c:pt idx="1">
                  <c:v>13</c:v>
                </c:pt>
                <c:pt idx="2">
                  <c:v>13</c:v>
                </c:pt>
                <c:pt idx="3">
                  <c:v>13</c:v>
                </c:pt>
                <c:pt idx="4">
                  <c:v>13</c:v>
                </c:pt>
                <c:pt idx="5">
                  <c:v>7</c:v>
                </c:pt>
                <c:pt idx="6">
                  <c:v>3</c:v>
                </c:pt>
                <c:pt idx="7">
                  <c:v>0</c:v>
                </c:pt>
              </c:numCache>
            </c:numRef>
          </c:yVal>
          <c:smooth val="0"/>
        </c:ser>
        <c:dLbls>
          <c:showLegendKey val="0"/>
          <c:showVal val="0"/>
          <c:showCatName val="0"/>
          <c:showSerName val="0"/>
          <c:showPercent val="0"/>
          <c:showBubbleSize val="0"/>
        </c:dLbls>
        <c:axId val="213305544"/>
        <c:axId val="213305936"/>
      </c:scatterChart>
      <c:valAx>
        <c:axId val="2133055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5936"/>
        <c:crosses val="autoZero"/>
        <c:crossBetween val="midCat"/>
        <c:minorUnit val="2"/>
      </c:valAx>
      <c:valAx>
        <c:axId val="2133059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3055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Sit!$J$82</c:f>
          <c:strCache>
            <c:ptCount val="1"/>
            <c:pt idx="0">
              <c:v>R Sart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Sit!$A$562:$A$569</c:f>
              <c:numCache>
                <c:formatCode>0.00</c:formatCode>
                <c:ptCount val="8"/>
                <c:pt idx="0">
                  <c:v>0</c:v>
                </c:pt>
                <c:pt idx="1">
                  <c:v>10</c:v>
                </c:pt>
                <c:pt idx="2">
                  <c:v>50</c:v>
                </c:pt>
                <c:pt idx="3">
                  <c:v>75</c:v>
                </c:pt>
                <c:pt idx="4">
                  <c:v>88</c:v>
                </c:pt>
                <c:pt idx="5">
                  <c:v>94</c:v>
                </c:pt>
                <c:pt idx="6">
                  <c:v>95</c:v>
                </c:pt>
                <c:pt idx="7">
                  <c:v>100</c:v>
                </c:pt>
              </c:numCache>
            </c:numRef>
          </c:xVal>
          <c:yVal>
            <c:numRef>
              <c:f>Sit!$B$562:$B$569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684320"/>
        <c:axId val="213684712"/>
      </c:scatterChart>
      <c:valAx>
        <c:axId val="2136843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4712"/>
        <c:crosses val="autoZero"/>
        <c:crossBetween val="midCat"/>
        <c:minorUnit val="2"/>
      </c:valAx>
      <c:valAx>
        <c:axId val="2136847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43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Sit!$J$90</c:f>
          <c:strCache>
            <c:ptCount val="1"/>
            <c:pt idx="0">
              <c:v>R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Sit!$A$586:$A$593</c:f>
              <c:numCache>
                <c:formatCode>0.00</c:formatCode>
                <c:ptCount val="8"/>
                <c:pt idx="0">
                  <c:v>0</c:v>
                </c:pt>
                <c:pt idx="1">
                  <c:v>10</c:v>
                </c:pt>
                <c:pt idx="2">
                  <c:v>50</c:v>
                </c:pt>
                <c:pt idx="3">
                  <c:v>75</c:v>
                </c:pt>
                <c:pt idx="4">
                  <c:v>88</c:v>
                </c:pt>
                <c:pt idx="5">
                  <c:v>94</c:v>
                </c:pt>
                <c:pt idx="6">
                  <c:v>95</c:v>
                </c:pt>
                <c:pt idx="7">
                  <c:v>100</c:v>
                </c:pt>
              </c:numCache>
            </c:numRef>
          </c:xVal>
          <c:yVal>
            <c:numRef>
              <c:f>Sit!$B$586:$B$593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685104"/>
        <c:axId val="213685496"/>
      </c:scatterChart>
      <c:valAx>
        <c:axId val="2136851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5496"/>
        <c:crosses val="autoZero"/>
        <c:crossBetween val="midCat"/>
        <c:minorUnit val="2"/>
      </c:valAx>
      <c:valAx>
        <c:axId val="2136854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51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Sit!$J$98</c:f>
          <c:strCache>
            <c:ptCount val="1"/>
            <c:pt idx="0">
              <c:v>R TA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Sit!$A$610:$A$617</c:f>
              <c:numCache>
                <c:formatCode>0.00</c:formatCode>
                <c:ptCount val="8"/>
                <c:pt idx="0">
                  <c:v>0</c:v>
                </c:pt>
                <c:pt idx="1">
                  <c:v>10</c:v>
                </c:pt>
                <c:pt idx="2">
                  <c:v>50</c:v>
                </c:pt>
                <c:pt idx="3">
                  <c:v>75</c:v>
                </c:pt>
                <c:pt idx="4">
                  <c:v>88</c:v>
                </c:pt>
                <c:pt idx="5">
                  <c:v>94</c:v>
                </c:pt>
                <c:pt idx="6">
                  <c:v>95</c:v>
                </c:pt>
                <c:pt idx="7">
                  <c:v>100</c:v>
                </c:pt>
              </c:numCache>
            </c:numRef>
          </c:xVal>
          <c:yVal>
            <c:numRef>
              <c:f>Sit!$B$610:$B$617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686280"/>
        <c:axId val="213686672"/>
      </c:scatterChart>
      <c:valAx>
        <c:axId val="2136862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6672"/>
        <c:crosses val="autoZero"/>
        <c:crossBetween val="midCat"/>
        <c:minorUnit val="2"/>
      </c:valAx>
      <c:valAx>
        <c:axId val="2136866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62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Sit!$J$106</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Sit!$A$634:$A$641</c:f>
              <c:numCache>
                <c:formatCode>0.00</c:formatCode>
                <c:ptCount val="8"/>
                <c:pt idx="0">
                  <c:v>0</c:v>
                </c:pt>
                <c:pt idx="1">
                  <c:v>7.89</c:v>
                </c:pt>
                <c:pt idx="2">
                  <c:v>20</c:v>
                </c:pt>
                <c:pt idx="3">
                  <c:v>55.26</c:v>
                </c:pt>
                <c:pt idx="4">
                  <c:v>60</c:v>
                </c:pt>
                <c:pt idx="5">
                  <c:v>65</c:v>
                </c:pt>
                <c:pt idx="6">
                  <c:v>71.05</c:v>
                </c:pt>
                <c:pt idx="7">
                  <c:v>100</c:v>
                </c:pt>
              </c:numCache>
            </c:numRef>
          </c:xVal>
          <c:yVal>
            <c:numRef>
              <c:f>Sit!$B$634:$B$641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687456"/>
        <c:axId val="213687848"/>
      </c:scatterChart>
      <c:valAx>
        <c:axId val="2136874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7848"/>
        <c:crosses val="autoZero"/>
        <c:crossBetween val="midCat"/>
        <c:minorUnit val="2"/>
      </c:valAx>
      <c:valAx>
        <c:axId val="2136878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74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Sit!$J$114</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Sit!$A$658:$A$665</c:f>
              <c:numCache>
                <c:formatCode>0.00</c:formatCode>
                <c:ptCount val="8"/>
                <c:pt idx="0">
                  <c:v>0</c:v>
                </c:pt>
                <c:pt idx="1">
                  <c:v>7.89</c:v>
                </c:pt>
                <c:pt idx="2">
                  <c:v>20</c:v>
                </c:pt>
                <c:pt idx="3">
                  <c:v>55.26</c:v>
                </c:pt>
                <c:pt idx="4">
                  <c:v>60</c:v>
                </c:pt>
                <c:pt idx="5">
                  <c:v>65</c:v>
                </c:pt>
                <c:pt idx="6">
                  <c:v>71.05</c:v>
                </c:pt>
                <c:pt idx="7">
                  <c:v>100</c:v>
                </c:pt>
              </c:numCache>
            </c:numRef>
          </c:xVal>
          <c:yVal>
            <c:numRef>
              <c:f>Sit!$B$658:$B$665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688632"/>
        <c:axId val="213689024"/>
      </c:scatterChart>
      <c:valAx>
        <c:axId val="2136886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9024"/>
        <c:crosses val="autoZero"/>
        <c:crossBetween val="midCat"/>
        <c:minorUnit val="2"/>
      </c:valAx>
      <c:valAx>
        <c:axId val="2136890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86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Sit!$J$122</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Sit!$A$682:$A$689</c:f>
              <c:numCache>
                <c:formatCode>0.00</c:formatCode>
                <c:ptCount val="8"/>
                <c:pt idx="0">
                  <c:v>0</c:v>
                </c:pt>
                <c:pt idx="1">
                  <c:v>7.89</c:v>
                </c:pt>
                <c:pt idx="2">
                  <c:v>20</c:v>
                </c:pt>
                <c:pt idx="3">
                  <c:v>55.26</c:v>
                </c:pt>
                <c:pt idx="4">
                  <c:v>60</c:v>
                </c:pt>
                <c:pt idx="5">
                  <c:v>65</c:v>
                </c:pt>
                <c:pt idx="6">
                  <c:v>71.05</c:v>
                </c:pt>
                <c:pt idx="7">
                  <c:v>100</c:v>
                </c:pt>
              </c:numCache>
            </c:numRef>
          </c:xVal>
          <c:yVal>
            <c:numRef>
              <c:f>Sit!$B$682:$B$689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689808"/>
        <c:axId val="213690200"/>
      </c:scatterChart>
      <c:valAx>
        <c:axId val="2136898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90200"/>
        <c:crosses val="autoZero"/>
        <c:crossBetween val="midCat"/>
        <c:minorUnit val="2"/>
      </c:valAx>
      <c:valAx>
        <c:axId val="2136902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898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Sit!$J$130</c:f>
          <c:strCache>
            <c:ptCount val="1"/>
            <c:pt idx="0">
              <c:v>N/A</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Sit!$A$706:$A$713</c:f>
              <c:numCache>
                <c:formatCode>0.00</c:formatCode>
                <c:ptCount val="8"/>
                <c:pt idx="0">
                  <c:v>0</c:v>
                </c:pt>
                <c:pt idx="1">
                  <c:v>7.89</c:v>
                </c:pt>
                <c:pt idx="2">
                  <c:v>20</c:v>
                </c:pt>
                <c:pt idx="3">
                  <c:v>55.26</c:v>
                </c:pt>
                <c:pt idx="4">
                  <c:v>60</c:v>
                </c:pt>
                <c:pt idx="5">
                  <c:v>65</c:v>
                </c:pt>
                <c:pt idx="6">
                  <c:v>71.05</c:v>
                </c:pt>
                <c:pt idx="7">
                  <c:v>100</c:v>
                </c:pt>
              </c:numCache>
            </c:numRef>
          </c:xVal>
          <c:yVal>
            <c:numRef>
              <c:f>Sit!$B$706:$B$713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690984"/>
        <c:axId val="213691376"/>
      </c:scatterChart>
      <c:valAx>
        <c:axId val="2136909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91376"/>
        <c:crosses val="autoZero"/>
        <c:crossBetween val="midCat"/>
        <c:minorUnit val="2"/>
      </c:valAx>
      <c:valAx>
        <c:axId val="2136913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36909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6.xml"/><Relationship Id="rId13" Type="http://schemas.openxmlformats.org/officeDocument/2006/relationships/chart" Target="../charts/chart61.xml"/><Relationship Id="rId18" Type="http://schemas.openxmlformats.org/officeDocument/2006/relationships/chart" Target="../charts/chart66.xml"/><Relationship Id="rId3" Type="http://schemas.openxmlformats.org/officeDocument/2006/relationships/chart" Target="../charts/chart51.xml"/><Relationship Id="rId21" Type="http://schemas.openxmlformats.org/officeDocument/2006/relationships/chart" Target="../charts/chart69.xml"/><Relationship Id="rId7" Type="http://schemas.openxmlformats.org/officeDocument/2006/relationships/chart" Target="../charts/chart55.xml"/><Relationship Id="rId12" Type="http://schemas.openxmlformats.org/officeDocument/2006/relationships/chart" Target="../charts/chart60.xml"/><Relationship Id="rId17" Type="http://schemas.openxmlformats.org/officeDocument/2006/relationships/chart" Target="../charts/chart65.xml"/><Relationship Id="rId2" Type="http://schemas.openxmlformats.org/officeDocument/2006/relationships/chart" Target="../charts/chart50.xml"/><Relationship Id="rId16" Type="http://schemas.openxmlformats.org/officeDocument/2006/relationships/chart" Target="../charts/chart64.xml"/><Relationship Id="rId20" Type="http://schemas.openxmlformats.org/officeDocument/2006/relationships/chart" Target="../charts/chart68.xml"/><Relationship Id="rId1" Type="http://schemas.openxmlformats.org/officeDocument/2006/relationships/chart" Target="../charts/chart49.xml"/><Relationship Id="rId6" Type="http://schemas.openxmlformats.org/officeDocument/2006/relationships/chart" Target="../charts/chart54.xml"/><Relationship Id="rId11" Type="http://schemas.openxmlformats.org/officeDocument/2006/relationships/chart" Target="../charts/chart59.xml"/><Relationship Id="rId24" Type="http://schemas.openxmlformats.org/officeDocument/2006/relationships/chart" Target="../charts/chart72.xml"/><Relationship Id="rId5" Type="http://schemas.openxmlformats.org/officeDocument/2006/relationships/chart" Target="../charts/chart53.xml"/><Relationship Id="rId15" Type="http://schemas.openxmlformats.org/officeDocument/2006/relationships/chart" Target="../charts/chart63.xml"/><Relationship Id="rId23" Type="http://schemas.openxmlformats.org/officeDocument/2006/relationships/chart" Target="../charts/chart71.xml"/><Relationship Id="rId10" Type="http://schemas.openxmlformats.org/officeDocument/2006/relationships/chart" Target="../charts/chart58.xml"/><Relationship Id="rId19" Type="http://schemas.openxmlformats.org/officeDocument/2006/relationships/chart" Target="../charts/chart67.xml"/><Relationship Id="rId4" Type="http://schemas.openxmlformats.org/officeDocument/2006/relationships/chart" Target="../charts/chart52.xml"/><Relationship Id="rId9" Type="http://schemas.openxmlformats.org/officeDocument/2006/relationships/chart" Target="../charts/chart57.xml"/><Relationship Id="rId14" Type="http://schemas.openxmlformats.org/officeDocument/2006/relationships/chart" Target="../charts/chart62.xml"/><Relationship Id="rId22" Type="http://schemas.openxmlformats.org/officeDocument/2006/relationships/chart" Target="../charts/chart7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18" Type="http://schemas.openxmlformats.org/officeDocument/2006/relationships/chart" Target="../charts/chart90.xml"/><Relationship Id="rId3" Type="http://schemas.openxmlformats.org/officeDocument/2006/relationships/chart" Target="../charts/chart75.xml"/><Relationship Id="rId21" Type="http://schemas.openxmlformats.org/officeDocument/2006/relationships/chart" Target="../charts/chart93.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10" Type="http://schemas.openxmlformats.org/officeDocument/2006/relationships/chart" Target="../charts/chart82.xml"/><Relationship Id="rId19" Type="http://schemas.openxmlformats.org/officeDocument/2006/relationships/chart" Target="../charts/chart91.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1028700</xdr:colOff>
          <xdr:row>33</xdr:row>
          <xdr:rowOff>152400</xdr:rowOff>
        </xdr:from>
        <xdr:to>
          <xdr:col>3</xdr:col>
          <xdr:colOff>1304925</xdr:colOff>
          <xdr:row>37</xdr:row>
          <xdr:rowOff>0</xdr:rowOff>
        </xdr:to>
        <xdr:sp macro="" textlink="">
          <xdr:nvSpPr>
            <xdr:cNvPr id="2068" name="Button 20"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Walk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1154906</xdr:colOff>
      <xdr:row>147</xdr:row>
      <xdr:rowOff>154781</xdr:rowOff>
    </xdr:from>
    <xdr:to>
      <xdr:col>13</xdr:col>
      <xdr:colOff>601265</xdr:colOff>
      <xdr:row>170</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1143001</xdr:colOff>
      <xdr:row>171</xdr:row>
      <xdr:rowOff>154781</xdr:rowOff>
    </xdr:from>
    <xdr:to>
      <xdr:col>13</xdr:col>
      <xdr:colOff>589360</xdr:colOff>
      <xdr:row>194</xdr:row>
      <xdr:rowOff>23813</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1131095</xdr:colOff>
      <xdr:row>196</xdr:row>
      <xdr:rowOff>11907</xdr:rowOff>
    </xdr:from>
    <xdr:to>
      <xdr:col>13</xdr:col>
      <xdr:colOff>577454</xdr:colOff>
      <xdr:row>218</xdr:row>
      <xdr:rowOff>47626</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1143001</xdr:colOff>
      <xdr:row>219</xdr:row>
      <xdr:rowOff>154782</xdr:rowOff>
    </xdr:from>
    <xdr:to>
      <xdr:col>13</xdr:col>
      <xdr:colOff>589360</xdr:colOff>
      <xdr:row>242</xdr:row>
      <xdr:rowOff>23814</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1143000</xdr:colOff>
      <xdr:row>243</xdr:row>
      <xdr:rowOff>142874</xdr:rowOff>
    </xdr:from>
    <xdr:to>
      <xdr:col>13</xdr:col>
      <xdr:colOff>589359</xdr:colOff>
      <xdr:row>266</xdr:row>
      <xdr:rowOff>11906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1143000</xdr:colOff>
      <xdr:row>268</xdr:row>
      <xdr:rowOff>0</xdr:rowOff>
    </xdr:from>
    <xdr:to>
      <xdr:col>13</xdr:col>
      <xdr:colOff>589359</xdr:colOff>
      <xdr:row>290</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1143000</xdr:colOff>
      <xdr:row>292</xdr:row>
      <xdr:rowOff>1</xdr:rowOff>
    </xdr:from>
    <xdr:to>
      <xdr:col>13</xdr:col>
      <xdr:colOff>589359</xdr:colOff>
      <xdr:row>314</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1143001</xdr:colOff>
      <xdr:row>316</xdr:row>
      <xdr:rowOff>0</xdr:rowOff>
    </xdr:from>
    <xdr:to>
      <xdr:col>13</xdr:col>
      <xdr:colOff>589360</xdr:colOff>
      <xdr:row>338</xdr:row>
      <xdr:rowOff>35719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1131094</xdr:colOff>
      <xdr:row>340</xdr:row>
      <xdr:rowOff>0</xdr:rowOff>
    </xdr:from>
    <xdr:to>
      <xdr:col>13</xdr:col>
      <xdr:colOff>577453</xdr:colOff>
      <xdr:row>362</xdr:row>
      <xdr:rowOff>35719</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1131095</xdr:colOff>
      <xdr:row>364</xdr:row>
      <xdr:rowOff>11906</xdr:rowOff>
    </xdr:from>
    <xdr:to>
      <xdr:col>13</xdr:col>
      <xdr:colOff>577454</xdr:colOff>
      <xdr:row>386</xdr:row>
      <xdr:rowOff>47625</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1119188</xdr:colOff>
      <xdr:row>388</xdr:row>
      <xdr:rowOff>11906</xdr:rowOff>
    </xdr:from>
    <xdr:to>
      <xdr:col>13</xdr:col>
      <xdr:colOff>565547</xdr:colOff>
      <xdr:row>410</xdr:row>
      <xdr:rowOff>47625</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1119188</xdr:colOff>
      <xdr:row>412</xdr:row>
      <xdr:rowOff>0</xdr:rowOff>
    </xdr:from>
    <xdr:to>
      <xdr:col>13</xdr:col>
      <xdr:colOff>565547</xdr:colOff>
      <xdr:row>434</xdr:row>
      <xdr:rowOff>35719</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100"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1154907</xdr:colOff>
      <xdr:row>436</xdr:row>
      <xdr:rowOff>154781</xdr:rowOff>
    </xdr:from>
    <xdr:to>
      <xdr:col>13</xdr:col>
      <xdr:colOff>601266</xdr:colOff>
      <xdr:row>459</xdr:row>
      <xdr:rowOff>23813</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102" name="Chart 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1143001</xdr:colOff>
      <xdr:row>460</xdr:row>
      <xdr:rowOff>154781</xdr:rowOff>
    </xdr:from>
    <xdr:to>
      <xdr:col>13</xdr:col>
      <xdr:colOff>589360</xdr:colOff>
      <xdr:row>483</xdr:row>
      <xdr:rowOff>23813</xdr:rowOff>
    </xdr:to>
    <xdr:graphicFrame macro="">
      <xdr:nvGraphicFramePr>
        <xdr:cNvPr id="103" name="Chart 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104"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1119189</xdr:colOff>
      <xdr:row>485</xdr:row>
      <xdr:rowOff>11907</xdr:rowOff>
    </xdr:from>
    <xdr:to>
      <xdr:col>13</xdr:col>
      <xdr:colOff>565548</xdr:colOff>
      <xdr:row>507</xdr:row>
      <xdr:rowOff>47626</xdr:rowOff>
    </xdr:to>
    <xdr:graphicFrame macro="">
      <xdr:nvGraphicFramePr>
        <xdr:cNvPr id="105" name="Chart 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106" name="Chart 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1143001</xdr:colOff>
      <xdr:row>508</xdr:row>
      <xdr:rowOff>154782</xdr:rowOff>
    </xdr:from>
    <xdr:to>
      <xdr:col>13</xdr:col>
      <xdr:colOff>589360</xdr:colOff>
      <xdr:row>531</xdr:row>
      <xdr:rowOff>23814</xdr:rowOff>
    </xdr:to>
    <xdr:graphicFrame macro="">
      <xdr:nvGraphicFramePr>
        <xdr:cNvPr id="107" name="Chart 1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108" name="Chart 10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6</xdr:col>
      <xdr:colOff>1143000</xdr:colOff>
      <xdr:row>532</xdr:row>
      <xdr:rowOff>142874</xdr:rowOff>
    </xdr:from>
    <xdr:to>
      <xdr:col>13</xdr:col>
      <xdr:colOff>589359</xdr:colOff>
      <xdr:row>555</xdr:row>
      <xdr:rowOff>11906</xdr:rowOff>
    </xdr:to>
    <xdr:graphicFrame macro="">
      <xdr:nvGraphicFramePr>
        <xdr:cNvPr id="109" name="Chart 10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110"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1143000</xdr:colOff>
      <xdr:row>557</xdr:row>
      <xdr:rowOff>0</xdr:rowOff>
    </xdr:from>
    <xdr:to>
      <xdr:col>13</xdr:col>
      <xdr:colOff>589359</xdr:colOff>
      <xdr:row>579</xdr:row>
      <xdr:rowOff>35719</xdr:rowOff>
    </xdr:to>
    <xdr:graphicFrame macro="">
      <xdr:nvGraphicFramePr>
        <xdr:cNvPr id="111"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112" name="Chart 1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xdr:col>
      <xdr:colOff>1143000</xdr:colOff>
      <xdr:row>581</xdr:row>
      <xdr:rowOff>1</xdr:rowOff>
    </xdr:from>
    <xdr:to>
      <xdr:col>13</xdr:col>
      <xdr:colOff>589359</xdr:colOff>
      <xdr:row>603</xdr:row>
      <xdr:rowOff>35720</xdr:rowOff>
    </xdr:to>
    <xdr:graphicFrame macro="">
      <xdr:nvGraphicFramePr>
        <xdr:cNvPr id="113" name="Chart 1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114" name="Chart 1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6</xdr:col>
      <xdr:colOff>1143001</xdr:colOff>
      <xdr:row>605</xdr:row>
      <xdr:rowOff>0</xdr:rowOff>
    </xdr:from>
    <xdr:to>
      <xdr:col>13</xdr:col>
      <xdr:colOff>589360</xdr:colOff>
      <xdr:row>627</xdr:row>
      <xdr:rowOff>35719</xdr:rowOff>
    </xdr:to>
    <xdr:graphicFrame macro="">
      <xdr:nvGraphicFramePr>
        <xdr:cNvPr id="115" name="Chart 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116" name="Chart 1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6</xdr:col>
      <xdr:colOff>1131094</xdr:colOff>
      <xdr:row>629</xdr:row>
      <xdr:rowOff>0</xdr:rowOff>
    </xdr:from>
    <xdr:to>
      <xdr:col>13</xdr:col>
      <xdr:colOff>577453</xdr:colOff>
      <xdr:row>651</xdr:row>
      <xdr:rowOff>35719</xdr:rowOff>
    </xdr:to>
    <xdr:graphicFrame macro="">
      <xdr:nvGraphicFramePr>
        <xdr:cNvPr id="117"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118" name="Chart 1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6</xdr:col>
      <xdr:colOff>1131095</xdr:colOff>
      <xdr:row>653</xdr:row>
      <xdr:rowOff>11906</xdr:rowOff>
    </xdr:from>
    <xdr:to>
      <xdr:col>13</xdr:col>
      <xdr:colOff>577454</xdr:colOff>
      <xdr:row>675</xdr:row>
      <xdr:rowOff>47625</xdr:rowOff>
    </xdr:to>
    <xdr:graphicFrame macro="">
      <xdr:nvGraphicFramePr>
        <xdr:cNvPr id="119"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120"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6</xdr:col>
      <xdr:colOff>1119188</xdr:colOff>
      <xdr:row>677</xdr:row>
      <xdr:rowOff>11906</xdr:rowOff>
    </xdr:from>
    <xdr:to>
      <xdr:col>13</xdr:col>
      <xdr:colOff>565547</xdr:colOff>
      <xdr:row>699</xdr:row>
      <xdr:rowOff>47625</xdr:rowOff>
    </xdr:to>
    <xdr:graphicFrame macro="">
      <xdr:nvGraphicFramePr>
        <xdr:cNvPr id="121" name="Chart 1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122" name="Chart 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6</xdr:col>
      <xdr:colOff>1119188</xdr:colOff>
      <xdr:row>701</xdr:row>
      <xdr:rowOff>0</xdr:rowOff>
    </xdr:from>
    <xdr:to>
      <xdr:col>13</xdr:col>
      <xdr:colOff>565547</xdr:colOff>
      <xdr:row>723</xdr:row>
      <xdr:rowOff>35719</xdr:rowOff>
    </xdr:to>
    <xdr:graphicFrame macro="">
      <xdr:nvGraphicFramePr>
        <xdr:cNvPr id="123" name="Chart 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32</xdr:row>
          <xdr:rowOff>152400</xdr:rowOff>
        </xdr:from>
        <xdr:to>
          <xdr:col>3</xdr:col>
          <xdr:colOff>1295400</xdr:colOff>
          <xdr:row>36</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Stand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32</xdr:row>
          <xdr:rowOff>152400</xdr:rowOff>
        </xdr:from>
        <xdr:to>
          <xdr:col>3</xdr:col>
          <xdr:colOff>1295400</xdr:colOff>
          <xdr:row>36</xdr:row>
          <xdr:rowOff>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Sit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N731"/>
  <sheetViews>
    <sheetView tabSelected="1" topLeftCell="A19" zoomScale="80" zoomScaleNormal="80" workbookViewId="0">
      <selection activeCell="B540" sqref="B540"/>
    </sheetView>
  </sheetViews>
  <sheetFormatPr defaultRowHeight="12.75" x14ac:dyDescent="0.2"/>
  <cols>
    <col min="1" max="1" width="10.5703125" customWidth="1"/>
    <col min="2" max="2" width="13.28515625" customWidth="1"/>
    <col min="3" max="3" width="18.85546875" customWidth="1"/>
    <col min="4" max="4" width="19.7109375" customWidth="1"/>
    <col min="5" max="5" width="15.7109375" customWidth="1"/>
    <col min="6" max="6" width="17.85546875" customWidth="1"/>
    <col min="7" max="7" width="24.5703125" customWidth="1"/>
    <col min="8" max="8" width="11.5703125" customWidth="1"/>
    <col min="9" max="9" width="10.42578125" customWidth="1"/>
    <col min="10" max="10" width="11.5703125" customWidth="1"/>
    <col min="11" max="11" width="11" customWidth="1"/>
    <col min="12" max="12" width="17.28515625" customWidth="1"/>
    <col min="13" max="13" width="8.85546875" customWidth="1"/>
    <col min="14" max="14" width="10.85546875" customWidth="1"/>
    <col min="15" max="15" width="16.85546875" customWidth="1"/>
    <col min="16" max="16" width="13" customWidth="1"/>
  </cols>
  <sheetData>
    <row r="1" spans="1:40" x14ac:dyDescent="0.2">
      <c r="B1" s="5"/>
      <c r="C1" s="330" t="s">
        <v>18</v>
      </c>
      <c r="D1" s="330"/>
      <c r="E1" s="330"/>
      <c r="F1" s="33">
        <v>42292.597986111112</v>
      </c>
      <c r="G1" s="5"/>
      <c r="H1" s="45"/>
      <c r="I1" s="45"/>
      <c r="J1" s="45"/>
      <c r="K1" s="45"/>
      <c r="L1" s="45"/>
      <c r="M1" s="45"/>
      <c r="N1" s="45"/>
      <c r="O1" s="45"/>
      <c r="P1" s="45"/>
      <c r="Q1" s="47"/>
      <c r="R1" s="47"/>
      <c r="S1" s="47"/>
      <c r="T1" s="47"/>
      <c r="U1" s="47"/>
      <c r="V1" s="47"/>
      <c r="W1" s="78"/>
      <c r="X1" s="78"/>
      <c r="Y1" s="78"/>
      <c r="Z1" s="78"/>
      <c r="AA1" s="78"/>
      <c r="AB1" s="78"/>
      <c r="AC1" s="78"/>
      <c r="AD1" s="78"/>
      <c r="AE1" s="78"/>
      <c r="AF1" s="78"/>
      <c r="AG1" s="78"/>
      <c r="AH1" s="78"/>
      <c r="AI1" s="78"/>
      <c r="AJ1" s="78"/>
      <c r="AK1" s="78"/>
      <c r="AL1" s="78"/>
      <c r="AM1" s="78"/>
      <c r="AN1" s="78"/>
    </row>
    <row r="2" spans="1:40" ht="13.5" thickBot="1" x14ac:dyDescent="0.25">
      <c r="A2" s="6"/>
      <c r="B2" s="6"/>
      <c r="C2" s="331" t="s">
        <v>12</v>
      </c>
      <c r="D2" s="331"/>
      <c r="E2" s="331"/>
      <c r="F2" s="6"/>
      <c r="G2" s="6"/>
      <c r="H2" s="48"/>
      <c r="I2" s="79"/>
      <c r="J2" s="79" t="s">
        <v>15</v>
      </c>
      <c r="K2" s="80"/>
      <c r="L2" s="79"/>
      <c r="M2" s="79" t="s">
        <v>15</v>
      </c>
      <c r="N2" s="81"/>
      <c r="O2" s="79"/>
      <c r="P2" s="79" t="s">
        <v>15</v>
      </c>
      <c r="Q2" s="47"/>
      <c r="R2" s="47"/>
      <c r="S2" s="47"/>
      <c r="T2" s="47"/>
      <c r="U2" s="47"/>
      <c r="V2" s="47"/>
      <c r="W2" s="78"/>
      <c r="X2" s="78"/>
      <c r="Y2" s="78"/>
      <c r="Z2" s="78"/>
      <c r="AA2" s="78"/>
      <c r="AB2" s="78"/>
      <c r="AC2" s="78"/>
      <c r="AD2" s="78"/>
      <c r="AE2" s="78"/>
      <c r="AF2" s="78"/>
      <c r="AG2" s="78"/>
      <c r="AH2" s="78"/>
      <c r="AI2" s="78"/>
      <c r="AJ2" s="78"/>
      <c r="AK2" s="78"/>
      <c r="AL2" s="78"/>
      <c r="AM2" s="78"/>
      <c r="AN2" s="78"/>
    </row>
    <row r="3" spans="1:40" ht="13.5" thickBot="1" x14ac:dyDescent="0.25">
      <c r="A3" s="9"/>
      <c r="B3" s="332" t="s">
        <v>5</v>
      </c>
      <c r="C3" s="333"/>
      <c r="D3" s="333"/>
      <c r="E3" s="11" t="s">
        <v>6</v>
      </c>
      <c r="F3" s="338" t="s">
        <v>7</v>
      </c>
      <c r="G3" s="339"/>
      <c r="H3" s="48"/>
      <c r="I3" s="79">
        <f>I4</f>
        <v>1</v>
      </c>
      <c r="J3" s="79">
        <v>0</v>
      </c>
      <c r="K3" s="80"/>
      <c r="L3" s="79">
        <f>L4</f>
        <v>1</v>
      </c>
      <c r="M3" s="79">
        <v>0</v>
      </c>
      <c r="N3" s="81"/>
      <c r="O3" s="79">
        <f>O4</f>
        <v>1</v>
      </c>
      <c r="P3" s="79">
        <v>0</v>
      </c>
      <c r="Q3" s="47"/>
      <c r="R3" s="47"/>
      <c r="S3" s="47"/>
      <c r="T3" s="47"/>
      <c r="U3" s="47"/>
      <c r="V3" s="47"/>
      <c r="W3" s="78"/>
      <c r="X3" s="78"/>
      <c r="Y3" s="78"/>
      <c r="Z3" s="78"/>
      <c r="AA3" s="78"/>
      <c r="AB3" s="78"/>
      <c r="AC3" s="78"/>
      <c r="AD3" s="78"/>
      <c r="AE3" s="78"/>
      <c r="AF3" s="78"/>
      <c r="AG3" s="78"/>
      <c r="AH3" s="78"/>
      <c r="AI3" s="78"/>
      <c r="AJ3" s="78"/>
      <c r="AK3" s="78"/>
      <c r="AL3" s="78"/>
      <c r="AM3" s="78"/>
      <c r="AN3" s="78"/>
    </row>
    <row r="4" spans="1:40" x14ac:dyDescent="0.2">
      <c r="A4" s="9"/>
      <c r="B4" s="336" t="s">
        <v>8</v>
      </c>
      <c r="C4" s="337"/>
      <c r="D4" s="337"/>
      <c r="E4" s="12" t="s">
        <v>13</v>
      </c>
      <c r="F4" s="58">
        <v>1.33</v>
      </c>
      <c r="G4" s="17"/>
      <c r="H4" s="48"/>
      <c r="I4" s="79">
        <f>INT(10*C42 +1.5)</f>
        <v>1</v>
      </c>
      <c r="J4" s="79">
        <f>D42</f>
        <v>100</v>
      </c>
      <c r="K4" s="80"/>
      <c r="L4" s="79">
        <f>INT(10*C98 +1.5)</f>
        <v>1</v>
      </c>
      <c r="M4" s="79">
        <f>D98</f>
        <v>0</v>
      </c>
      <c r="N4" s="81"/>
      <c r="O4" s="79">
        <f>INT(10*F90 +1.5)</f>
        <v>1</v>
      </c>
      <c r="P4" s="79">
        <f>G90</f>
        <v>0</v>
      </c>
      <c r="Q4" s="47"/>
      <c r="R4" s="47"/>
      <c r="S4" s="47"/>
      <c r="T4" s="47"/>
      <c r="U4" s="47"/>
      <c r="V4" s="47"/>
      <c r="W4" s="78"/>
      <c r="X4" s="78"/>
      <c r="Y4" s="78"/>
      <c r="Z4" s="78"/>
      <c r="AA4" s="78"/>
      <c r="AB4" s="78"/>
      <c r="AC4" s="78"/>
      <c r="AD4" s="78"/>
      <c r="AE4" s="78"/>
      <c r="AF4" s="78"/>
      <c r="AG4" s="78"/>
      <c r="AH4" s="78"/>
      <c r="AI4" s="78"/>
      <c r="AJ4" s="78"/>
      <c r="AK4" s="78"/>
      <c r="AL4" s="78"/>
      <c r="AM4" s="78"/>
      <c r="AN4" s="78"/>
    </row>
    <row r="5" spans="1:40" ht="13.5" thickBot="1" x14ac:dyDescent="0.25">
      <c r="A5" s="4"/>
      <c r="B5" s="340" t="s">
        <v>9</v>
      </c>
      <c r="C5" s="341"/>
      <c r="D5" s="341"/>
      <c r="E5" s="86" t="s">
        <v>13</v>
      </c>
      <c r="F5" s="59">
        <v>1.56</v>
      </c>
      <c r="G5" s="28"/>
      <c r="H5" s="48"/>
      <c r="I5" s="79">
        <f>INT(10*C43 +1.5)</f>
        <v>101</v>
      </c>
      <c r="J5" s="79">
        <f>D43</f>
        <v>100</v>
      </c>
      <c r="K5" s="80"/>
      <c r="L5" s="79">
        <f>INT(10*C99 +1.5)</f>
        <v>101</v>
      </c>
      <c r="M5" s="79">
        <f>D99</f>
        <v>0</v>
      </c>
      <c r="N5" s="81"/>
      <c r="O5" s="79">
        <f>INT(10*F91 +1.5)</f>
        <v>101</v>
      </c>
      <c r="P5" s="79">
        <f>G91</f>
        <v>0</v>
      </c>
      <c r="Q5" s="47"/>
      <c r="R5" s="47"/>
      <c r="S5" s="47"/>
      <c r="T5" s="47"/>
      <c r="U5" s="47"/>
      <c r="V5" s="47"/>
      <c r="W5" s="78"/>
      <c r="X5" s="78"/>
      <c r="Y5" s="78"/>
      <c r="Z5" s="78"/>
      <c r="AA5" s="78"/>
      <c r="AB5" s="78"/>
      <c r="AC5" s="78"/>
      <c r="AD5" s="78"/>
      <c r="AE5" s="78"/>
      <c r="AF5" s="78"/>
      <c r="AG5" s="78"/>
      <c r="AH5" s="78"/>
      <c r="AI5" s="78"/>
      <c r="AJ5" s="78"/>
      <c r="AK5" s="78"/>
      <c r="AL5" s="78"/>
      <c r="AM5" s="78"/>
      <c r="AN5" s="78"/>
    </row>
    <row r="6" spans="1:40" x14ac:dyDescent="0.2">
      <c r="A6" s="4"/>
      <c r="B6" s="334" t="s">
        <v>20</v>
      </c>
      <c r="C6" s="335"/>
      <c r="D6" s="335"/>
      <c r="E6" s="32" t="s">
        <v>44</v>
      </c>
      <c r="F6" s="67">
        <v>38</v>
      </c>
      <c r="G6" s="85"/>
      <c r="H6" s="48"/>
      <c r="I6" s="79"/>
      <c r="J6" s="79"/>
      <c r="K6" s="80"/>
      <c r="L6" s="79"/>
      <c r="M6" s="79"/>
      <c r="N6" s="81"/>
      <c r="O6" s="79"/>
      <c r="P6" s="79"/>
      <c r="Q6" s="47"/>
      <c r="R6" s="47"/>
      <c r="S6" s="47"/>
      <c r="T6" s="47"/>
      <c r="U6" s="47"/>
      <c r="V6" s="47"/>
      <c r="W6" s="78"/>
      <c r="X6" s="78"/>
      <c r="Y6" s="78"/>
      <c r="Z6" s="78"/>
      <c r="AA6" s="78"/>
      <c r="AB6" s="78"/>
      <c r="AC6" s="78"/>
      <c r="AD6" s="78"/>
      <c r="AE6" s="78"/>
      <c r="AF6" s="78"/>
      <c r="AG6" s="78"/>
      <c r="AH6" s="78"/>
      <c r="AI6" s="78"/>
      <c r="AJ6" s="78"/>
      <c r="AK6" s="78"/>
      <c r="AL6" s="78"/>
      <c r="AM6" s="78"/>
      <c r="AN6" s="78"/>
    </row>
    <row r="7" spans="1:40" x14ac:dyDescent="0.2">
      <c r="A7" s="4"/>
      <c r="B7" s="334" t="s">
        <v>21</v>
      </c>
      <c r="C7" s="335"/>
      <c r="D7" s="335"/>
      <c r="E7" s="32" t="s">
        <v>19</v>
      </c>
      <c r="F7" s="68">
        <v>38</v>
      </c>
      <c r="G7" s="18"/>
      <c r="H7" s="48"/>
      <c r="I7" s="79"/>
      <c r="J7" s="79"/>
      <c r="K7" s="80"/>
      <c r="L7" s="79"/>
      <c r="M7" s="79"/>
      <c r="N7" s="81"/>
      <c r="O7" s="79"/>
      <c r="P7" s="79"/>
      <c r="Q7" s="47"/>
      <c r="R7" s="47"/>
      <c r="S7" s="47"/>
      <c r="T7" s="47"/>
      <c r="U7" s="47"/>
      <c r="V7" s="47"/>
      <c r="W7" s="78"/>
      <c r="X7" s="78"/>
      <c r="Y7" s="78"/>
      <c r="Z7" s="78"/>
      <c r="AA7" s="78"/>
      <c r="AB7" s="78"/>
      <c r="AC7" s="78"/>
      <c r="AD7" s="78"/>
      <c r="AE7" s="78"/>
      <c r="AF7" s="78"/>
      <c r="AG7" s="78"/>
      <c r="AH7" s="78"/>
      <c r="AI7" s="78"/>
      <c r="AJ7" s="78"/>
      <c r="AK7" s="78"/>
      <c r="AL7" s="78"/>
      <c r="AM7" s="78"/>
      <c r="AN7" s="78"/>
    </row>
    <row r="8" spans="1:40" x14ac:dyDescent="0.2">
      <c r="A8" s="4"/>
      <c r="B8" s="334" t="s">
        <v>22</v>
      </c>
      <c r="C8" s="335"/>
      <c r="D8" s="335"/>
      <c r="E8" s="32" t="s">
        <v>19</v>
      </c>
      <c r="F8" s="68">
        <v>38</v>
      </c>
      <c r="G8" s="18"/>
      <c r="H8" s="48"/>
      <c r="I8" s="79"/>
      <c r="J8" s="79"/>
      <c r="K8" s="80"/>
      <c r="L8" s="79"/>
      <c r="M8" s="79"/>
      <c r="N8" s="81"/>
      <c r="O8" s="79"/>
      <c r="P8" s="79"/>
      <c r="Q8" s="47"/>
      <c r="R8" s="47"/>
      <c r="S8" s="47"/>
      <c r="T8" s="47"/>
      <c r="U8" s="47"/>
      <c r="V8" s="47"/>
      <c r="W8" s="78"/>
      <c r="X8" s="78"/>
      <c r="Y8" s="78"/>
      <c r="Z8" s="78"/>
      <c r="AA8" s="78"/>
      <c r="AB8" s="78"/>
      <c r="AC8" s="78"/>
      <c r="AD8" s="78"/>
      <c r="AE8" s="78"/>
      <c r="AF8" s="78"/>
      <c r="AG8" s="78"/>
      <c r="AH8" s="78"/>
      <c r="AI8" s="78"/>
      <c r="AJ8" s="78"/>
      <c r="AK8" s="78"/>
      <c r="AL8" s="78"/>
      <c r="AM8" s="78"/>
      <c r="AN8" s="78"/>
    </row>
    <row r="9" spans="1:40" x14ac:dyDescent="0.2">
      <c r="A9" s="4"/>
      <c r="B9" s="334" t="s">
        <v>23</v>
      </c>
      <c r="C9" s="335"/>
      <c r="D9" s="335"/>
      <c r="E9" s="32" t="s">
        <v>19</v>
      </c>
      <c r="F9" s="68">
        <v>38</v>
      </c>
      <c r="G9" s="18"/>
      <c r="H9" s="48"/>
      <c r="I9" s="79"/>
      <c r="J9" s="79"/>
      <c r="K9" s="80"/>
      <c r="L9" s="79"/>
      <c r="M9" s="79"/>
      <c r="N9" s="81"/>
      <c r="O9" s="79"/>
      <c r="P9" s="79"/>
      <c r="Q9" s="47"/>
      <c r="R9" s="47"/>
      <c r="S9" s="47"/>
      <c r="T9" s="47"/>
      <c r="U9" s="47"/>
      <c r="V9" s="47"/>
      <c r="W9" s="78"/>
      <c r="X9" s="78"/>
      <c r="Y9" s="78"/>
      <c r="Z9" s="78"/>
      <c r="AA9" s="78"/>
      <c r="AB9" s="78"/>
      <c r="AC9" s="78"/>
      <c r="AD9" s="78"/>
      <c r="AE9" s="78"/>
      <c r="AF9" s="78"/>
      <c r="AG9" s="78"/>
      <c r="AH9" s="78"/>
      <c r="AI9" s="78"/>
      <c r="AJ9" s="78"/>
      <c r="AK9" s="78"/>
      <c r="AL9" s="78"/>
      <c r="AM9" s="78"/>
      <c r="AN9" s="78"/>
    </row>
    <row r="10" spans="1:40" x14ac:dyDescent="0.2">
      <c r="A10" s="4"/>
      <c r="B10" s="334" t="s">
        <v>24</v>
      </c>
      <c r="C10" s="335"/>
      <c r="D10" s="335"/>
      <c r="E10" s="32" t="s">
        <v>19</v>
      </c>
      <c r="F10" s="68">
        <v>38</v>
      </c>
      <c r="G10" s="18"/>
      <c r="H10" s="48"/>
      <c r="I10" s="79"/>
      <c r="J10" s="79"/>
      <c r="K10" s="80"/>
      <c r="L10" s="79"/>
      <c r="M10" s="79"/>
      <c r="N10" s="81"/>
      <c r="O10" s="79"/>
      <c r="P10" s="79"/>
      <c r="Q10" s="47"/>
      <c r="R10" s="47"/>
      <c r="S10" s="47"/>
      <c r="T10" s="47"/>
      <c r="U10" s="47"/>
      <c r="V10" s="47"/>
      <c r="W10" s="78"/>
      <c r="X10" s="78"/>
      <c r="Y10" s="78"/>
      <c r="Z10" s="78"/>
      <c r="AA10" s="78"/>
      <c r="AB10" s="78"/>
      <c r="AC10" s="78"/>
      <c r="AD10" s="78"/>
      <c r="AE10" s="78"/>
      <c r="AF10" s="78"/>
      <c r="AG10" s="78"/>
      <c r="AH10" s="78"/>
      <c r="AI10" s="78"/>
      <c r="AJ10" s="78"/>
      <c r="AK10" s="78"/>
      <c r="AL10" s="78"/>
      <c r="AM10" s="78"/>
      <c r="AN10" s="78"/>
    </row>
    <row r="11" spans="1:40" x14ac:dyDescent="0.2">
      <c r="A11" s="4"/>
      <c r="B11" s="334" t="s">
        <v>25</v>
      </c>
      <c r="C11" s="335"/>
      <c r="D11" s="335"/>
      <c r="E11" s="32" t="s">
        <v>19</v>
      </c>
      <c r="F11" s="68">
        <v>38</v>
      </c>
      <c r="G11" s="18"/>
      <c r="H11" s="48"/>
      <c r="I11" s="79"/>
      <c r="J11" s="79"/>
      <c r="K11" s="80"/>
      <c r="L11" s="79"/>
      <c r="M11" s="79"/>
      <c r="N11" s="81"/>
      <c r="O11" s="79"/>
      <c r="P11" s="79"/>
      <c r="Q11" s="47"/>
      <c r="R11" s="47"/>
      <c r="S11" s="47"/>
      <c r="T11" s="47"/>
      <c r="U11" s="47"/>
      <c r="V11" s="47"/>
      <c r="W11" s="78"/>
      <c r="X11" s="78"/>
      <c r="Y11" s="78"/>
      <c r="Z11" s="78"/>
      <c r="AA11" s="78"/>
      <c r="AB11" s="78"/>
      <c r="AC11" s="78"/>
      <c r="AD11" s="78"/>
      <c r="AE11" s="78"/>
      <c r="AF11" s="78"/>
      <c r="AG11" s="78"/>
      <c r="AH11" s="78"/>
      <c r="AI11" s="78"/>
      <c r="AJ11" s="78"/>
      <c r="AK11" s="78"/>
      <c r="AL11" s="78"/>
      <c r="AM11" s="78"/>
      <c r="AN11" s="78"/>
    </row>
    <row r="12" spans="1:40" x14ac:dyDescent="0.2">
      <c r="A12" s="4"/>
      <c r="B12" s="334" t="s">
        <v>26</v>
      </c>
      <c r="C12" s="335"/>
      <c r="D12" s="335"/>
      <c r="E12" s="32" t="s">
        <v>19</v>
      </c>
      <c r="F12" s="68">
        <v>38</v>
      </c>
      <c r="G12" s="36"/>
      <c r="H12" s="48"/>
      <c r="I12" s="80"/>
      <c r="J12" s="80"/>
      <c r="K12" s="80"/>
      <c r="L12" s="80"/>
      <c r="M12" s="80"/>
      <c r="N12" s="81"/>
      <c r="O12" s="81"/>
      <c r="P12" s="81"/>
      <c r="Q12" s="47"/>
      <c r="R12" s="47"/>
      <c r="S12" s="47"/>
      <c r="T12" s="47"/>
      <c r="U12" s="47"/>
      <c r="V12" s="47"/>
      <c r="W12" s="78"/>
      <c r="X12" s="78"/>
      <c r="Y12" s="78"/>
      <c r="Z12" s="78"/>
      <c r="AA12" s="78"/>
      <c r="AB12" s="78"/>
      <c r="AC12" s="78"/>
      <c r="AD12" s="78"/>
      <c r="AE12" s="78"/>
      <c r="AF12" s="78"/>
      <c r="AG12" s="78"/>
      <c r="AH12" s="78"/>
      <c r="AI12" s="78"/>
      <c r="AJ12" s="78"/>
      <c r="AK12" s="78"/>
      <c r="AL12" s="78"/>
      <c r="AM12" s="78"/>
      <c r="AN12" s="78"/>
    </row>
    <row r="13" spans="1:40" x14ac:dyDescent="0.2">
      <c r="A13" s="4"/>
      <c r="B13" s="334" t="s">
        <v>27</v>
      </c>
      <c r="C13" s="335"/>
      <c r="D13" s="335"/>
      <c r="E13" s="32" t="s">
        <v>19</v>
      </c>
      <c r="F13" s="68">
        <v>38</v>
      </c>
      <c r="G13" s="37"/>
      <c r="H13" s="48"/>
      <c r="I13" s="80"/>
      <c r="J13" s="80"/>
      <c r="K13" s="80"/>
      <c r="L13" s="80"/>
      <c r="M13" s="80"/>
      <c r="N13" s="81"/>
      <c r="O13" s="81"/>
      <c r="P13" s="81"/>
      <c r="Q13" s="47"/>
      <c r="R13" s="47"/>
      <c r="S13" s="47"/>
      <c r="T13" s="47"/>
      <c r="U13" s="47"/>
      <c r="V13" s="47"/>
      <c r="W13" s="78"/>
      <c r="X13" s="78"/>
      <c r="Y13" s="78"/>
      <c r="Z13" s="78"/>
      <c r="AA13" s="78"/>
      <c r="AB13" s="78"/>
      <c r="AC13" s="78"/>
      <c r="AD13" s="78"/>
      <c r="AE13" s="78"/>
      <c r="AF13" s="78"/>
      <c r="AG13" s="78"/>
      <c r="AH13" s="78"/>
      <c r="AI13" s="78"/>
      <c r="AJ13" s="78"/>
      <c r="AK13" s="78"/>
      <c r="AL13" s="78"/>
      <c r="AM13" s="78"/>
      <c r="AN13" s="78"/>
    </row>
    <row r="14" spans="1:40" x14ac:dyDescent="0.2">
      <c r="A14" s="4"/>
      <c r="B14" s="334" t="s">
        <v>28</v>
      </c>
      <c r="C14" s="335"/>
      <c r="D14" s="335"/>
      <c r="E14" s="32" t="s">
        <v>19</v>
      </c>
      <c r="F14" s="68">
        <v>0</v>
      </c>
      <c r="G14" s="37"/>
      <c r="H14" s="48"/>
      <c r="I14" s="80"/>
      <c r="J14" s="80"/>
      <c r="K14" s="80"/>
      <c r="L14" s="80"/>
      <c r="M14" s="80"/>
      <c r="N14" s="81"/>
      <c r="O14" s="81"/>
      <c r="P14" s="81"/>
      <c r="Q14" s="47"/>
      <c r="R14" s="47"/>
      <c r="S14" s="47"/>
      <c r="T14" s="47"/>
      <c r="U14" s="47"/>
      <c r="V14" s="47"/>
      <c r="W14" s="78"/>
      <c r="X14" s="78"/>
      <c r="Y14" s="78"/>
      <c r="Z14" s="78"/>
      <c r="AA14" s="78"/>
      <c r="AB14" s="78"/>
      <c r="AC14" s="78"/>
      <c r="AD14" s="78"/>
      <c r="AE14" s="78"/>
      <c r="AF14" s="78"/>
      <c r="AG14" s="78"/>
      <c r="AH14" s="78"/>
      <c r="AI14" s="78"/>
      <c r="AJ14" s="78"/>
      <c r="AK14" s="78"/>
      <c r="AL14" s="78"/>
      <c r="AM14" s="78"/>
      <c r="AN14" s="78"/>
    </row>
    <row r="15" spans="1:40" x14ac:dyDescent="0.2">
      <c r="A15" s="4"/>
      <c r="B15" s="334" t="s">
        <v>29</v>
      </c>
      <c r="C15" s="335"/>
      <c r="D15" s="335"/>
      <c r="E15" s="32" t="s">
        <v>19</v>
      </c>
      <c r="F15" s="68">
        <v>0</v>
      </c>
      <c r="G15" s="37"/>
      <c r="H15" s="48"/>
      <c r="I15" s="80"/>
      <c r="J15" s="80"/>
      <c r="K15" s="80"/>
      <c r="L15" s="80"/>
      <c r="M15" s="80"/>
      <c r="N15" s="81"/>
      <c r="O15" s="81"/>
      <c r="P15" s="81"/>
      <c r="Q15" s="47"/>
      <c r="R15" s="47"/>
      <c r="S15" s="47"/>
      <c r="T15" s="47"/>
      <c r="U15" s="47"/>
      <c r="V15" s="47"/>
      <c r="W15" s="78"/>
      <c r="X15" s="78"/>
      <c r="Y15" s="78"/>
      <c r="Z15" s="78"/>
      <c r="AA15" s="78"/>
      <c r="AB15" s="78"/>
      <c r="AC15" s="78"/>
      <c r="AD15" s="78"/>
      <c r="AE15" s="78"/>
      <c r="AF15" s="78"/>
      <c r="AG15" s="78"/>
      <c r="AH15" s="78"/>
      <c r="AI15" s="78"/>
      <c r="AJ15" s="78"/>
      <c r="AK15" s="78"/>
      <c r="AL15" s="78"/>
      <c r="AM15" s="78"/>
      <c r="AN15" s="78"/>
    </row>
    <row r="16" spans="1:40" x14ac:dyDescent="0.2">
      <c r="A16" s="4"/>
      <c r="B16" s="334" t="s">
        <v>30</v>
      </c>
      <c r="C16" s="335"/>
      <c r="D16" s="335"/>
      <c r="E16" s="32" t="s">
        <v>19</v>
      </c>
      <c r="F16" s="68">
        <v>0</v>
      </c>
      <c r="G16" s="37"/>
      <c r="H16" s="48"/>
      <c r="I16" s="80"/>
      <c r="J16" s="80"/>
      <c r="K16" s="80"/>
      <c r="L16" s="80"/>
      <c r="M16" s="80"/>
      <c r="N16" s="81"/>
      <c r="O16" s="81"/>
      <c r="P16" s="81"/>
      <c r="Q16" s="47"/>
      <c r="R16" s="47"/>
      <c r="S16" s="47"/>
      <c r="T16" s="47"/>
      <c r="U16" s="47"/>
      <c r="V16" s="47"/>
      <c r="W16" s="78"/>
      <c r="X16" s="78"/>
      <c r="Y16" s="78"/>
      <c r="Z16" s="78"/>
      <c r="AA16" s="78"/>
      <c r="AB16" s="78"/>
      <c r="AC16" s="78"/>
      <c r="AD16" s="78"/>
      <c r="AE16" s="78"/>
      <c r="AF16" s="78"/>
      <c r="AG16" s="78"/>
      <c r="AH16" s="78"/>
      <c r="AI16" s="78"/>
      <c r="AJ16" s="78"/>
      <c r="AK16" s="78"/>
      <c r="AL16" s="78"/>
      <c r="AM16" s="78"/>
      <c r="AN16" s="78"/>
    </row>
    <row r="17" spans="1:40" x14ac:dyDescent="0.2">
      <c r="A17" s="4"/>
      <c r="B17" s="334" t="s">
        <v>31</v>
      </c>
      <c r="C17" s="335"/>
      <c r="D17" s="335"/>
      <c r="E17" s="32" t="s">
        <v>19</v>
      </c>
      <c r="F17" s="68">
        <v>0</v>
      </c>
      <c r="G17" s="37"/>
      <c r="H17" s="48"/>
      <c r="I17" s="80"/>
      <c r="J17" s="80"/>
      <c r="K17" s="80"/>
      <c r="L17" s="80"/>
      <c r="M17" s="80"/>
      <c r="N17" s="81"/>
      <c r="O17" s="81"/>
      <c r="P17" s="81"/>
      <c r="Q17" s="47"/>
      <c r="R17" s="47"/>
      <c r="S17" s="47"/>
      <c r="T17" s="47"/>
      <c r="U17" s="47"/>
      <c r="V17" s="47"/>
      <c r="W17" s="78"/>
      <c r="X17" s="78"/>
      <c r="Y17" s="78"/>
      <c r="Z17" s="78"/>
      <c r="AA17" s="78"/>
      <c r="AB17" s="78"/>
      <c r="AC17" s="78"/>
      <c r="AD17" s="78"/>
      <c r="AE17" s="78"/>
      <c r="AF17" s="78"/>
      <c r="AG17" s="78"/>
      <c r="AH17" s="78"/>
      <c r="AI17" s="78"/>
      <c r="AJ17" s="78"/>
      <c r="AK17" s="78"/>
      <c r="AL17" s="78"/>
      <c r="AM17" s="78"/>
      <c r="AN17" s="78"/>
    </row>
    <row r="18" spans="1:40" x14ac:dyDescent="0.2">
      <c r="A18" s="4"/>
      <c r="B18" s="334" t="s">
        <v>32</v>
      </c>
      <c r="C18" s="335"/>
      <c r="D18" s="335"/>
      <c r="E18" s="32" t="s">
        <v>19</v>
      </c>
      <c r="F18" s="68">
        <v>38</v>
      </c>
      <c r="G18" s="37"/>
      <c r="H18" s="48"/>
      <c r="I18" s="80"/>
      <c r="J18" s="80"/>
      <c r="K18" s="80"/>
      <c r="L18" s="80"/>
      <c r="M18" s="80"/>
      <c r="N18" s="81"/>
      <c r="O18" s="81"/>
      <c r="P18" s="81"/>
      <c r="Q18" s="47"/>
      <c r="R18" s="47"/>
      <c r="S18" s="47"/>
      <c r="T18" s="47"/>
      <c r="U18" s="47"/>
      <c r="V18" s="47"/>
      <c r="W18" s="78"/>
      <c r="X18" s="78"/>
      <c r="Y18" s="78"/>
      <c r="Z18" s="78"/>
      <c r="AA18" s="78"/>
      <c r="AB18" s="78"/>
      <c r="AC18" s="78"/>
      <c r="AD18" s="78"/>
      <c r="AE18" s="78"/>
      <c r="AF18" s="78"/>
      <c r="AG18" s="78"/>
      <c r="AH18" s="78"/>
      <c r="AI18" s="78"/>
      <c r="AJ18" s="78"/>
      <c r="AK18" s="78"/>
      <c r="AL18" s="78"/>
      <c r="AM18" s="78"/>
      <c r="AN18" s="78"/>
    </row>
    <row r="19" spans="1:40" x14ac:dyDescent="0.2">
      <c r="A19" s="4"/>
      <c r="B19" s="334" t="s">
        <v>33</v>
      </c>
      <c r="C19" s="335"/>
      <c r="D19" s="335"/>
      <c r="E19" s="32" t="s">
        <v>19</v>
      </c>
      <c r="F19" s="68">
        <v>38</v>
      </c>
      <c r="G19" s="37"/>
      <c r="H19" s="48"/>
      <c r="I19" s="80"/>
      <c r="J19" s="80"/>
      <c r="K19" s="80"/>
      <c r="L19" s="80"/>
      <c r="M19" s="80"/>
      <c r="N19" s="81"/>
      <c r="O19" s="81"/>
      <c r="P19" s="81"/>
      <c r="Q19" s="47"/>
      <c r="R19" s="47"/>
      <c r="S19" s="47"/>
      <c r="T19" s="47"/>
      <c r="U19" s="47"/>
      <c r="V19" s="47"/>
      <c r="W19" s="78"/>
      <c r="X19" s="78"/>
      <c r="Y19" s="78"/>
      <c r="Z19" s="78"/>
      <c r="AA19" s="78"/>
      <c r="AB19" s="78"/>
      <c r="AC19" s="78"/>
      <c r="AD19" s="78"/>
      <c r="AE19" s="78"/>
      <c r="AF19" s="78"/>
      <c r="AG19" s="78"/>
      <c r="AH19" s="78"/>
      <c r="AI19" s="78"/>
      <c r="AJ19" s="78"/>
      <c r="AK19" s="78"/>
      <c r="AL19" s="78"/>
      <c r="AM19" s="78"/>
      <c r="AN19" s="78"/>
    </row>
    <row r="20" spans="1:40" x14ac:dyDescent="0.2">
      <c r="A20" s="4"/>
      <c r="B20" s="334" t="s">
        <v>34</v>
      </c>
      <c r="C20" s="335"/>
      <c r="D20" s="335"/>
      <c r="E20" s="32" t="s">
        <v>19</v>
      </c>
      <c r="F20" s="68">
        <v>38</v>
      </c>
      <c r="G20" s="37"/>
      <c r="H20" s="48"/>
      <c r="I20" s="80"/>
      <c r="J20" s="80"/>
      <c r="K20" s="80"/>
      <c r="L20" s="80"/>
      <c r="M20" s="80"/>
      <c r="N20" s="81"/>
      <c r="O20" s="81"/>
      <c r="P20" s="81"/>
      <c r="Q20" s="47"/>
      <c r="R20" s="47"/>
      <c r="S20" s="47"/>
      <c r="T20" s="47"/>
      <c r="U20" s="47"/>
      <c r="V20" s="47"/>
      <c r="W20" s="78"/>
      <c r="X20" s="78"/>
      <c r="Y20" s="78"/>
      <c r="Z20" s="78"/>
      <c r="AA20" s="78"/>
      <c r="AB20" s="78"/>
      <c r="AC20" s="78"/>
      <c r="AD20" s="78"/>
      <c r="AE20" s="78"/>
      <c r="AF20" s="78"/>
      <c r="AG20" s="78"/>
      <c r="AH20" s="78"/>
      <c r="AI20" s="78"/>
      <c r="AJ20" s="78"/>
      <c r="AK20" s="78"/>
      <c r="AL20" s="78"/>
      <c r="AM20" s="78"/>
      <c r="AN20" s="78"/>
    </row>
    <row r="21" spans="1:40" x14ac:dyDescent="0.2">
      <c r="A21" s="4"/>
      <c r="B21" s="334" t="s">
        <v>35</v>
      </c>
      <c r="C21" s="335"/>
      <c r="D21" s="335"/>
      <c r="E21" s="32" t="s">
        <v>19</v>
      </c>
      <c r="F21" s="68">
        <v>38</v>
      </c>
      <c r="G21" s="37"/>
      <c r="H21" s="48"/>
      <c r="I21" s="80"/>
      <c r="J21" s="80"/>
      <c r="K21" s="80"/>
      <c r="L21" s="80"/>
      <c r="M21" s="80"/>
      <c r="N21" s="81"/>
      <c r="O21" s="81"/>
      <c r="P21" s="81"/>
      <c r="Q21" s="47"/>
      <c r="R21" s="47"/>
      <c r="S21" s="47"/>
      <c r="T21" s="47"/>
      <c r="U21" s="47"/>
      <c r="V21" s="47"/>
      <c r="W21" s="78"/>
      <c r="X21" s="78"/>
      <c r="Y21" s="78"/>
      <c r="Z21" s="78"/>
      <c r="AA21" s="78"/>
      <c r="AB21" s="78"/>
      <c r="AC21" s="78"/>
      <c r="AD21" s="78"/>
      <c r="AE21" s="78"/>
      <c r="AF21" s="78"/>
      <c r="AG21" s="78"/>
      <c r="AH21" s="78"/>
      <c r="AI21" s="78"/>
      <c r="AJ21" s="78"/>
      <c r="AK21" s="78"/>
      <c r="AL21" s="78"/>
      <c r="AM21" s="78"/>
      <c r="AN21" s="78"/>
    </row>
    <row r="22" spans="1:40" x14ac:dyDescent="0.2">
      <c r="A22" s="4"/>
      <c r="B22" s="334" t="s">
        <v>36</v>
      </c>
      <c r="C22" s="335"/>
      <c r="D22" s="335"/>
      <c r="E22" s="32" t="s">
        <v>19</v>
      </c>
      <c r="F22" s="68">
        <v>38</v>
      </c>
      <c r="G22" s="37"/>
      <c r="H22" s="48"/>
      <c r="I22" s="80"/>
      <c r="J22" s="80"/>
      <c r="K22" s="80"/>
      <c r="L22" s="80"/>
      <c r="M22" s="80"/>
      <c r="N22" s="81"/>
      <c r="O22" s="81"/>
      <c r="P22" s="81"/>
      <c r="Q22" s="47"/>
      <c r="R22" s="47"/>
      <c r="S22" s="47"/>
      <c r="T22" s="47"/>
      <c r="U22" s="47"/>
      <c r="V22" s="47"/>
      <c r="W22" s="78"/>
      <c r="X22" s="78"/>
      <c r="Y22" s="78"/>
      <c r="Z22" s="78"/>
      <c r="AA22" s="78"/>
      <c r="AB22" s="78"/>
      <c r="AC22" s="78"/>
      <c r="AD22" s="78"/>
      <c r="AE22" s="78"/>
      <c r="AF22" s="78"/>
      <c r="AG22" s="78"/>
      <c r="AH22" s="78"/>
      <c r="AI22" s="78"/>
      <c r="AJ22" s="78"/>
      <c r="AK22" s="78"/>
      <c r="AL22" s="78"/>
      <c r="AM22" s="78"/>
      <c r="AN22" s="78"/>
    </row>
    <row r="23" spans="1:40" x14ac:dyDescent="0.2">
      <c r="A23" s="4"/>
      <c r="B23" s="334" t="s">
        <v>37</v>
      </c>
      <c r="C23" s="335"/>
      <c r="D23" s="335"/>
      <c r="E23" s="32" t="s">
        <v>19</v>
      </c>
      <c r="F23" s="68">
        <v>38</v>
      </c>
      <c r="G23" s="37"/>
      <c r="H23" s="48"/>
      <c r="I23" s="80"/>
      <c r="J23" s="80"/>
      <c r="K23" s="80"/>
      <c r="L23" s="80"/>
      <c r="M23" s="80"/>
      <c r="N23" s="81"/>
      <c r="O23" s="81"/>
      <c r="P23" s="81"/>
      <c r="Q23" s="47"/>
      <c r="R23" s="47"/>
      <c r="S23" s="47"/>
      <c r="T23" s="47"/>
      <c r="U23" s="47"/>
      <c r="V23" s="47"/>
      <c r="W23" s="78"/>
      <c r="X23" s="78"/>
      <c r="Y23" s="78"/>
      <c r="Z23" s="78"/>
      <c r="AA23" s="78"/>
      <c r="AB23" s="78"/>
      <c r="AC23" s="78"/>
      <c r="AD23" s="78"/>
      <c r="AE23" s="78"/>
      <c r="AF23" s="78"/>
      <c r="AG23" s="78"/>
      <c r="AH23" s="78"/>
      <c r="AI23" s="78"/>
      <c r="AJ23" s="78"/>
      <c r="AK23" s="78"/>
      <c r="AL23" s="78"/>
      <c r="AM23" s="78"/>
      <c r="AN23" s="78"/>
    </row>
    <row r="24" spans="1:40" x14ac:dyDescent="0.2">
      <c r="A24" s="4"/>
      <c r="B24" s="334" t="s">
        <v>38</v>
      </c>
      <c r="C24" s="335"/>
      <c r="D24" s="335"/>
      <c r="E24" s="32" t="s">
        <v>19</v>
      </c>
      <c r="F24" s="68">
        <v>38</v>
      </c>
      <c r="G24" s="37"/>
      <c r="H24" s="48"/>
      <c r="I24" s="80"/>
      <c r="J24" s="80"/>
      <c r="K24" s="80"/>
      <c r="L24" s="80"/>
      <c r="M24" s="80"/>
      <c r="N24" s="81"/>
      <c r="O24" s="81"/>
      <c r="P24" s="81"/>
      <c r="Q24" s="47"/>
      <c r="R24" s="47"/>
      <c r="S24" s="47"/>
      <c r="T24" s="47"/>
      <c r="U24" s="47"/>
      <c r="V24" s="47"/>
      <c r="W24" s="78"/>
      <c r="X24" s="78"/>
      <c r="Y24" s="78"/>
      <c r="Z24" s="78"/>
      <c r="AA24" s="78"/>
      <c r="AB24" s="78"/>
      <c r="AC24" s="78"/>
      <c r="AD24" s="78"/>
      <c r="AE24" s="78"/>
      <c r="AF24" s="78"/>
      <c r="AG24" s="78"/>
      <c r="AH24" s="78"/>
      <c r="AI24" s="78"/>
      <c r="AJ24" s="78"/>
      <c r="AK24" s="78"/>
      <c r="AL24" s="78"/>
      <c r="AM24" s="78"/>
      <c r="AN24" s="78"/>
    </row>
    <row r="25" spans="1:40" x14ac:dyDescent="0.2">
      <c r="A25" s="4"/>
      <c r="B25" s="334" t="s">
        <v>39</v>
      </c>
      <c r="C25" s="335"/>
      <c r="D25" s="335"/>
      <c r="E25" s="32" t="s">
        <v>19</v>
      </c>
      <c r="F25" s="68">
        <v>38</v>
      </c>
      <c r="G25" s="37"/>
      <c r="H25" s="48"/>
      <c r="I25" s="80"/>
      <c r="J25" s="80"/>
      <c r="K25" s="80"/>
      <c r="L25" s="80"/>
      <c r="M25" s="80"/>
      <c r="N25" s="81"/>
      <c r="O25" s="81"/>
      <c r="P25" s="81"/>
      <c r="Q25" s="47"/>
      <c r="R25" s="47"/>
      <c r="S25" s="47"/>
      <c r="T25" s="47"/>
      <c r="U25" s="47"/>
      <c r="V25" s="47"/>
      <c r="W25" s="78"/>
      <c r="X25" s="78"/>
      <c r="Y25" s="78"/>
      <c r="Z25" s="78"/>
      <c r="AA25" s="78"/>
      <c r="AB25" s="78"/>
      <c r="AC25" s="78"/>
      <c r="AD25" s="78"/>
      <c r="AE25" s="78"/>
      <c r="AF25" s="78"/>
      <c r="AG25" s="78"/>
      <c r="AH25" s="78"/>
      <c r="AI25" s="78"/>
      <c r="AJ25" s="78"/>
      <c r="AK25" s="78"/>
      <c r="AL25" s="78"/>
      <c r="AM25" s="78"/>
      <c r="AN25" s="78"/>
    </row>
    <row r="26" spans="1:40" x14ac:dyDescent="0.2">
      <c r="A26" s="4"/>
      <c r="B26" s="334" t="s">
        <v>40</v>
      </c>
      <c r="C26" s="335"/>
      <c r="D26" s="335"/>
      <c r="E26" s="32" t="s">
        <v>19</v>
      </c>
      <c r="F26" s="68">
        <v>0</v>
      </c>
      <c r="G26" s="37"/>
      <c r="H26" s="48"/>
      <c r="I26" s="80"/>
      <c r="J26" s="80"/>
      <c r="K26" s="80"/>
      <c r="L26" s="80"/>
      <c r="M26" s="80"/>
      <c r="N26" s="81"/>
      <c r="O26" s="81"/>
      <c r="P26" s="81"/>
      <c r="Q26" s="47"/>
      <c r="R26" s="47"/>
      <c r="S26" s="47"/>
      <c r="T26" s="47"/>
      <c r="U26" s="47"/>
      <c r="V26" s="47"/>
      <c r="W26" s="78"/>
      <c r="X26" s="78"/>
      <c r="Y26" s="78"/>
      <c r="Z26" s="78"/>
      <c r="AA26" s="78"/>
      <c r="AB26" s="78"/>
      <c r="AC26" s="78"/>
      <c r="AD26" s="78"/>
      <c r="AE26" s="78"/>
      <c r="AF26" s="78"/>
      <c r="AG26" s="78"/>
      <c r="AH26" s="78"/>
      <c r="AI26" s="78"/>
      <c r="AJ26" s="78"/>
      <c r="AK26" s="78"/>
      <c r="AL26" s="78"/>
      <c r="AM26" s="78"/>
      <c r="AN26" s="78"/>
    </row>
    <row r="27" spans="1:40" x14ac:dyDescent="0.2">
      <c r="A27" s="4"/>
      <c r="B27" s="334" t="s">
        <v>41</v>
      </c>
      <c r="C27" s="335"/>
      <c r="D27" s="335"/>
      <c r="E27" s="32" t="s">
        <v>19</v>
      </c>
      <c r="F27" s="68">
        <v>0</v>
      </c>
      <c r="G27" s="37"/>
      <c r="H27" s="48"/>
      <c r="I27" s="80"/>
      <c r="J27" s="80"/>
      <c r="K27" s="80"/>
      <c r="L27" s="80"/>
      <c r="M27" s="80"/>
      <c r="N27" s="81"/>
      <c r="O27" s="81"/>
      <c r="P27" s="81"/>
      <c r="Q27" s="47"/>
      <c r="R27" s="47"/>
      <c r="S27" s="47"/>
      <c r="T27" s="47"/>
      <c r="U27" s="47"/>
      <c r="V27" s="47"/>
      <c r="W27" s="78"/>
      <c r="X27" s="78"/>
      <c r="Y27" s="78"/>
      <c r="Z27" s="78"/>
      <c r="AA27" s="78"/>
      <c r="AB27" s="78"/>
      <c r="AC27" s="78"/>
      <c r="AD27" s="78"/>
      <c r="AE27" s="78"/>
      <c r="AF27" s="78"/>
      <c r="AG27" s="78"/>
      <c r="AH27" s="78"/>
      <c r="AI27" s="78"/>
      <c r="AJ27" s="78"/>
      <c r="AK27" s="78"/>
      <c r="AL27" s="78"/>
      <c r="AM27" s="78"/>
      <c r="AN27" s="78"/>
    </row>
    <row r="28" spans="1:40" x14ac:dyDescent="0.2">
      <c r="A28" s="4"/>
      <c r="B28" s="334" t="s">
        <v>42</v>
      </c>
      <c r="C28" s="335"/>
      <c r="D28" s="335"/>
      <c r="E28" s="32" t="s">
        <v>19</v>
      </c>
      <c r="F28" s="68">
        <v>0</v>
      </c>
      <c r="G28" s="37"/>
      <c r="H28" s="48"/>
      <c r="I28" s="80"/>
      <c r="J28" s="80"/>
      <c r="K28" s="80"/>
      <c r="L28" s="80"/>
      <c r="M28" s="80"/>
      <c r="N28" s="81"/>
      <c r="O28" s="81"/>
      <c r="P28" s="81"/>
      <c r="Q28" s="47"/>
      <c r="R28" s="47"/>
      <c r="S28" s="47"/>
      <c r="T28" s="47"/>
      <c r="U28" s="47"/>
      <c r="V28" s="47"/>
      <c r="W28" s="78"/>
      <c r="X28" s="78"/>
      <c r="Y28" s="78"/>
      <c r="Z28" s="78"/>
      <c r="AA28" s="78"/>
      <c r="AB28" s="78"/>
      <c r="AC28" s="78"/>
      <c r="AD28" s="78"/>
      <c r="AE28" s="78"/>
      <c r="AF28" s="78"/>
      <c r="AG28" s="78"/>
      <c r="AH28" s="78"/>
      <c r="AI28" s="78"/>
      <c r="AJ28" s="78"/>
      <c r="AK28" s="78"/>
      <c r="AL28" s="78"/>
      <c r="AM28" s="78"/>
      <c r="AN28" s="78"/>
    </row>
    <row r="29" spans="1:40" ht="13.5" thickBot="1" x14ac:dyDescent="0.25">
      <c r="A29" s="9"/>
      <c r="B29" s="334" t="s">
        <v>43</v>
      </c>
      <c r="C29" s="335"/>
      <c r="D29" s="335"/>
      <c r="E29" s="32" t="s">
        <v>19</v>
      </c>
      <c r="F29" s="67">
        <v>0</v>
      </c>
      <c r="G29" s="37"/>
      <c r="H29" s="48"/>
      <c r="I29" s="79"/>
      <c r="J29" s="79" t="s">
        <v>15</v>
      </c>
      <c r="K29" s="80"/>
      <c r="L29" s="79"/>
      <c r="M29" s="79" t="s">
        <v>15</v>
      </c>
      <c r="N29" s="81"/>
      <c r="O29" s="79"/>
      <c r="P29" s="79" t="s">
        <v>15</v>
      </c>
      <c r="Q29" s="47"/>
      <c r="R29" s="47"/>
      <c r="S29" s="47"/>
      <c r="T29" s="47"/>
      <c r="U29" s="47"/>
      <c r="V29" s="47"/>
      <c r="W29" s="78"/>
      <c r="X29" s="78"/>
      <c r="Y29" s="78"/>
      <c r="Z29" s="78"/>
      <c r="AA29" s="78"/>
      <c r="AB29" s="78"/>
      <c r="AC29" s="78"/>
      <c r="AD29" s="78"/>
      <c r="AE29" s="78"/>
      <c r="AF29" s="78"/>
      <c r="AG29" s="78"/>
      <c r="AH29" s="78"/>
      <c r="AI29" s="78"/>
      <c r="AJ29" s="78"/>
      <c r="AK29" s="78"/>
      <c r="AL29" s="78"/>
      <c r="AM29" s="78"/>
      <c r="AN29" s="78"/>
    </row>
    <row r="30" spans="1:40" ht="13.5" thickBot="1" x14ac:dyDescent="0.25">
      <c r="A30" s="9"/>
      <c r="B30" s="346" t="s">
        <v>10</v>
      </c>
      <c r="C30" s="347"/>
      <c r="D30" s="347"/>
      <c r="E30" s="35" t="s">
        <v>11</v>
      </c>
      <c r="F30" s="343" t="s">
        <v>45</v>
      </c>
      <c r="G30" s="344"/>
      <c r="H30" s="48"/>
      <c r="I30" s="79">
        <f>I34</f>
        <v>1</v>
      </c>
      <c r="J30" s="79">
        <v>0</v>
      </c>
      <c r="K30" s="80"/>
      <c r="L30" s="79">
        <f>L34</f>
        <v>1</v>
      </c>
      <c r="M30" s="79">
        <v>0</v>
      </c>
      <c r="N30" s="81"/>
      <c r="O30" s="79">
        <f>O34</f>
        <v>1</v>
      </c>
      <c r="P30" s="79">
        <v>0</v>
      </c>
      <c r="Q30" s="47"/>
      <c r="R30" s="47"/>
      <c r="S30" s="47"/>
      <c r="T30" s="47"/>
      <c r="U30" s="47"/>
      <c r="V30" s="47"/>
      <c r="W30" s="78"/>
      <c r="X30" s="78"/>
      <c r="Y30" s="78"/>
      <c r="Z30" s="78"/>
      <c r="AA30" s="78"/>
      <c r="AB30" s="78"/>
      <c r="AC30" s="78"/>
      <c r="AD30" s="78"/>
      <c r="AE30" s="78"/>
      <c r="AF30" s="78"/>
      <c r="AG30" s="78"/>
      <c r="AH30" s="78"/>
      <c r="AI30" s="78"/>
      <c r="AJ30" s="78"/>
      <c r="AK30" s="78"/>
      <c r="AL30" s="78"/>
      <c r="AM30" s="78"/>
      <c r="AN30" s="78"/>
    </row>
    <row r="31" spans="1:40" x14ac:dyDescent="0.2">
      <c r="A31" s="9"/>
      <c r="B31" s="64"/>
      <c r="C31" s="64"/>
      <c r="D31" s="64"/>
      <c r="E31" s="49"/>
      <c r="F31" s="64"/>
      <c r="G31" s="64"/>
      <c r="H31" s="48"/>
      <c r="I31" s="79"/>
      <c r="J31" s="79"/>
      <c r="K31" s="80"/>
      <c r="L31" s="79"/>
      <c r="M31" s="79"/>
      <c r="N31" s="81"/>
      <c r="O31" s="79"/>
      <c r="P31" s="79"/>
      <c r="Q31" s="47"/>
      <c r="R31" s="47"/>
      <c r="S31" s="47"/>
      <c r="T31" s="47"/>
      <c r="U31" s="47"/>
      <c r="V31" s="47"/>
      <c r="W31" s="78"/>
      <c r="X31" s="78"/>
      <c r="Y31" s="78"/>
      <c r="Z31" s="78"/>
      <c r="AA31" s="78"/>
      <c r="AB31" s="78"/>
      <c r="AC31" s="78"/>
      <c r="AD31" s="78"/>
      <c r="AE31" s="78"/>
      <c r="AF31" s="78"/>
      <c r="AG31" s="78"/>
      <c r="AH31" s="78"/>
      <c r="AI31" s="78"/>
      <c r="AJ31" s="78"/>
      <c r="AK31" s="78"/>
      <c r="AL31" s="78"/>
      <c r="AM31" s="78"/>
      <c r="AN31" s="78"/>
    </row>
    <row r="32" spans="1:40" x14ac:dyDescent="0.2">
      <c r="A32" s="9"/>
      <c r="B32" s="345" t="s">
        <v>46</v>
      </c>
      <c r="C32" s="345"/>
      <c r="D32" s="345"/>
      <c r="E32" s="345"/>
      <c r="F32" s="345"/>
      <c r="G32" s="345"/>
      <c r="H32" s="48"/>
      <c r="I32" s="79"/>
      <c r="J32" s="79"/>
      <c r="K32" s="80"/>
      <c r="L32" s="79"/>
      <c r="M32" s="79"/>
      <c r="N32" s="81"/>
      <c r="O32" s="79"/>
      <c r="P32" s="79"/>
      <c r="Q32" s="47"/>
      <c r="R32" s="47"/>
      <c r="S32" s="47"/>
      <c r="T32" s="47"/>
      <c r="U32" s="47"/>
      <c r="V32" s="47"/>
      <c r="W32" s="78"/>
      <c r="X32" s="78"/>
      <c r="Y32" s="78"/>
      <c r="Z32" s="78"/>
      <c r="AA32" s="78"/>
      <c r="AB32" s="78"/>
      <c r="AC32" s="78"/>
      <c r="AD32" s="78"/>
      <c r="AE32" s="78"/>
      <c r="AF32" s="78"/>
      <c r="AG32" s="78"/>
      <c r="AH32" s="78"/>
      <c r="AI32" s="78"/>
      <c r="AJ32" s="78"/>
      <c r="AK32" s="78"/>
      <c r="AL32" s="78"/>
      <c r="AM32" s="78"/>
      <c r="AN32" s="78"/>
    </row>
    <row r="33" spans="1:40" x14ac:dyDescent="0.2">
      <c r="A33" s="9"/>
      <c r="B33" s="345" t="s">
        <v>47</v>
      </c>
      <c r="C33" s="345"/>
      <c r="D33" s="345"/>
      <c r="E33" s="345"/>
      <c r="F33" s="345"/>
      <c r="G33" s="345"/>
      <c r="H33" s="48"/>
      <c r="I33" s="79"/>
      <c r="J33" s="79"/>
      <c r="K33" s="80"/>
      <c r="L33" s="79"/>
      <c r="M33" s="79"/>
      <c r="N33" s="81"/>
      <c r="O33" s="79"/>
      <c r="P33" s="79"/>
      <c r="Q33" s="47"/>
      <c r="R33" s="47"/>
      <c r="S33" s="47"/>
      <c r="T33" s="47"/>
      <c r="U33" s="47"/>
      <c r="V33" s="47"/>
      <c r="W33" s="78"/>
      <c r="X33" s="78"/>
      <c r="Y33" s="78"/>
      <c r="Z33" s="78"/>
      <c r="AA33" s="78"/>
      <c r="AB33" s="78"/>
      <c r="AC33" s="78"/>
      <c r="AD33" s="78"/>
      <c r="AE33" s="78"/>
      <c r="AF33" s="78"/>
      <c r="AG33" s="78"/>
      <c r="AH33" s="78"/>
      <c r="AI33" s="78"/>
      <c r="AJ33" s="78"/>
      <c r="AK33" s="78"/>
      <c r="AL33" s="78"/>
      <c r="AM33" s="78"/>
      <c r="AN33" s="78"/>
    </row>
    <row r="34" spans="1:40" x14ac:dyDescent="0.2">
      <c r="A34" s="9"/>
      <c r="B34" s="342"/>
      <c r="C34" s="342"/>
      <c r="D34" s="342"/>
      <c r="E34" s="7"/>
      <c r="F34" s="6"/>
      <c r="G34" s="6"/>
      <c r="H34" s="48"/>
      <c r="I34" s="79">
        <f t="shared" ref="I34:I37" si="0">INT(10*C50 +1.5)</f>
        <v>1</v>
      </c>
      <c r="J34" s="79">
        <f t="shared" ref="J34:J37" si="1">D50</f>
        <v>0</v>
      </c>
      <c r="K34" s="80"/>
      <c r="L34" s="79">
        <f t="shared" ref="L34:L37" si="2">INT(10*F42 +1.5)</f>
        <v>1</v>
      </c>
      <c r="M34" s="79">
        <f t="shared" ref="M34:M37" si="3">G42</f>
        <v>131</v>
      </c>
      <c r="N34" s="81"/>
      <c r="O34" s="79">
        <f t="shared" ref="O34:O37" si="4">INT(10*F98 +1.5)</f>
        <v>1</v>
      </c>
      <c r="P34" s="79">
        <f t="shared" ref="P34:P37" si="5">G98</f>
        <v>0</v>
      </c>
      <c r="Q34" s="47"/>
      <c r="R34" s="47"/>
      <c r="S34" s="47"/>
      <c r="T34" s="47"/>
      <c r="U34" s="47"/>
      <c r="V34" s="47"/>
      <c r="W34" s="78"/>
      <c r="X34" s="78"/>
      <c r="Y34" s="78"/>
      <c r="Z34" s="78"/>
      <c r="AA34" s="78"/>
      <c r="AB34" s="78"/>
      <c r="AC34" s="78"/>
      <c r="AD34" s="78"/>
      <c r="AE34" s="78"/>
      <c r="AF34" s="78"/>
      <c r="AG34" s="78"/>
      <c r="AH34" s="78"/>
      <c r="AI34" s="78"/>
      <c r="AJ34" s="78"/>
      <c r="AK34" s="78"/>
      <c r="AL34" s="78"/>
      <c r="AM34" s="78"/>
      <c r="AN34" s="78"/>
    </row>
    <row r="35" spans="1:40" x14ac:dyDescent="0.2">
      <c r="A35" s="6"/>
      <c r="B35" s="6"/>
      <c r="C35" s="23"/>
      <c r="D35" s="23"/>
      <c r="E35" s="23"/>
      <c r="F35" s="66"/>
      <c r="G35" s="6"/>
      <c r="H35" s="48"/>
      <c r="I35" s="79">
        <f t="shared" si="0"/>
        <v>101</v>
      </c>
      <c r="J35" s="79">
        <f t="shared" si="1"/>
        <v>0</v>
      </c>
      <c r="K35" s="80"/>
      <c r="L35" s="79">
        <f t="shared" si="2"/>
        <v>46</v>
      </c>
      <c r="M35" s="79">
        <f t="shared" si="3"/>
        <v>120</v>
      </c>
      <c r="N35" s="81"/>
      <c r="O35" s="79">
        <f t="shared" si="4"/>
        <v>101</v>
      </c>
      <c r="P35" s="79">
        <f t="shared" si="5"/>
        <v>0</v>
      </c>
      <c r="Q35" s="47"/>
      <c r="R35" s="47"/>
      <c r="S35" s="47"/>
      <c r="T35" s="47"/>
      <c r="U35" s="47"/>
      <c r="V35" s="47"/>
      <c r="W35" s="78"/>
      <c r="X35" s="78"/>
      <c r="Y35" s="78"/>
      <c r="Z35" s="78"/>
      <c r="AA35" s="78"/>
      <c r="AB35" s="78"/>
      <c r="AC35" s="78"/>
      <c r="AD35" s="78"/>
      <c r="AE35" s="78"/>
      <c r="AF35" s="78"/>
      <c r="AG35" s="78"/>
      <c r="AH35" s="78"/>
      <c r="AI35" s="78"/>
      <c r="AJ35" s="78"/>
      <c r="AK35" s="78"/>
      <c r="AL35" s="78"/>
      <c r="AM35" s="78"/>
      <c r="AN35" s="78"/>
    </row>
    <row r="36" spans="1:40" ht="18" x14ac:dyDescent="0.25">
      <c r="A36" s="350"/>
      <c r="B36" s="350"/>
      <c r="C36" s="22"/>
      <c r="D36" s="21"/>
      <c r="E36" s="29"/>
      <c r="F36" s="348" t="s">
        <v>126</v>
      </c>
      <c r="G36" s="349"/>
      <c r="H36" s="47"/>
      <c r="I36" s="79">
        <f t="shared" si="0"/>
        <v>175</v>
      </c>
      <c r="J36" s="79">
        <f t="shared" si="1"/>
        <v>0</v>
      </c>
      <c r="K36" s="82"/>
      <c r="L36" s="79">
        <f t="shared" si="2"/>
        <v>150</v>
      </c>
      <c r="M36" s="79">
        <f t="shared" si="3"/>
        <v>100</v>
      </c>
      <c r="N36" s="82"/>
      <c r="O36" s="79">
        <f t="shared" si="4"/>
        <v>501</v>
      </c>
      <c r="P36" s="79">
        <f t="shared" si="5"/>
        <v>0</v>
      </c>
      <c r="Q36" s="47"/>
      <c r="R36" s="47"/>
      <c r="S36" s="47"/>
      <c r="T36" s="47"/>
      <c r="U36" s="47"/>
      <c r="V36" s="47"/>
      <c r="W36" s="78"/>
      <c r="X36" s="78"/>
      <c r="Y36" s="78"/>
      <c r="Z36" s="78"/>
      <c r="AA36" s="78"/>
      <c r="AB36" s="78"/>
      <c r="AC36" s="78"/>
      <c r="AD36" s="78"/>
      <c r="AE36" s="78"/>
      <c r="AF36" s="78"/>
      <c r="AG36" s="78"/>
      <c r="AH36" s="78"/>
      <c r="AI36" s="78"/>
      <c r="AJ36" s="78"/>
      <c r="AK36" s="78"/>
      <c r="AL36" s="78"/>
      <c r="AM36" s="78"/>
      <c r="AN36" s="78"/>
    </row>
    <row r="37" spans="1:40" x14ac:dyDescent="0.2">
      <c r="A37" s="10"/>
      <c r="B37" s="9"/>
      <c r="C37" s="29"/>
      <c r="D37" s="30"/>
      <c r="E37" s="31"/>
      <c r="F37" s="14"/>
      <c r="G37" s="9"/>
      <c r="H37" s="47"/>
      <c r="I37" s="79">
        <f t="shared" si="0"/>
        <v>199</v>
      </c>
      <c r="J37" s="79">
        <f t="shared" si="1"/>
        <v>60</v>
      </c>
      <c r="K37" s="83"/>
      <c r="L37" s="79">
        <f t="shared" si="2"/>
        <v>571</v>
      </c>
      <c r="M37" s="79">
        <f t="shared" si="3"/>
        <v>100</v>
      </c>
      <c r="N37" s="81"/>
      <c r="O37" s="79">
        <f t="shared" si="4"/>
        <v>751</v>
      </c>
      <c r="P37" s="79">
        <f t="shared" si="5"/>
        <v>0</v>
      </c>
      <c r="Q37" s="47"/>
      <c r="R37" s="47"/>
      <c r="S37" s="47"/>
      <c r="T37" s="47"/>
      <c r="U37" s="47"/>
      <c r="V37" s="47"/>
      <c r="W37" s="78"/>
      <c r="X37" s="78"/>
      <c r="Y37" s="78"/>
      <c r="Z37" s="78"/>
      <c r="AA37" s="78"/>
      <c r="AB37" s="78"/>
      <c r="AC37" s="78"/>
      <c r="AD37" s="78"/>
      <c r="AE37" s="78"/>
      <c r="AF37" s="78"/>
      <c r="AG37" s="78"/>
      <c r="AH37" s="78"/>
      <c r="AI37" s="78"/>
      <c r="AJ37" s="78"/>
      <c r="AK37" s="78"/>
      <c r="AL37" s="78"/>
      <c r="AM37" s="78"/>
      <c r="AN37" s="78"/>
    </row>
    <row r="38" spans="1:40" ht="13.5" thickBot="1" x14ac:dyDescent="0.25">
      <c r="A38" s="3"/>
      <c r="B38" s="4"/>
      <c r="C38" s="4"/>
      <c r="E38" s="4"/>
      <c r="F38" s="15"/>
      <c r="G38" s="15"/>
      <c r="H38" s="46"/>
      <c r="I38" s="79">
        <f>INT(10*C56 +1.5)</f>
        <v>951</v>
      </c>
      <c r="J38" s="79">
        <f>D56</f>
        <v>0</v>
      </c>
      <c r="K38" s="82"/>
      <c r="L38" s="79">
        <f>INT(10*F48 +1.5)</f>
        <v>951</v>
      </c>
      <c r="M38" s="79">
        <f>G48</f>
        <v>100</v>
      </c>
      <c r="N38" s="79"/>
      <c r="O38" s="79">
        <f>INT(10*F104 +1.5)</f>
        <v>951</v>
      </c>
      <c r="P38" s="79">
        <f>G104</f>
        <v>0</v>
      </c>
      <c r="Q38" s="47"/>
      <c r="R38" s="47"/>
      <c r="S38" s="47"/>
      <c r="T38" s="47"/>
      <c r="U38" s="47"/>
      <c r="V38" s="47"/>
      <c r="W38" s="78"/>
      <c r="X38" s="78"/>
      <c r="Y38" s="78"/>
      <c r="Z38" s="78"/>
      <c r="AA38" s="78"/>
      <c r="AB38" s="78"/>
      <c r="AC38" s="78"/>
      <c r="AD38" s="78"/>
      <c r="AE38" s="78"/>
      <c r="AF38" s="78"/>
      <c r="AG38" s="78"/>
      <c r="AH38" s="78"/>
      <c r="AI38" s="78"/>
      <c r="AJ38" s="78"/>
      <c r="AK38" s="78"/>
      <c r="AL38" s="78"/>
      <c r="AM38" s="78"/>
      <c r="AN38" s="78"/>
    </row>
    <row r="39" spans="1:40" x14ac:dyDescent="0.2">
      <c r="A39" s="247"/>
      <c r="B39" s="248"/>
      <c r="C39" s="351" t="s">
        <v>3</v>
      </c>
      <c r="D39" s="351"/>
      <c r="E39" s="351"/>
      <c r="F39" s="352" t="s">
        <v>4</v>
      </c>
      <c r="G39" s="351"/>
      <c r="H39" s="353"/>
      <c r="I39" s="249"/>
      <c r="J39" s="250"/>
      <c r="K39" s="354" t="s">
        <v>3</v>
      </c>
      <c r="L39" s="354"/>
      <c r="M39" s="354"/>
      <c r="N39" s="355" t="s">
        <v>4</v>
      </c>
      <c r="O39" s="354"/>
      <c r="P39" s="356"/>
      <c r="Q39" s="47"/>
      <c r="R39" s="47"/>
      <c r="S39" s="47"/>
      <c r="T39" s="47"/>
      <c r="U39" s="47"/>
      <c r="V39" s="47"/>
      <c r="W39" s="78"/>
      <c r="X39" s="78"/>
      <c r="Y39" s="78"/>
      <c r="Z39" s="78"/>
      <c r="AA39" s="78"/>
      <c r="AB39" s="78"/>
      <c r="AC39" s="78"/>
      <c r="AD39" s="78"/>
      <c r="AE39" s="78"/>
      <c r="AF39" s="78"/>
      <c r="AG39" s="78"/>
      <c r="AH39" s="78"/>
      <c r="AI39" s="78"/>
      <c r="AJ39" s="78"/>
      <c r="AK39" s="78"/>
      <c r="AL39" s="78"/>
      <c r="AM39" s="78"/>
      <c r="AN39" s="78"/>
    </row>
    <row r="40" spans="1:40" x14ac:dyDescent="0.2">
      <c r="A40" s="251"/>
      <c r="B40" s="252"/>
      <c r="C40" s="253"/>
      <c r="D40" s="253"/>
      <c r="E40" s="253"/>
      <c r="F40" s="251"/>
      <c r="G40" s="253"/>
      <c r="H40" s="161"/>
      <c r="I40" s="254"/>
      <c r="J40" s="255"/>
      <c r="K40" s="256"/>
      <c r="L40" s="256"/>
      <c r="M40" s="256"/>
      <c r="N40" s="254"/>
      <c r="O40" s="256"/>
      <c r="P40" s="188"/>
      <c r="Q40" s="47"/>
      <c r="R40" s="47"/>
      <c r="S40" s="47"/>
      <c r="T40" s="47"/>
      <c r="U40" s="47"/>
      <c r="V40" s="47"/>
      <c r="W40" s="78"/>
      <c r="X40" s="78"/>
      <c r="Y40" s="78"/>
      <c r="Z40" s="78"/>
      <c r="AA40" s="78"/>
      <c r="AB40" s="78"/>
      <c r="AC40" s="78"/>
      <c r="AD40" s="78"/>
      <c r="AE40" s="78"/>
      <c r="AF40" s="78"/>
      <c r="AG40" s="78"/>
      <c r="AH40" s="78"/>
      <c r="AI40" s="78"/>
      <c r="AJ40" s="78"/>
      <c r="AK40" s="78"/>
      <c r="AL40" s="78"/>
      <c r="AM40" s="78"/>
      <c r="AN40" s="78"/>
    </row>
    <row r="41" spans="1:40" ht="13.5" thickBot="1" x14ac:dyDescent="0.25">
      <c r="A41" s="257" t="s">
        <v>57</v>
      </c>
      <c r="B41" s="258" t="s">
        <v>0</v>
      </c>
      <c r="C41" s="259" t="s">
        <v>1</v>
      </c>
      <c r="D41" s="260" t="s">
        <v>2</v>
      </c>
      <c r="E41" s="261" t="s">
        <v>123</v>
      </c>
      <c r="F41" s="262" t="s">
        <v>1</v>
      </c>
      <c r="G41" s="261" t="s">
        <v>2</v>
      </c>
      <c r="H41" s="258" t="s">
        <v>123</v>
      </c>
      <c r="I41" s="263" t="s">
        <v>57</v>
      </c>
      <c r="J41" s="264" t="s">
        <v>0</v>
      </c>
      <c r="K41" s="265" t="s">
        <v>1</v>
      </c>
      <c r="L41" s="266" t="s">
        <v>2</v>
      </c>
      <c r="M41" s="267" t="s">
        <v>123</v>
      </c>
      <c r="N41" s="268" t="s">
        <v>1</v>
      </c>
      <c r="O41" s="267" t="s">
        <v>2</v>
      </c>
      <c r="P41" s="264" t="s">
        <v>123</v>
      </c>
      <c r="Q41" s="47"/>
      <c r="R41" s="47"/>
      <c r="S41" s="47"/>
      <c r="T41" s="47"/>
      <c r="U41" s="47"/>
      <c r="V41" s="47"/>
      <c r="W41" s="78"/>
      <c r="X41" s="78"/>
      <c r="Y41" s="78"/>
      <c r="Z41" s="78"/>
      <c r="AA41" s="78"/>
      <c r="AB41" s="78"/>
      <c r="AC41" s="78"/>
      <c r="AD41" s="78"/>
      <c r="AE41" s="78"/>
      <c r="AF41" s="78"/>
      <c r="AG41" s="78"/>
      <c r="AH41" s="78"/>
      <c r="AI41" s="78"/>
      <c r="AJ41" s="78"/>
      <c r="AK41" s="78"/>
      <c r="AL41" s="78"/>
      <c r="AM41" s="78"/>
      <c r="AN41" s="78"/>
    </row>
    <row r="42" spans="1:40" x14ac:dyDescent="0.2">
      <c r="A42" s="269" t="s">
        <v>58</v>
      </c>
      <c r="B42" s="270" t="s">
        <v>50</v>
      </c>
      <c r="C42" s="162">
        <f t="shared" ref="C42:D47" si="6">A153</f>
        <v>0</v>
      </c>
      <c r="D42" s="163">
        <f t="shared" si="6"/>
        <v>100</v>
      </c>
      <c r="E42" s="185">
        <f>B150</f>
        <v>60</v>
      </c>
      <c r="F42" s="164">
        <f t="shared" ref="F42:G47" si="7">O153</f>
        <v>0</v>
      </c>
      <c r="G42" s="165">
        <f t="shared" si="7"/>
        <v>131</v>
      </c>
      <c r="H42" s="217">
        <f>P150</f>
        <v>60</v>
      </c>
      <c r="I42" s="271" t="s">
        <v>74</v>
      </c>
      <c r="J42" s="272" t="s">
        <v>89</v>
      </c>
      <c r="K42" s="189">
        <f>A442</f>
        <v>0</v>
      </c>
      <c r="L42" s="190">
        <f>B442</f>
        <v>150</v>
      </c>
      <c r="M42" s="273">
        <f>B439</f>
        <v>60</v>
      </c>
      <c r="N42" s="191">
        <f>O442</f>
        <v>0</v>
      </c>
      <c r="O42" s="192">
        <f>P442</f>
        <v>150</v>
      </c>
      <c r="P42" s="219">
        <f>P439</f>
        <v>60</v>
      </c>
      <c r="Q42" s="47"/>
      <c r="R42" s="47"/>
      <c r="S42" s="47"/>
      <c r="T42" s="47"/>
      <c r="U42" s="47"/>
      <c r="V42" s="47"/>
      <c r="W42" s="78"/>
      <c r="X42" s="78"/>
      <c r="Y42" s="78"/>
      <c r="Z42" s="78"/>
      <c r="AA42" s="78"/>
      <c r="AB42" s="78"/>
      <c r="AC42" s="78"/>
      <c r="AD42" s="78"/>
      <c r="AE42" s="78"/>
      <c r="AF42" s="78"/>
      <c r="AG42" s="78"/>
      <c r="AH42" s="78"/>
      <c r="AI42" s="78"/>
      <c r="AJ42" s="78"/>
      <c r="AK42" s="78"/>
      <c r="AL42" s="78"/>
      <c r="AM42" s="78"/>
      <c r="AN42" s="78"/>
    </row>
    <row r="43" spans="1:40" x14ac:dyDescent="0.2">
      <c r="A43" s="269"/>
      <c r="B43" s="274"/>
      <c r="C43" s="167">
        <f t="shared" si="6"/>
        <v>10</v>
      </c>
      <c r="D43" s="168">
        <f t="shared" si="6"/>
        <v>100</v>
      </c>
      <c r="E43" s="275"/>
      <c r="F43" s="169">
        <f t="shared" si="7"/>
        <v>4.51</v>
      </c>
      <c r="G43" s="170">
        <f t="shared" si="7"/>
        <v>120</v>
      </c>
      <c r="H43" s="166"/>
      <c r="I43" s="271"/>
      <c r="J43" s="276"/>
      <c r="K43" s="189">
        <f t="shared" ref="K43:K49" si="8">A443</f>
        <v>25</v>
      </c>
      <c r="L43" s="190">
        <f t="shared" ref="L43:L49" si="9">B443</f>
        <v>150</v>
      </c>
      <c r="M43" s="277"/>
      <c r="N43" s="191">
        <f t="shared" ref="N43:O49" si="10">O443</f>
        <v>5</v>
      </c>
      <c r="O43" s="192">
        <f t="shared" si="10"/>
        <v>150</v>
      </c>
      <c r="P43" s="278"/>
      <c r="Q43" s="47"/>
      <c r="R43" s="47"/>
      <c r="S43" s="47"/>
      <c r="T43" s="47"/>
      <c r="U43" s="47"/>
      <c r="V43" s="47"/>
      <c r="W43" s="78"/>
      <c r="X43" s="78"/>
      <c r="Y43" s="78"/>
      <c r="Z43" s="78"/>
      <c r="AA43" s="78"/>
      <c r="AB43" s="78"/>
      <c r="AC43" s="78"/>
      <c r="AD43" s="78"/>
      <c r="AE43" s="78"/>
      <c r="AF43" s="78"/>
      <c r="AG43" s="78"/>
      <c r="AH43" s="78"/>
      <c r="AI43" s="78"/>
      <c r="AJ43" s="78"/>
      <c r="AK43" s="78"/>
      <c r="AL43" s="78"/>
      <c r="AM43" s="78"/>
      <c r="AN43" s="78"/>
    </row>
    <row r="44" spans="1:40" x14ac:dyDescent="0.2">
      <c r="A44" s="269"/>
      <c r="B44" s="274"/>
      <c r="C44" s="167">
        <f t="shared" si="6"/>
        <v>17.36</v>
      </c>
      <c r="D44" s="168">
        <f t="shared" si="6"/>
        <v>100</v>
      </c>
      <c r="E44" s="275"/>
      <c r="F44" s="169">
        <f t="shared" si="7"/>
        <v>14.93</v>
      </c>
      <c r="G44" s="170">
        <f t="shared" si="7"/>
        <v>100</v>
      </c>
      <c r="H44" s="166"/>
      <c r="I44" s="271"/>
      <c r="J44" s="276"/>
      <c r="K44" s="189">
        <f t="shared" si="8"/>
        <v>50</v>
      </c>
      <c r="L44" s="190">
        <f t="shared" si="9"/>
        <v>150</v>
      </c>
      <c r="M44" s="277"/>
      <c r="N44" s="191">
        <f t="shared" si="10"/>
        <v>9.3800000000000008</v>
      </c>
      <c r="O44" s="192">
        <f t="shared" si="10"/>
        <v>150</v>
      </c>
      <c r="P44" s="278"/>
      <c r="Q44" s="47"/>
      <c r="R44" s="47"/>
      <c r="S44" s="47"/>
      <c r="T44" s="47"/>
      <c r="U44" s="47"/>
      <c r="V44" s="47"/>
      <c r="W44" s="78"/>
      <c r="X44" s="78"/>
      <c r="Y44" s="78"/>
      <c r="Z44" s="78"/>
      <c r="AA44" s="78"/>
      <c r="AB44" s="78"/>
      <c r="AC44" s="78"/>
      <c r="AD44" s="78"/>
      <c r="AE44" s="78"/>
      <c r="AF44" s="78"/>
      <c r="AG44" s="78"/>
      <c r="AH44" s="78"/>
      <c r="AI44" s="78"/>
      <c r="AJ44" s="78"/>
      <c r="AK44" s="78"/>
      <c r="AL44" s="78"/>
      <c r="AM44" s="78"/>
      <c r="AN44" s="78"/>
    </row>
    <row r="45" spans="1:40" x14ac:dyDescent="0.2">
      <c r="A45" s="269"/>
      <c r="B45" s="274"/>
      <c r="C45" s="167">
        <f t="shared" si="6"/>
        <v>19.79</v>
      </c>
      <c r="D45" s="168">
        <f t="shared" si="6"/>
        <v>0</v>
      </c>
      <c r="E45" s="275"/>
      <c r="F45" s="169">
        <f t="shared" si="7"/>
        <v>57</v>
      </c>
      <c r="G45" s="170">
        <f t="shared" si="7"/>
        <v>100</v>
      </c>
      <c r="H45" s="166"/>
      <c r="I45" s="271"/>
      <c r="J45" s="276"/>
      <c r="K45" s="189">
        <f t="shared" si="8"/>
        <v>75</v>
      </c>
      <c r="L45" s="190">
        <f t="shared" si="9"/>
        <v>150</v>
      </c>
      <c r="M45" s="277"/>
      <c r="N45" s="191">
        <f t="shared" si="10"/>
        <v>11.81</v>
      </c>
      <c r="O45" s="192">
        <f t="shared" si="10"/>
        <v>0</v>
      </c>
      <c r="P45" s="278"/>
      <c r="Q45" s="47"/>
      <c r="R45" s="47"/>
      <c r="S45" s="47"/>
      <c r="T45" s="47"/>
      <c r="U45" s="47"/>
      <c r="V45" s="47"/>
      <c r="W45" s="78"/>
      <c r="X45" s="78"/>
      <c r="Y45" s="78"/>
      <c r="Z45" s="78"/>
      <c r="AA45" s="78"/>
      <c r="AB45" s="78"/>
      <c r="AC45" s="78"/>
      <c r="AD45" s="78"/>
      <c r="AE45" s="78"/>
      <c r="AF45" s="78"/>
      <c r="AG45" s="78"/>
      <c r="AH45" s="78"/>
      <c r="AI45" s="78"/>
      <c r="AJ45" s="78"/>
      <c r="AK45" s="78"/>
      <c r="AL45" s="78"/>
      <c r="AM45" s="78"/>
      <c r="AN45" s="78"/>
    </row>
    <row r="46" spans="1:40" x14ac:dyDescent="0.2">
      <c r="A46" s="269"/>
      <c r="B46" s="274"/>
      <c r="C46" s="167">
        <f t="shared" si="6"/>
        <v>64.239999999999995</v>
      </c>
      <c r="D46" s="168">
        <f t="shared" si="6"/>
        <v>0</v>
      </c>
      <c r="E46" s="275"/>
      <c r="F46" s="169">
        <f t="shared" si="7"/>
        <v>79</v>
      </c>
      <c r="G46" s="170">
        <f t="shared" si="7"/>
        <v>100</v>
      </c>
      <c r="H46" s="166"/>
      <c r="I46" s="271"/>
      <c r="J46" s="276"/>
      <c r="K46" s="189">
        <f t="shared" si="8"/>
        <v>88</v>
      </c>
      <c r="L46" s="190">
        <f t="shared" si="9"/>
        <v>150</v>
      </c>
      <c r="M46" s="277"/>
      <c r="N46" s="191">
        <f t="shared" si="10"/>
        <v>61.81</v>
      </c>
      <c r="O46" s="192">
        <f t="shared" si="10"/>
        <v>0</v>
      </c>
      <c r="P46" s="278"/>
      <c r="Q46" s="47"/>
      <c r="R46" s="47"/>
      <c r="S46" s="47"/>
      <c r="T46" s="47"/>
      <c r="U46" s="47"/>
      <c r="V46" s="47"/>
      <c r="W46" s="78"/>
      <c r="X46" s="78"/>
      <c r="Y46" s="78"/>
      <c r="Z46" s="78"/>
      <c r="AA46" s="78"/>
      <c r="AB46" s="78"/>
      <c r="AC46" s="78"/>
      <c r="AD46" s="78"/>
      <c r="AE46" s="78"/>
      <c r="AF46" s="78"/>
      <c r="AG46" s="78"/>
      <c r="AH46" s="78"/>
      <c r="AI46" s="78"/>
      <c r="AJ46" s="78"/>
      <c r="AK46" s="78"/>
      <c r="AL46" s="78"/>
      <c r="AM46" s="78"/>
      <c r="AN46" s="78"/>
    </row>
    <row r="47" spans="1:40" x14ac:dyDescent="0.2">
      <c r="A47" s="269"/>
      <c r="B47" s="274"/>
      <c r="C47" s="167">
        <f t="shared" si="6"/>
        <v>75.349999999999994</v>
      </c>
      <c r="D47" s="168">
        <f t="shared" si="6"/>
        <v>150</v>
      </c>
      <c r="E47" s="275"/>
      <c r="F47" s="169">
        <f t="shared" si="7"/>
        <v>85</v>
      </c>
      <c r="G47" s="170">
        <f t="shared" si="7"/>
        <v>100</v>
      </c>
      <c r="H47" s="166"/>
      <c r="I47" s="271"/>
      <c r="J47" s="276"/>
      <c r="K47" s="189">
        <f t="shared" si="8"/>
        <v>94</v>
      </c>
      <c r="L47" s="190">
        <f t="shared" si="9"/>
        <v>150</v>
      </c>
      <c r="M47" s="277"/>
      <c r="N47" s="191">
        <f t="shared" si="10"/>
        <v>93.06</v>
      </c>
      <c r="O47" s="192">
        <f t="shared" si="10"/>
        <v>150</v>
      </c>
      <c r="P47" s="278"/>
      <c r="Q47" s="47"/>
      <c r="R47" s="47"/>
      <c r="S47" s="47"/>
      <c r="T47" s="47"/>
      <c r="U47" s="47"/>
      <c r="V47" s="47"/>
      <c r="W47" s="78"/>
      <c r="X47" s="78"/>
      <c r="Y47" s="78"/>
      <c r="Z47" s="78"/>
      <c r="AA47" s="78"/>
      <c r="AB47" s="78"/>
      <c r="AC47" s="78"/>
      <c r="AD47" s="78"/>
      <c r="AE47" s="78"/>
      <c r="AF47" s="78"/>
      <c r="AG47" s="78"/>
      <c r="AH47" s="78"/>
      <c r="AI47" s="78"/>
      <c r="AJ47" s="78"/>
      <c r="AK47" s="78"/>
      <c r="AL47" s="78"/>
      <c r="AM47" s="78"/>
      <c r="AN47" s="78"/>
    </row>
    <row r="48" spans="1:40" x14ac:dyDescent="0.2">
      <c r="A48" s="269"/>
      <c r="B48" s="274"/>
      <c r="C48" s="167">
        <f>A159</f>
        <v>92.01</v>
      </c>
      <c r="D48" s="168">
        <f>B159</f>
        <v>131</v>
      </c>
      <c r="E48" s="275"/>
      <c r="F48" s="169">
        <f>O159</f>
        <v>95</v>
      </c>
      <c r="G48" s="170">
        <f>P159</f>
        <v>100</v>
      </c>
      <c r="H48" s="166"/>
      <c r="I48" s="271"/>
      <c r="J48" s="276"/>
      <c r="K48" s="189">
        <f t="shared" si="8"/>
        <v>95</v>
      </c>
      <c r="L48" s="190">
        <f t="shared" si="9"/>
        <v>150</v>
      </c>
      <c r="M48" s="277"/>
      <c r="N48" s="191">
        <f t="shared" si="10"/>
        <v>95</v>
      </c>
      <c r="O48" s="192">
        <f t="shared" si="10"/>
        <v>150</v>
      </c>
      <c r="P48" s="278"/>
      <c r="Q48" s="47"/>
      <c r="R48" s="47"/>
      <c r="S48" s="47"/>
      <c r="T48" s="47"/>
      <c r="U48" s="47"/>
      <c r="V48" s="47"/>
      <c r="W48" s="78"/>
      <c r="X48" s="78"/>
      <c r="Y48" s="78"/>
      <c r="Z48" s="78"/>
      <c r="AA48" s="78"/>
      <c r="AB48" s="78"/>
      <c r="AC48" s="78"/>
      <c r="AD48" s="78"/>
      <c r="AE48" s="78"/>
      <c r="AF48" s="78"/>
      <c r="AG48" s="78"/>
      <c r="AH48" s="78"/>
      <c r="AI48" s="78"/>
      <c r="AJ48" s="78"/>
      <c r="AK48" s="78"/>
      <c r="AL48" s="78"/>
      <c r="AM48" s="78"/>
      <c r="AN48" s="78"/>
    </row>
    <row r="49" spans="1:40" ht="13.5" thickBot="1" x14ac:dyDescent="0.25">
      <c r="A49" s="279"/>
      <c r="B49" s="280"/>
      <c r="C49" s="171">
        <f>A160</f>
        <v>100</v>
      </c>
      <c r="D49" s="172">
        <f>B160</f>
        <v>131</v>
      </c>
      <c r="E49" s="281"/>
      <c r="F49" s="173">
        <f>O160</f>
        <v>100</v>
      </c>
      <c r="G49" s="174">
        <f>P160</f>
        <v>100</v>
      </c>
      <c r="H49" s="175"/>
      <c r="I49" s="282"/>
      <c r="J49" s="283"/>
      <c r="K49" s="193">
        <f t="shared" si="8"/>
        <v>100</v>
      </c>
      <c r="L49" s="194">
        <f t="shared" si="9"/>
        <v>150</v>
      </c>
      <c r="M49" s="284"/>
      <c r="N49" s="195">
        <f t="shared" si="10"/>
        <v>100</v>
      </c>
      <c r="O49" s="196">
        <f t="shared" si="10"/>
        <v>150</v>
      </c>
      <c r="P49" s="278"/>
      <c r="Q49" s="47"/>
      <c r="R49" s="47"/>
      <c r="S49" s="47"/>
      <c r="T49" s="47"/>
      <c r="U49" s="47"/>
      <c r="V49" s="47"/>
      <c r="W49" s="78"/>
      <c r="X49" s="78"/>
      <c r="Y49" s="78"/>
      <c r="Z49" s="78"/>
      <c r="AA49" s="78"/>
      <c r="AB49" s="78"/>
      <c r="AC49" s="78"/>
      <c r="AD49" s="78"/>
      <c r="AE49" s="78"/>
      <c r="AF49" s="78"/>
      <c r="AG49" s="78"/>
      <c r="AH49" s="78"/>
      <c r="AI49" s="78"/>
      <c r="AJ49" s="78"/>
      <c r="AK49" s="78"/>
      <c r="AL49" s="78"/>
      <c r="AM49" s="78"/>
      <c r="AN49" s="78"/>
    </row>
    <row r="50" spans="1:40" x14ac:dyDescent="0.2">
      <c r="A50" s="285" t="s">
        <v>59</v>
      </c>
      <c r="B50" s="286" t="s">
        <v>51</v>
      </c>
      <c r="C50" s="162">
        <f t="shared" ref="C50:D55" si="11">A177</f>
        <v>0</v>
      </c>
      <c r="D50" s="163">
        <f t="shared" si="11"/>
        <v>0</v>
      </c>
      <c r="E50" s="287">
        <f>B174</f>
        <v>30</v>
      </c>
      <c r="F50" s="176">
        <f t="shared" ref="F50:G55" si="12">O177</f>
        <v>0</v>
      </c>
      <c r="G50" s="177">
        <f t="shared" si="12"/>
        <v>0</v>
      </c>
      <c r="H50" s="218">
        <f>P174</f>
        <v>60</v>
      </c>
      <c r="I50" s="288" t="s">
        <v>75</v>
      </c>
      <c r="J50" s="289" t="s">
        <v>90</v>
      </c>
      <c r="K50" s="197">
        <f>A466</f>
        <v>0</v>
      </c>
      <c r="L50" s="198">
        <f>B466</f>
        <v>0</v>
      </c>
      <c r="M50" s="290">
        <f>B463</f>
        <v>60</v>
      </c>
      <c r="N50" s="199">
        <f>O466</f>
        <v>0</v>
      </c>
      <c r="O50" s="200">
        <f>P466</f>
        <v>0</v>
      </c>
      <c r="P50" s="220">
        <f>P463</f>
        <v>30</v>
      </c>
      <c r="Q50" s="47"/>
      <c r="R50" s="47"/>
      <c r="S50" s="47"/>
      <c r="T50" s="47"/>
      <c r="U50" s="47"/>
      <c r="V50" s="47"/>
      <c r="W50" s="78"/>
      <c r="X50" s="78"/>
      <c r="Y50" s="78"/>
      <c r="Z50" s="78"/>
      <c r="AA50" s="78"/>
      <c r="AB50" s="78"/>
      <c r="AC50" s="78"/>
      <c r="AD50" s="78"/>
      <c r="AE50" s="78"/>
      <c r="AF50" s="78"/>
      <c r="AG50" s="78"/>
      <c r="AH50" s="78"/>
      <c r="AI50" s="78"/>
      <c r="AJ50" s="78"/>
      <c r="AK50" s="78"/>
      <c r="AL50" s="78"/>
      <c r="AM50" s="78"/>
      <c r="AN50" s="78"/>
    </row>
    <row r="51" spans="1:40" x14ac:dyDescent="0.2">
      <c r="A51" s="269"/>
      <c r="B51" s="274"/>
      <c r="C51" s="167">
        <f t="shared" si="11"/>
        <v>10</v>
      </c>
      <c r="D51" s="168">
        <f t="shared" si="11"/>
        <v>0</v>
      </c>
      <c r="E51" s="275"/>
      <c r="F51" s="169">
        <f t="shared" si="12"/>
        <v>10</v>
      </c>
      <c r="G51" s="170">
        <f t="shared" si="12"/>
        <v>0</v>
      </c>
      <c r="H51" s="166"/>
      <c r="I51" s="271"/>
      <c r="J51" s="276"/>
      <c r="K51" s="189">
        <f t="shared" ref="K51:K57" si="13">A467</f>
        <v>10</v>
      </c>
      <c r="L51" s="190">
        <f t="shared" ref="L51:L57" si="14">B467</f>
        <v>0</v>
      </c>
      <c r="M51" s="291"/>
      <c r="N51" s="191">
        <f t="shared" ref="N51:O57" si="15">O467</f>
        <v>5</v>
      </c>
      <c r="O51" s="192">
        <f t="shared" si="15"/>
        <v>0</v>
      </c>
      <c r="P51" s="278"/>
      <c r="Q51" s="47"/>
      <c r="R51" s="47"/>
      <c r="S51" s="47"/>
      <c r="T51" s="47"/>
      <c r="U51" s="47"/>
      <c r="V51" s="47"/>
      <c r="W51" s="78"/>
      <c r="X51" s="78"/>
      <c r="Y51" s="78"/>
      <c r="Z51" s="78"/>
      <c r="AA51" s="78"/>
      <c r="AB51" s="78"/>
      <c r="AC51" s="78"/>
      <c r="AD51" s="78"/>
      <c r="AE51" s="78"/>
      <c r="AF51" s="78"/>
      <c r="AG51" s="78"/>
      <c r="AH51" s="78"/>
      <c r="AI51" s="78"/>
      <c r="AJ51" s="78"/>
      <c r="AK51" s="78"/>
      <c r="AL51" s="78"/>
      <c r="AM51" s="78"/>
      <c r="AN51" s="78"/>
    </row>
    <row r="52" spans="1:40" x14ac:dyDescent="0.2">
      <c r="A52" s="269"/>
      <c r="B52" s="274"/>
      <c r="C52" s="167">
        <f t="shared" si="11"/>
        <v>17.36</v>
      </c>
      <c r="D52" s="168">
        <f t="shared" si="11"/>
        <v>0</v>
      </c>
      <c r="E52" s="275"/>
      <c r="F52" s="169">
        <f t="shared" si="12"/>
        <v>50</v>
      </c>
      <c r="G52" s="170">
        <f t="shared" si="12"/>
        <v>0</v>
      </c>
      <c r="H52" s="166"/>
      <c r="I52" s="271"/>
      <c r="J52" s="276"/>
      <c r="K52" s="189">
        <f t="shared" si="13"/>
        <v>50</v>
      </c>
      <c r="L52" s="190">
        <f t="shared" si="14"/>
        <v>0</v>
      </c>
      <c r="M52" s="291"/>
      <c r="N52" s="191">
        <f t="shared" si="15"/>
        <v>9.3800000000000008</v>
      </c>
      <c r="O52" s="192">
        <f t="shared" si="15"/>
        <v>0</v>
      </c>
      <c r="P52" s="278"/>
      <c r="Q52" s="47"/>
      <c r="R52" s="47"/>
      <c r="S52" s="47"/>
      <c r="T52" s="47"/>
      <c r="U52" s="47"/>
      <c r="V52" s="47"/>
      <c r="W52" s="78"/>
      <c r="X52" s="78"/>
      <c r="Y52" s="78"/>
      <c r="Z52" s="78"/>
      <c r="AA52" s="78"/>
      <c r="AB52" s="78"/>
      <c r="AC52" s="78"/>
      <c r="AD52" s="78"/>
      <c r="AE52" s="78"/>
      <c r="AF52" s="78"/>
      <c r="AG52" s="78"/>
      <c r="AH52" s="78"/>
      <c r="AI52" s="78"/>
      <c r="AJ52" s="78"/>
      <c r="AK52" s="78"/>
      <c r="AL52" s="78"/>
      <c r="AM52" s="78"/>
      <c r="AN52" s="78"/>
    </row>
    <row r="53" spans="1:40" x14ac:dyDescent="0.2">
      <c r="A53" s="269"/>
      <c r="B53" s="274"/>
      <c r="C53" s="167">
        <f t="shared" si="11"/>
        <v>19.79</v>
      </c>
      <c r="D53" s="168">
        <f t="shared" si="11"/>
        <v>60</v>
      </c>
      <c r="E53" s="275"/>
      <c r="F53" s="169">
        <f t="shared" si="12"/>
        <v>75</v>
      </c>
      <c r="G53" s="170">
        <f t="shared" si="12"/>
        <v>0</v>
      </c>
      <c r="H53" s="166"/>
      <c r="I53" s="271"/>
      <c r="J53" s="276"/>
      <c r="K53" s="189">
        <f t="shared" si="13"/>
        <v>75</v>
      </c>
      <c r="L53" s="190">
        <f t="shared" si="14"/>
        <v>0</v>
      </c>
      <c r="M53" s="291"/>
      <c r="N53" s="191">
        <f t="shared" si="15"/>
        <v>11.81</v>
      </c>
      <c r="O53" s="192">
        <f t="shared" si="15"/>
        <v>150</v>
      </c>
      <c r="P53" s="278"/>
      <c r="Q53" s="47"/>
      <c r="R53" s="47"/>
      <c r="S53" s="47"/>
      <c r="T53" s="47"/>
      <c r="U53" s="47"/>
      <c r="V53" s="47"/>
      <c r="W53" s="78"/>
      <c r="X53" s="78"/>
      <c r="Y53" s="78"/>
      <c r="Z53" s="78"/>
      <c r="AA53" s="78"/>
      <c r="AB53" s="78"/>
      <c r="AC53" s="78"/>
      <c r="AD53" s="78"/>
      <c r="AE53" s="78"/>
      <c r="AF53" s="78"/>
      <c r="AG53" s="78"/>
      <c r="AH53" s="78"/>
      <c r="AI53" s="78"/>
      <c r="AJ53" s="78"/>
      <c r="AK53" s="78"/>
      <c r="AL53" s="78"/>
      <c r="AM53" s="78"/>
      <c r="AN53" s="78"/>
    </row>
    <row r="54" spans="1:40" x14ac:dyDescent="0.2">
      <c r="A54" s="269"/>
      <c r="B54" s="274"/>
      <c r="C54" s="167">
        <f t="shared" si="11"/>
        <v>69.790000000000006</v>
      </c>
      <c r="D54" s="168">
        <f t="shared" si="11"/>
        <v>60</v>
      </c>
      <c r="E54" s="275"/>
      <c r="F54" s="169">
        <f t="shared" si="12"/>
        <v>88</v>
      </c>
      <c r="G54" s="170">
        <f t="shared" si="12"/>
        <v>0</v>
      </c>
      <c r="H54" s="166"/>
      <c r="I54" s="271"/>
      <c r="J54" s="276"/>
      <c r="K54" s="189">
        <f t="shared" si="13"/>
        <v>88</v>
      </c>
      <c r="L54" s="190">
        <f t="shared" si="14"/>
        <v>0</v>
      </c>
      <c r="M54" s="291"/>
      <c r="N54" s="191">
        <f t="shared" si="15"/>
        <v>77.430000000000007</v>
      </c>
      <c r="O54" s="192">
        <f t="shared" si="15"/>
        <v>150</v>
      </c>
      <c r="P54" s="278"/>
      <c r="Q54" s="47"/>
      <c r="R54" s="47"/>
      <c r="S54" s="47"/>
      <c r="T54" s="47"/>
      <c r="U54" s="47"/>
      <c r="V54" s="47"/>
      <c r="W54" s="78"/>
      <c r="X54" s="78"/>
      <c r="Y54" s="78"/>
      <c r="Z54" s="78"/>
      <c r="AA54" s="78"/>
      <c r="AB54" s="78"/>
      <c r="AC54" s="78"/>
      <c r="AD54" s="78"/>
      <c r="AE54" s="78"/>
      <c r="AF54" s="78"/>
      <c r="AG54" s="78"/>
      <c r="AH54" s="78"/>
      <c r="AI54" s="78"/>
      <c r="AJ54" s="78"/>
      <c r="AK54" s="78"/>
      <c r="AL54" s="78"/>
      <c r="AM54" s="78"/>
      <c r="AN54" s="78"/>
    </row>
    <row r="55" spans="1:40" x14ac:dyDescent="0.2">
      <c r="A55" s="269"/>
      <c r="B55" s="274"/>
      <c r="C55" s="167">
        <f t="shared" si="11"/>
        <v>92.01</v>
      </c>
      <c r="D55" s="168">
        <f t="shared" si="11"/>
        <v>0</v>
      </c>
      <c r="E55" s="275"/>
      <c r="F55" s="169">
        <f t="shared" si="12"/>
        <v>94</v>
      </c>
      <c r="G55" s="170">
        <f t="shared" si="12"/>
        <v>0</v>
      </c>
      <c r="H55" s="166"/>
      <c r="I55" s="271"/>
      <c r="J55" s="276"/>
      <c r="K55" s="189">
        <f t="shared" si="13"/>
        <v>94</v>
      </c>
      <c r="L55" s="190">
        <f t="shared" si="14"/>
        <v>0</v>
      </c>
      <c r="M55" s="291"/>
      <c r="N55" s="191">
        <f t="shared" si="15"/>
        <v>93.06</v>
      </c>
      <c r="O55" s="192">
        <f t="shared" si="15"/>
        <v>0</v>
      </c>
      <c r="P55" s="278"/>
      <c r="Q55" s="47"/>
      <c r="R55" s="47"/>
      <c r="S55" s="47"/>
      <c r="T55" s="47"/>
      <c r="U55" s="47"/>
      <c r="V55" s="47"/>
      <c r="W55" s="78"/>
      <c r="X55" s="78"/>
      <c r="Y55" s="78"/>
      <c r="Z55" s="78"/>
      <c r="AA55" s="78"/>
      <c r="AB55" s="78"/>
      <c r="AC55" s="78"/>
      <c r="AD55" s="78"/>
      <c r="AE55" s="78"/>
      <c r="AF55" s="78"/>
      <c r="AG55" s="78"/>
      <c r="AH55" s="78"/>
      <c r="AI55" s="78"/>
      <c r="AJ55" s="78"/>
      <c r="AK55" s="78"/>
      <c r="AL55" s="78"/>
      <c r="AM55" s="78"/>
      <c r="AN55" s="78"/>
    </row>
    <row r="56" spans="1:40" x14ac:dyDescent="0.2">
      <c r="A56" s="269"/>
      <c r="B56" s="274"/>
      <c r="C56" s="167">
        <f>A183</f>
        <v>95</v>
      </c>
      <c r="D56" s="168">
        <f>B183</f>
        <v>0</v>
      </c>
      <c r="E56" s="275"/>
      <c r="F56" s="169">
        <f>O183</f>
        <v>95</v>
      </c>
      <c r="G56" s="170">
        <f>P183</f>
        <v>0</v>
      </c>
      <c r="H56" s="166"/>
      <c r="I56" s="271"/>
      <c r="J56" s="276"/>
      <c r="K56" s="189">
        <f t="shared" si="13"/>
        <v>95</v>
      </c>
      <c r="L56" s="190">
        <f t="shared" si="14"/>
        <v>0</v>
      </c>
      <c r="M56" s="291"/>
      <c r="N56" s="191">
        <f t="shared" si="15"/>
        <v>95</v>
      </c>
      <c r="O56" s="192">
        <f t="shared" si="15"/>
        <v>0</v>
      </c>
      <c r="P56" s="278"/>
      <c r="Q56" s="47"/>
      <c r="R56" s="47"/>
      <c r="S56" s="47"/>
      <c r="T56" s="47"/>
      <c r="U56" s="47"/>
      <c r="V56" s="47"/>
      <c r="W56" s="78"/>
      <c r="X56" s="78"/>
      <c r="Y56" s="78"/>
      <c r="Z56" s="78"/>
      <c r="AA56" s="78"/>
      <c r="AB56" s="78"/>
      <c r="AC56" s="78"/>
      <c r="AD56" s="78"/>
      <c r="AE56" s="78"/>
      <c r="AF56" s="78"/>
      <c r="AG56" s="78"/>
      <c r="AH56" s="78"/>
      <c r="AI56" s="78"/>
      <c r="AJ56" s="78"/>
      <c r="AK56" s="78"/>
      <c r="AL56" s="78"/>
      <c r="AM56" s="78"/>
      <c r="AN56" s="78"/>
    </row>
    <row r="57" spans="1:40" ht="13.5" thickBot="1" x14ac:dyDescent="0.25">
      <c r="A57" s="279"/>
      <c r="B57" s="280"/>
      <c r="C57" s="171">
        <f>A184</f>
        <v>100</v>
      </c>
      <c r="D57" s="172">
        <f>B184</f>
        <v>0</v>
      </c>
      <c r="E57" s="281"/>
      <c r="F57" s="173">
        <f>O184</f>
        <v>100</v>
      </c>
      <c r="G57" s="174">
        <f>P184</f>
        <v>0</v>
      </c>
      <c r="H57" s="175"/>
      <c r="I57" s="282"/>
      <c r="J57" s="283"/>
      <c r="K57" s="193">
        <f t="shared" si="13"/>
        <v>100</v>
      </c>
      <c r="L57" s="194">
        <f t="shared" si="14"/>
        <v>0</v>
      </c>
      <c r="M57" s="292"/>
      <c r="N57" s="201">
        <f t="shared" si="15"/>
        <v>100</v>
      </c>
      <c r="O57" s="202">
        <f t="shared" si="15"/>
        <v>0</v>
      </c>
      <c r="P57" s="293"/>
      <c r="Q57" s="47"/>
      <c r="R57" s="47"/>
      <c r="S57" s="47"/>
      <c r="T57" s="47"/>
      <c r="U57" s="47"/>
      <c r="V57" s="47"/>
      <c r="W57" s="78"/>
      <c r="X57" s="78"/>
      <c r="Y57" s="78"/>
      <c r="Z57" s="78"/>
      <c r="AA57" s="78"/>
      <c r="AB57" s="78"/>
      <c r="AC57" s="78"/>
      <c r="AD57" s="78"/>
      <c r="AE57" s="78"/>
      <c r="AF57" s="78"/>
      <c r="AG57" s="78"/>
      <c r="AH57" s="78"/>
      <c r="AI57" s="78"/>
      <c r="AJ57" s="78"/>
      <c r="AK57" s="78"/>
      <c r="AL57" s="78"/>
      <c r="AM57" s="78"/>
      <c r="AN57" s="78"/>
    </row>
    <row r="58" spans="1:40" x14ac:dyDescent="0.2">
      <c r="A58" s="285" t="s">
        <v>60</v>
      </c>
      <c r="B58" s="270" t="s">
        <v>52</v>
      </c>
      <c r="C58" s="162">
        <f t="shared" ref="C58:D63" si="16">A201</f>
        <v>0</v>
      </c>
      <c r="D58" s="163">
        <f t="shared" si="16"/>
        <v>25</v>
      </c>
      <c r="E58" s="185">
        <f>B198</f>
        <v>60</v>
      </c>
      <c r="F58" s="164">
        <f t="shared" ref="F58:G63" si="17">O201</f>
        <v>0</v>
      </c>
      <c r="G58" s="165">
        <f t="shared" si="17"/>
        <v>25</v>
      </c>
      <c r="H58" s="217">
        <f>P198</f>
        <v>30</v>
      </c>
      <c r="I58" s="288" t="s">
        <v>76</v>
      </c>
      <c r="J58" s="289" t="s">
        <v>91</v>
      </c>
      <c r="K58" s="197">
        <f>A490</f>
        <v>0</v>
      </c>
      <c r="L58" s="198">
        <f>B490</f>
        <v>110</v>
      </c>
      <c r="M58" s="290">
        <f>B487</f>
        <v>30</v>
      </c>
      <c r="N58" s="191">
        <f>O490</f>
        <v>0</v>
      </c>
      <c r="O58" s="192">
        <f>P490</f>
        <v>110</v>
      </c>
      <c r="P58" s="219">
        <f>P487</f>
        <v>60</v>
      </c>
      <c r="Q58" s="47"/>
      <c r="R58" s="47"/>
      <c r="S58" s="47"/>
      <c r="T58" s="47"/>
      <c r="U58" s="47"/>
      <c r="V58" s="47"/>
      <c r="W58" s="78"/>
      <c r="X58" s="78"/>
      <c r="Y58" s="78"/>
      <c r="Z58" s="78"/>
      <c r="AA58" s="78"/>
      <c r="AB58" s="78"/>
      <c r="AC58" s="78"/>
      <c r="AD58" s="78"/>
      <c r="AE58" s="78"/>
      <c r="AF58" s="78"/>
      <c r="AG58" s="78"/>
      <c r="AH58" s="78"/>
      <c r="AI58" s="78"/>
      <c r="AJ58" s="78"/>
      <c r="AK58" s="78"/>
      <c r="AL58" s="78"/>
      <c r="AM58" s="78"/>
      <c r="AN58" s="78"/>
    </row>
    <row r="59" spans="1:40" x14ac:dyDescent="0.2">
      <c r="A59" s="269"/>
      <c r="B59" s="274"/>
      <c r="C59" s="167">
        <f t="shared" si="16"/>
        <v>10</v>
      </c>
      <c r="D59" s="168">
        <f t="shared" si="16"/>
        <v>25</v>
      </c>
      <c r="E59" s="275"/>
      <c r="F59" s="169">
        <f t="shared" si="17"/>
        <v>10</v>
      </c>
      <c r="G59" s="170">
        <f t="shared" si="17"/>
        <v>25</v>
      </c>
      <c r="H59" s="166"/>
      <c r="I59" s="271"/>
      <c r="J59" s="276"/>
      <c r="K59" s="189">
        <f t="shared" ref="K59:K65" si="18">A491</f>
        <v>10</v>
      </c>
      <c r="L59" s="190">
        <f t="shared" ref="L59:L65" si="19">B491</f>
        <v>110</v>
      </c>
      <c r="M59" s="291"/>
      <c r="N59" s="191">
        <f t="shared" ref="N59:O65" si="20">O491</f>
        <v>4</v>
      </c>
      <c r="O59" s="192">
        <f t="shared" si="20"/>
        <v>110</v>
      </c>
      <c r="P59" s="278"/>
      <c r="Q59" s="47"/>
      <c r="R59" s="47"/>
      <c r="S59" s="47"/>
      <c r="T59" s="47"/>
      <c r="U59" s="47"/>
      <c r="V59" s="47"/>
      <c r="W59" s="78"/>
      <c r="X59" s="78"/>
      <c r="Y59" s="78"/>
      <c r="Z59" s="78"/>
      <c r="AA59" s="78"/>
      <c r="AB59" s="78"/>
      <c r="AC59" s="78"/>
      <c r="AD59" s="78"/>
      <c r="AE59" s="78"/>
      <c r="AF59" s="78"/>
      <c r="AG59" s="78"/>
      <c r="AH59" s="78"/>
      <c r="AI59" s="78"/>
      <c r="AJ59" s="78"/>
      <c r="AK59" s="78"/>
      <c r="AL59" s="78"/>
      <c r="AM59" s="78"/>
      <c r="AN59" s="78"/>
    </row>
    <row r="60" spans="1:40" x14ac:dyDescent="0.2">
      <c r="A60" s="269"/>
      <c r="B60" s="274"/>
      <c r="C60" s="167">
        <f t="shared" si="16"/>
        <v>17.36</v>
      </c>
      <c r="D60" s="168">
        <f t="shared" si="16"/>
        <v>25</v>
      </c>
      <c r="E60" s="275"/>
      <c r="F60" s="169">
        <f t="shared" si="17"/>
        <v>20</v>
      </c>
      <c r="G60" s="170">
        <f t="shared" si="17"/>
        <v>25</v>
      </c>
      <c r="H60" s="166"/>
      <c r="I60" s="271"/>
      <c r="J60" s="276"/>
      <c r="K60" s="189">
        <f t="shared" si="18"/>
        <v>50</v>
      </c>
      <c r="L60" s="190">
        <f t="shared" si="19"/>
        <v>110</v>
      </c>
      <c r="M60" s="291"/>
      <c r="N60" s="191">
        <f t="shared" si="20"/>
        <v>8</v>
      </c>
      <c r="O60" s="192">
        <f t="shared" si="20"/>
        <v>110</v>
      </c>
      <c r="P60" s="278"/>
      <c r="Q60" s="47"/>
      <c r="R60" s="47"/>
      <c r="S60" s="47"/>
      <c r="T60" s="47"/>
      <c r="U60" s="47"/>
      <c r="V60" s="47"/>
      <c r="W60" s="78"/>
      <c r="X60" s="78"/>
      <c r="Y60" s="78"/>
      <c r="Z60" s="78"/>
      <c r="AA60" s="78"/>
      <c r="AB60" s="78"/>
      <c r="AC60" s="78"/>
      <c r="AD60" s="78"/>
      <c r="AE60" s="78"/>
      <c r="AF60" s="78"/>
      <c r="AG60" s="78"/>
      <c r="AH60" s="78"/>
      <c r="AI60" s="78"/>
      <c r="AJ60" s="78"/>
      <c r="AK60" s="78"/>
      <c r="AL60" s="78"/>
      <c r="AM60" s="78"/>
      <c r="AN60" s="78"/>
    </row>
    <row r="61" spans="1:40" x14ac:dyDescent="0.2">
      <c r="A61" s="269"/>
      <c r="B61" s="274"/>
      <c r="C61" s="167">
        <f t="shared" si="16"/>
        <v>19.79</v>
      </c>
      <c r="D61" s="168">
        <f t="shared" si="16"/>
        <v>0</v>
      </c>
      <c r="E61" s="275"/>
      <c r="F61" s="169">
        <f t="shared" si="17"/>
        <v>50</v>
      </c>
      <c r="G61" s="170">
        <f t="shared" si="17"/>
        <v>25</v>
      </c>
      <c r="H61" s="166"/>
      <c r="I61" s="271"/>
      <c r="J61" s="276"/>
      <c r="K61" s="189">
        <f t="shared" si="18"/>
        <v>75</v>
      </c>
      <c r="L61" s="190">
        <f t="shared" si="19"/>
        <v>110</v>
      </c>
      <c r="M61" s="291"/>
      <c r="N61" s="191">
        <f t="shared" si="20"/>
        <v>9.3800000000000008</v>
      </c>
      <c r="O61" s="192">
        <f t="shared" si="20"/>
        <v>110</v>
      </c>
      <c r="P61" s="278"/>
      <c r="Q61" s="47"/>
      <c r="R61" s="47"/>
      <c r="S61" s="47"/>
      <c r="T61" s="47"/>
      <c r="U61" s="47"/>
      <c r="V61" s="47"/>
      <c r="W61" s="78"/>
      <c r="X61" s="78"/>
      <c r="Y61" s="78"/>
      <c r="Z61" s="78"/>
      <c r="AA61" s="78"/>
      <c r="AB61" s="78"/>
      <c r="AC61" s="78"/>
      <c r="AD61" s="78"/>
      <c r="AE61" s="78"/>
      <c r="AF61" s="78"/>
      <c r="AG61" s="78"/>
      <c r="AH61" s="78"/>
      <c r="AI61" s="78"/>
      <c r="AJ61" s="78"/>
      <c r="AK61" s="78"/>
      <c r="AL61" s="78"/>
      <c r="AM61" s="78"/>
      <c r="AN61" s="78"/>
    </row>
    <row r="62" spans="1:40" x14ac:dyDescent="0.2">
      <c r="A62" s="269"/>
      <c r="B62" s="274"/>
      <c r="C62" s="167">
        <f t="shared" si="16"/>
        <v>67.010000000000005</v>
      </c>
      <c r="D62" s="168">
        <f t="shared" si="16"/>
        <v>0</v>
      </c>
      <c r="E62" s="275"/>
      <c r="F62" s="169">
        <f t="shared" si="17"/>
        <v>93.06</v>
      </c>
      <c r="G62" s="170">
        <f t="shared" si="17"/>
        <v>25</v>
      </c>
      <c r="H62" s="166"/>
      <c r="I62" s="271"/>
      <c r="J62" s="276"/>
      <c r="K62" s="189">
        <f t="shared" si="18"/>
        <v>88</v>
      </c>
      <c r="L62" s="190">
        <f t="shared" si="19"/>
        <v>110</v>
      </c>
      <c r="M62" s="291"/>
      <c r="N62" s="191">
        <f t="shared" si="20"/>
        <v>11.81</v>
      </c>
      <c r="O62" s="192">
        <f t="shared" si="20"/>
        <v>0</v>
      </c>
      <c r="P62" s="278"/>
      <c r="Q62" s="47"/>
      <c r="R62" s="47"/>
      <c r="S62" s="47"/>
      <c r="T62" s="47"/>
      <c r="U62" s="47"/>
      <c r="V62" s="47"/>
      <c r="W62" s="78"/>
      <c r="X62" s="78"/>
      <c r="Y62" s="78"/>
      <c r="Z62" s="78"/>
      <c r="AA62" s="78"/>
      <c r="AB62" s="78"/>
      <c r="AC62" s="78"/>
      <c r="AD62" s="78"/>
      <c r="AE62" s="78"/>
      <c r="AF62" s="78"/>
      <c r="AG62" s="78"/>
      <c r="AH62" s="78"/>
      <c r="AI62" s="78"/>
      <c r="AJ62" s="78"/>
      <c r="AK62" s="78"/>
      <c r="AL62" s="78"/>
      <c r="AM62" s="78"/>
      <c r="AN62" s="78"/>
    </row>
    <row r="63" spans="1:40" x14ac:dyDescent="0.2">
      <c r="A63" s="269"/>
      <c r="B63" s="274"/>
      <c r="C63" s="167">
        <f t="shared" si="16"/>
        <v>80.900000000000006</v>
      </c>
      <c r="D63" s="168">
        <f t="shared" si="16"/>
        <v>25</v>
      </c>
      <c r="E63" s="275"/>
      <c r="F63" s="169">
        <f t="shared" si="17"/>
        <v>97</v>
      </c>
      <c r="G63" s="170">
        <f t="shared" si="17"/>
        <v>25</v>
      </c>
      <c r="H63" s="166"/>
      <c r="I63" s="271"/>
      <c r="J63" s="276"/>
      <c r="K63" s="189">
        <f t="shared" si="18"/>
        <v>94</v>
      </c>
      <c r="L63" s="190">
        <f t="shared" si="19"/>
        <v>110</v>
      </c>
      <c r="M63" s="291"/>
      <c r="N63" s="191">
        <f t="shared" si="20"/>
        <v>86.81</v>
      </c>
      <c r="O63" s="192">
        <f t="shared" si="20"/>
        <v>0</v>
      </c>
      <c r="P63" s="278"/>
      <c r="Q63" s="47"/>
      <c r="R63" s="47"/>
      <c r="S63" s="47"/>
      <c r="T63" s="47"/>
      <c r="U63" s="47"/>
      <c r="V63" s="47"/>
      <c r="W63" s="78"/>
      <c r="X63" s="78"/>
      <c r="Y63" s="78"/>
      <c r="Z63" s="78"/>
      <c r="AA63" s="78"/>
      <c r="AB63" s="78"/>
      <c r="AC63" s="78"/>
      <c r="AD63" s="78"/>
      <c r="AE63" s="78"/>
      <c r="AF63" s="78"/>
      <c r="AG63" s="78"/>
      <c r="AH63" s="78"/>
      <c r="AI63" s="78"/>
      <c r="AJ63" s="78"/>
      <c r="AK63" s="78"/>
      <c r="AL63" s="78"/>
      <c r="AM63" s="78"/>
      <c r="AN63" s="78"/>
    </row>
    <row r="64" spans="1:40" x14ac:dyDescent="0.2">
      <c r="A64" s="269"/>
      <c r="B64" s="274"/>
      <c r="C64" s="167">
        <f>A207</f>
        <v>90</v>
      </c>
      <c r="D64" s="168">
        <f>B207</f>
        <v>25</v>
      </c>
      <c r="E64" s="275"/>
      <c r="F64" s="169">
        <f>O207</f>
        <v>99</v>
      </c>
      <c r="G64" s="170">
        <f>P207</f>
        <v>25</v>
      </c>
      <c r="H64" s="166"/>
      <c r="I64" s="271"/>
      <c r="J64" s="276"/>
      <c r="K64" s="189">
        <f t="shared" si="18"/>
        <v>95</v>
      </c>
      <c r="L64" s="190">
        <f t="shared" si="19"/>
        <v>110</v>
      </c>
      <c r="M64" s="291"/>
      <c r="N64" s="191">
        <f t="shared" si="20"/>
        <v>93.06</v>
      </c>
      <c r="O64" s="192">
        <f t="shared" si="20"/>
        <v>108</v>
      </c>
      <c r="P64" s="278"/>
      <c r="Q64" s="47"/>
      <c r="R64" s="47"/>
      <c r="S64" s="47"/>
      <c r="T64" s="47"/>
      <c r="U64" s="47"/>
      <c r="V64" s="47"/>
      <c r="W64" s="78"/>
      <c r="X64" s="78"/>
      <c r="Y64" s="78"/>
      <c r="Z64" s="78"/>
      <c r="AA64" s="78"/>
      <c r="AB64" s="78"/>
      <c r="AC64" s="78"/>
      <c r="AD64" s="78"/>
      <c r="AE64" s="78"/>
      <c r="AF64" s="78"/>
      <c r="AG64" s="78"/>
      <c r="AH64" s="78"/>
      <c r="AI64" s="78"/>
      <c r="AJ64" s="78"/>
      <c r="AK64" s="78"/>
      <c r="AL64" s="78"/>
      <c r="AM64" s="78"/>
      <c r="AN64" s="78"/>
    </row>
    <row r="65" spans="1:40" ht="13.5" thickBot="1" x14ac:dyDescent="0.25">
      <c r="A65" s="269"/>
      <c r="B65" s="274"/>
      <c r="C65" s="171">
        <f>A208</f>
        <v>100</v>
      </c>
      <c r="D65" s="172">
        <f>B208</f>
        <v>25</v>
      </c>
      <c r="E65" s="275"/>
      <c r="F65" s="178">
        <f>O208</f>
        <v>100</v>
      </c>
      <c r="G65" s="179">
        <f>P208</f>
        <v>25</v>
      </c>
      <c r="H65" s="166"/>
      <c r="I65" s="282"/>
      <c r="J65" s="283"/>
      <c r="K65" s="193">
        <f t="shared" si="18"/>
        <v>100</v>
      </c>
      <c r="L65" s="194">
        <f t="shared" si="19"/>
        <v>110</v>
      </c>
      <c r="M65" s="292"/>
      <c r="N65" s="195">
        <f t="shared" si="20"/>
        <v>100</v>
      </c>
      <c r="O65" s="196">
        <f t="shared" si="20"/>
        <v>110</v>
      </c>
      <c r="P65" s="278"/>
      <c r="Q65" s="47"/>
      <c r="R65" s="47"/>
      <c r="S65" s="47"/>
      <c r="T65" s="47"/>
      <c r="U65" s="47"/>
      <c r="V65" s="47"/>
      <c r="W65" s="78"/>
      <c r="X65" s="78"/>
      <c r="Y65" s="78"/>
      <c r="Z65" s="78"/>
      <c r="AA65" s="78"/>
      <c r="AB65" s="78"/>
      <c r="AC65" s="78"/>
      <c r="AD65" s="78"/>
      <c r="AE65" s="78"/>
      <c r="AF65" s="78"/>
      <c r="AG65" s="78"/>
      <c r="AH65" s="78"/>
      <c r="AI65" s="78"/>
      <c r="AJ65" s="78"/>
      <c r="AK65" s="78"/>
      <c r="AL65" s="78"/>
      <c r="AM65" s="78"/>
      <c r="AN65" s="78"/>
    </row>
    <row r="66" spans="1:40" x14ac:dyDescent="0.2">
      <c r="A66" s="285" t="s">
        <v>61</v>
      </c>
      <c r="B66" s="286" t="s">
        <v>53</v>
      </c>
      <c r="C66" s="162">
        <f t="shared" ref="C66:D71" si="21">A225</f>
        <v>0</v>
      </c>
      <c r="D66" s="163">
        <f t="shared" si="21"/>
        <v>150</v>
      </c>
      <c r="E66" s="294">
        <f>B222</f>
        <v>60</v>
      </c>
      <c r="F66" s="176">
        <f t="shared" ref="F66:G71" si="22">O225</f>
        <v>0</v>
      </c>
      <c r="G66" s="177">
        <f t="shared" si="22"/>
        <v>150</v>
      </c>
      <c r="H66" s="218">
        <f>P222</f>
        <v>30</v>
      </c>
      <c r="I66" s="288" t="s">
        <v>77</v>
      </c>
      <c r="J66" s="289" t="s">
        <v>92</v>
      </c>
      <c r="K66" s="197">
        <f>A514</f>
        <v>0</v>
      </c>
      <c r="L66" s="198">
        <f>B514</f>
        <v>150</v>
      </c>
      <c r="M66" s="295">
        <f>B511</f>
        <v>30</v>
      </c>
      <c r="N66" s="199">
        <f>O514</f>
        <v>0</v>
      </c>
      <c r="O66" s="200">
        <f>P514</f>
        <v>150</v>
      </c>
      <c r="P66" s="220">
        <f>P511</f>
        <v>60</v>
      </c>
      <c r="Q66" s="47"/>
      <c r="R66" s="47"/>
      <c r="S66" s="47"/>
      <c r="T66" s="47"/>
      <c r="U66" s="47"/>
      <c r="V66" s="47"/>
      <c r="W66" s="78"/>
      <c r="X66" s="78"/>
      <c r="Y66" s="78"/>
      <c r="Z66" s="78"/>
      <c r="AA66" s="78"/>
      <c r="AB66" s="78"/>
      <c r="AC66" s="78"/>
      <c r="AD66" s="78"/>
      <c r="AE66" s="78"/>
      <c r="AF66" s="78"/>
      <c r="AG66" s="78"/>
      <c r="AH66" s="78"/>
      <c r="AI66" s="78"/>
      <c r="AJ66" s="78"/>
      <c r="AK66" s="78"/>
      <c r="AL66" s="78"/>
      <c r="AM66" s="78"/>
      <c r="AN66" s="78"/>
    </row>
    <row r="67" spans="1:40" x14ac:dyDescent="0.2">
      <c r="A67" s="269"/>
      <c r="B67" s="274"/>
      <c r="C67" s="167">
        <f t="shared" si="21"/>
        <v>17.36</v>
      </c>
      <c r="D67" s="168">
        <f t="shared" si="21"/>
        <v>100</v>
      </c>
      <c r="E67" s="296"/>
      <c r="F67" s="169">
        <f t="shared" si="22"/>
        <v>10</v>
      </c>
      <c r="G67" s="170">
        <f t="shared" si="22"/>
        <v>150</v>
      </c>
      <c r="H67" s="166"/>
      <c r="I67" s="271"/>
      <c r="J67" s="276"/>
      <c r="K67" s="189">
        <f t="shared" ref="K67:K73" si="23">A515</f>
        <v>25</v>
      </c>
      <c r="L67" s="190">
        <f t="shared" ref="L67:L73" si="24">B515</f>
        <v>150</v>
      </c>
      <c r="M67" s="277"/>
      <c r="N67" s="191">
        <f t="shared" ref="N67:O73" si="25">O515</f>
        <v>5</v>
      </c>
      <c r="O67" s="192">
        <f t="shared" si="25"/>
        <v>150</v>
      </c>
      <c r="P67" s="278"/>
      <c r="Q67" s="47"/>
      <c r="R67" s="47"/>
      <c r="S67" s="47"/>
      <c r="T67" s="47"/>
      <c r="U67" s="47"/>
      <c r="V67" s="47"/>
      <c r="W67" s="78"/>
      <c r="X67" s="78"/>
      <c r="Y67" s="78"/>
      <c r="Z67" s="78"/>
      <c r="AA67" s="78"/>
      <c r="AB67" s="78"/>
      <c r="AC67" s="78"/>
      <c r="AD67" s="78"/>
      <c r="AE67" s="78"/>
      <c r="AF67" s="78"/>
      <c r="AG67" s="78"/>
      <c r="AH67" s="78"/>
      <c r="AI67" s="78"/>
      <c r="AJ67" s="78"/>
      <c r="AK67" s="78"/>
      <c r="AL67" s="78"/>
      <c r="AM67" s="78"/>
      <c r="AN67" s="78"/>
    </row>
    <row r="68" spans="1:40" x14ac:dyDescent="0.2">
      <c r="A68" s="269"/>
      <c r="B68" s="274"/>
      <c r="C68" s="167">
        <f t="shared" si="21"/>
        <v>19.79</v>
      </c>
      <c r="D68" s="168">
        <f t="shared" si="21"/>
        <v>0</v>
      </c>
      <c r="E68" s="296"/>
      <c r="F68" s="169">
        <f t="shared" si="22"/>
        <v>50</v>
      </c>
      <c r="G68" s="170">
        <f t="shared" si="22"/>
        <v>150</v>
      </c>
      <c r="H68" s="166"/>
      <c r="I68" s="271"/>
      <c r="J68" s="276"/>
      <c r="K68" s="189">
        <f t="shared" si="23"/>
        <v>50</v>
      </c>
      <c r="L68" s="190">
        <f t="shared" si="24"/>
        <v>150</v>
      </c>
      <c r="M68" s="277"/>
      <c r="N68" s="191">
        <f t="shared" si="25"/>
        <v>9.3800000000000008</v>
      </c>
      <c r="O68" s="192">
        <f t="shared" si="25"/>
        <v>150</v>
      </c>
      <c r="P68" s="278"/>
      <c r="Q68" s="47"/>
      <c r="R68" s="47"/>
      <c r="S68" s="47"/>
      <c r="T68" s="47"/>
      <c r="U68" s="47"/>
      <c r="V68" s="47"/>
      <c r="W68" s="78"/>
      <c r="X68" s="78"/>
      <c r="Y68" s="78"/>
      <c r="Z68" s="78"/>
      <c r="AA68" s="78"/>
      <c r="AB68" s="78"/>
      <c r="AC68" s="78"/>
      <c r="AD68" s="78"/>
      <c r="AE68" s="78"/>
      <c r="AF68" s="78"/>
      <c r="AG68" s="78"/>
      <c r="AH68" s="78"/>
      <c r="AI68" s="78"/>
      <c r="AJ68" s="78"/>
      <c r="AK68" s="78"/>
      <c r="AL68" s="78"/>
      <c r="AM68" s="78"/>
      <c r="AN68" s="78"/>
    </row>
    <row r="69" spans="1:40" x14ac:dyDescent="0.2">
      <c r="A69" s="269"/>
      <c r="B69" s="274"/>
      <c r="C69" s="167">
        <f t="shared" si="21"/>
        <v>89.24</v>
      </c>
      <c r="D69" s="168">
        <f t="shared" si="21"/>
        <v>0</v>
      </c>
      <c r="E69" s="296"/>
      <c r="F69" s="169">
        <f t="shared" si="22"/>
        <v>89.93</v>
      </c>
      <c r="G69" s="170">
        <f t="shared" si="22"/>
        <v>150</v>
      </c>
      <c r="H69" s="166"/>
      <c r="I69" s="271"/>
      <c r="J69" s="276"/>
      <c r="K69" s="189">
        <f t="shared" si="23"/>
        <v>75</v>
      </c>
      <c r="L69" s="190">
        <f t="shared" si="24"/>
        <v>150</v>
      </c>
      <c r="M69" s="277"/>
      <c r="N69" s="191">
        <f t="shared" si="25"/>
        <v>11.81</v>
      </c>
      <c r="O69" s="192">
        <f t="shared" si="25"/>
        <v>0</v>
      </c>
      <c r="P69" s="278"/>
      <c r="Q69" s="47"/>
      <c r="R69" s="47"/>
      <c r="S69" s="47"/>
      <c r="T69" s="47"/>
      <c r="U69" s="47"/>
      <c r="V69" s="47"/>
      <c r="W69" s="78"/>
      <c r="X69" s="78"/>
      <c r="Y69" s="78"/>
      <c r="Z69" s="78"/>
      <c r="AA69" s="78"/>
      <c r="AB69" s="78"/>
      <c r="AC69" s="78"/>
      <c r="AD69" s="78"/>
      <c r="AE69" s="78"/>
      <c r="AF69" s="78"/>
      <c r="AG69" s="78"/>
      <c r="AH69" s="78"/>
      <c r="AI69" s="78"/>
      <c r="AJ69" s="78"/>
      <c r="AK69" s="78"/>
      <c r="AL69" s="78"/>
      <c r="AM69" s="78"/>
      <c r="AN69" s="78"/>
    </row>
    <row r="70" spans="1:40" x14ac:dyDescent="0.2">
      <c r="A70" s="269"/>
      <c r="B70" s="274"/>
      <c r="C70" s="167">
        <f t="shared" si="21"/>
        <v>92.01</v>
      </c>
      <c r="D70" s="168">
        <f t="shared" si="21"/>
        <v>150</v>
      </c>
      <c r="E70" s="296"/>
      <c r="F70" s="169">
        <f t="shared" si="22"/>
        <v>95</v>
      </c>
      <c r="G70" s="170">
        <f t="shared" si="22"/>
        <v>150</v>
      </c>
      <c r="H70" s="166"/>
      <c r="I70" s="271"/>
      <c r="J70" s="276"/>
      <c r="K70" s="189">
        <f t="shared" si="23"/>
        <v>88</v>
      </c>
      <c r="L70" s="190">
        <f t="shared" si="24"/>
        <v>150</v>
      </c>
      <c r="M70" s="277"/>
      <c r="N70" s="191">
        <f t="shared" si="25"/>
        <v>86.81</v>
      </c>
      <c r="O70" s="192">
        <f t="shared" si="25"/>
        <v>0</v>
      </c>
      <c r="P70" s="278"/>
      <c r="Q70" s="47"/>
      <c r="R70" s="47"/>
      <c r="S70" s="47"/>
      <c r="T70" s="47"/>
      <c r="U70" s="47"/>
      <c r="V70" s="47"/>
      <c r="W70" s="78"/>
      <c r="X70" s="78"/>
      <c r="Y70" s="78"/>
      <c r="Z70" s="78"/>
      <c r="AA70" s="78"/>
      <c r="AB70" s="78"/>
      <c r="AC70" s="78"/>
      <c r="AD70" s="78"/>
      <c r="AE70" s="78"/>
      <c r="AF70" s="78"/>
      <c r="AG70" s="78"/>
      <c r="AH70" s="78"/>
      <c r="AI70" s="78"/>
      <c r="AJ70" s="78"/>
      <c r="AK70" s="78"/>
      <c r="AL70" s="78"/>
      <c r="AM70" s="78"/>
      <c r="AN70" s="78"/>
    </row>
    <row r="71" spans="1:40" x14ac:dyDescent="0.2">
      <c r="A71" s="269"/>
      <c r="B71" s="274"/>
      <c r="C71" s="167">
        <f t="shared" si="21"/>
        <v>94</v>
      </c>
      <c r="D71" s="168">
        <f t="shared" si="21"/>
        <v>150</v>
      </c>
      <c r="E71" s="296"/>
      <c r="F71" s="169">
        <f t="shared" si="22"/>
        <v>98</v>
      </c>
      <c r="G71" s="170">
        <f t="shared" si="22"/>
        <v>150</v>
      </c>
      <c r="H71" s="166"/>
      <c r="I71" s="271"/>
      <c r="J71" s="276"/>
      <c r="K71" s="189">
        <f t="shared" si="23"/>
        <v>94</v>
      </c>
      <c r="L71" s="190">
        <f t="shared" si="24"/>
        <v>150</v>
      </c>
      <c r="M71" s="277"/>
      <c r="N71" s="191">
        <f t="shared" si="25"/>
        <v>89.93</v>
      </c>
      <c r="O71" s="192">
        <f t="shared" si="25"/>
        <v>150</v>
      </c>
      <c r="P71" s="278"/>
      <c r="Q71" s="47"/>
      <c r="R71" s="47"/>
      <c r="S71" s="47"/>
      <c r="T71" s="47"/>
      <c r="U71" s="47"/>
      <c r="V71" s="47"/>
      <c r="W71" s="78"/>
      <c r="X71" s="78"/>
      <c r="Y71" s="78"/>
      <c r="Z71" s="78"/>
      <c r="AA71" s="78"/>
      <c r="AB71" s="78"/>
      <c r="AC71" s="78"/>
      <c r="AD71" s="78"/>
      <c r="AE71" s="78"/>
      <c r="AF71" s="78"/>
      <c r="AG71" s="78"/>
      <c r="AH71" s="78"/>
      <c r="AI71" s="78"/>
      <c r="AJ71" s="78"/>
      <c r="AK71" s="78"/>
      <c r="AL71" s="78"/>
      <c r="AM71" s="78"/>
      <c r="AN71" s="78"/>
    </row>
    <row r="72" spans="1:40" x14ac:dyDescent="0.2">
      <c r="A72" s="269"/>
      <c r="B72" s="274"/>
      <c r="C72" s="167">
        <f>A231</f>
        <v>96</v>
      </c>
      <c r="D72" s="168">
        <f>B231</f>
        <v>150</v>
      </c>
      <c r="E72" s="296"/>
      <c r="F72" s="169">
        <f>O231</f>
        <v>99</v>
      </c>
      <c r="G72" s="170">
        <f>P231</f>
        <v>150</v>
      </c>
      <c r="H72" s="166"/>
      <c r="I72" s="271"/>
      <c r="J72" s="276"/>
      <c r="K72" s="189">
        <f t="shared" si="23"/>
        <v>95</v>
      </c>
      <c r="L72" s="190">
        <f t="shared" si="24"/>
        <v>150</v>
      </c>
      <c r="M72" s="277"/>
      <c r="N72" s="191">
        <f t="shared" si="25"/>
        <v>93.06</v>
      </c>
      <c r="O72" s="192">
        <f t="shared" si="25"/>
        <v>150</v>
      </c>
      <c r="P72" s="278"/>
      <c r="Q72" s="47"/>
      <c r="R72" s="47"/>
      <c r="S72" s="47"/>
      <c r="T72" s="47"/>
      <c r="U72" s="47"/>
      <c r="V72" s="47"/>
      <c r="W72" s="78"/>
      <c r="X72" s="78"/>
      <c r="Y72" s="78"/>
      <c r="Z72" s="78"/>
      <c r="AA72" s="78"/>
      <c r="AB72" s="78"/>
      <c r="AC72" s="78"/>
      <c r="AD72" s="78"/>
      <c r="AE72" s="78"/>
      <c r="AF72" s="78"/>
      <c r="AG72" s="78"/>
      <c r="AH72" s="78"/>
      <c r="AI72" s="78"/>
      <c r="AJ72" s="78"/>
      <c r="AK72" s="78"/>
      <c r="AL72" s="78"/>
      <c r="AM72" s="78"/>
      <c r="AN72" s="78"/>
    </row>
    <row r="73" spans="1:40" ht="13.5" thickBot="1" x14ac:dyDescent="0.25">
      <c r="A73" s="279"/>
      <c r="B73" s="280"/>
      <c r="C73" s="171">
        <f>A232</f>
        <v>100</v>
      </c>
      <c r="D73" s="172">
        <f>B232</f>
        <v>150</v>
      </c>
      <c r="E73" s="297"/>
      <c r="F73" s="173">
        <f>O232</f>
        <v>100</v>
      </c>
      <c r="G73" s="174">
        <f>P232</f>
        <v>150</v>
      </c>
      <c r="H73" s="175"/>
      <c r="I73" s="282"/>
      <c r="J73" s="283"/>
      <c r="K73" s="193">
        <f t="shared" si="23"/>
        <v>100</v>
      </c>
      <c r="L73" s="194">
        <f t="shared" si="24"/>
        <v>150</v>
      </c>
      <c r="M73" s="284"/>
      <c r="N73" s="201">
        <f t="shared" si="25"/>
        <v>100</v>
      </c>
      <c r="O73" s="202">
        <f t="shared" si="25"/>
        <v>150</v>
      </c>
      <c r="P73" s="293"/>
      <c r="Q73" s="47"/>
      <c r="R73" s="47"/>
      <c r="S73" s="47"/>
      <c r="T73" s="47"/>
      <c r="U73" s="47"/>
      <c r="V73" s="47"/>
      <c r="W73" s="78"/>
      <c r="X73" s="78"/>
      <c r="Y73" s="78"/>
      <c r="Z73" s="78"/>
      <c r="AA73" s="78"/>
      <c r="AB73" s="78"/>
      <c r="AC73" s="78"/>
      <c r="AD73" s="78"/>
      <c r="AE73" s="78"/>
      <c r="AF73" s="78"/>
      <c r="AG73" s="78"/>
      <c r="AH73" s="78"/>
      <c r="AI73" s="78"/>
      <c r="AJ73" s="78"/>
      <c r="AK73" s="78"/>
      <c r="AL73" s="78"/>
      <c r="AM73" s="78"/>
      <c r="AN73" s="78"/>
    </row>
    <row r="74" spans="1:40" x14ac:dyDescent="0.2">
      <c r="A74" s="285" t="s">
        <v>62</v>
      </c>
      <c r="B74" s="270" t="s">
        <v>54</v>
      </c>
      <c r="C74" s="162">
        <f t="shared" ref="C74:D79" si="26">A249</f>
        <v>0</v>
      </c>
      <c r="D74" s="163">
        <f t="shared" si="26"/>
        <v>150</v>
      </c>
      <c r="E74" s="185">
        <f>B246</f>
        <v>60</v>
      </c>
      <c r="F74" s="164">
        <f t="shared" ref="F74:G79" si="27">O249</f>
        <v>0</v>
      </c>
      <c r="G74" s="165">
        <f t="shared" si="27"/>
        <v>150</v>
      </c>
      <c r="H74" s="217">
        <f>P246</f>
        <v>30</v>
      </c>
      <c r="I74" s="288" t="s">
        <v>78</v>
      </c>
      <c r="J74" s="289" t="s">
        <v>93</v>
      </c>
      <c r="K74" s="197">
        <f>A538</f>
        <v>0</v>
      </c>
      <c r="L74" s="198">
        <f>B538</f>
        <v>25</v>
      </c>
      <c r="M74" s="290">
        <f>B535</f>
        <v>60</v>
      </c>
      <c r="N74" s="191">
        <f>O538</f>
        <v>0</v>
      </c>
      <c r="O74" s="192">
        <f>P538</f>
        <v>25</v>
      </c>
      <c r="P74" s="219">
        <f>P535</f>
        <v>60</v>
      </c>
      <c r="Q74" s="47"/>
      <c r="R74" s="47"/>
      <c r="S74" s="47"/>
      <c r="T74" s="47"/>
      <c r="U74" s="47"/>
      <c r="V74" s="47"/>
      <c r="W74" s="78"/>
      <c r="X74" s="78"/>
      <c r="Y74" s="78"/>
      <c r="Z74" s="78"/>
      <c r="AA74" s="78"/>
      <c r="AB74" s="78"/>
      <c r="AC74" s="78"/>
      <c r="AD74" s="78"/>
      <c r="AE74" s="78"/>
      <c r="AF74" s="78"/>
      <c r="AG74" s="78"/>
      <c r="AH74" s="78"/>
      <c r="AI74" s="78"/>
      <c r="AJ74" s="78"/>
      <c r="AK74" s="78"/>
      <c r="AL74" s="78"/>
      <c r="AM74" s="78"/>
      <c r="AN74" s="78"/>
    </row>
    <row r="75" spans="1:40" x14ac:dyDescent="0.2">
      <c r="A75" s="269"/>
      <c r="B75" s="274"/>
      <c r="C75" s="167">
        <f t="shared" si="26"/>
        <v>17.36</v>
      </c>
      <c r="D75" s="168">
        <f t="shared" si="26"/>
        <v>100</v>
      </c>
      <c r="E75" s="275"/>
      <c r="F75" s="169">
        <f t="shared" si="27"/>
        <v>10</v>
      </c>
      <c r="G75" s="170">
        <f t="shared" si="27"/>
        <v>150</v>
      </c>
      <c r="H75" s="166"/>
      <c r="I75" s="271"/>
      <c r="J75" s="276"/>
      <c r="K75" s="189">
        <f t="shared" ref="K75:K81" si="28">A539</f>
        <v>10</v>
      </c>
      <c r="L75" s="190">
        <f t="shared" ref="L75:L81" si="29">B539</f>
        <v>25</v>
      </c>
      <c r="M75" s="291"/>
      <c r="N75" s="191">
        <f t="shared" ref="N75:O81" si="30">O539</f>
        <v>5</v>
      </c>
      <c r="O75" s="192">
        <f t="shared" si="30"/>
        <v>25</v>
      </c>
      <c r="P75" s="278"/>
      <c r="Q75" s="47"/>
      <c r="R75" s="47"/>
      <c r="S75" s="47"/>
      <c r="T75" s="47"/>
      <c r="U75" s="47"/>
      <c r="V75" s="47"/>
      <c r="W75" s="78"/>
      <c r="X75" s="78"/>
      <c r="Y75" s="78"/>
      <c r="Z75" s="78"/>
      <c r="AA75" s="78"/>
      <c r="AB75" s="78"/>
      <c r="AC75" s="78"/>
      <c r="AD75" s="78"/>
      <c r="AE75" s="78"/>
      <c r="AF75" s="78"/>
      <c r="AG75" s="78"/>
      <c r="AH75" s="78"/>
      <c r="AI75" s="78"/>
      <c r="AJ75" s="78"/>
      <c r="AK75" s="78"/>
      <c r="AL75" s="78"/>
      <c r="AM75" s="78"/>
      <c r="AN75" s="78"/>
    </row>
    <row r="76" spans="1:40" x14ac:dyDescent="0.2">
      <c r="A76" s="269"/>
      <c r="B76" s="274"/>
      <c r="C76" s="167">
        <f t="shared" si="26"/>
        <v>19.79</v>
      </c>
      <c r="D76" s="168">
        <f t="shared" si="26"/>
        <v>0</v>
      </c>
      <c r="E76" s="275"/>
      <c r="F76" s="169">
        <f t="shared" si="27"/>
        <v>50</v>
      </c>
      <c r="G76" s="170">
        <f t="shared" si="27"/>
        <v>150</v>
      </c>
      <c r="H76" s="166"/>
      <c r="I76" s="271"/>
      <c r="J76" s="276"/>
      <c r="K76" s="189">
        <f t="shared" si="28"/>
        <v>50</v>
      </c>
      <c r="L76" s="190">
        <f t="shared" si="29"/>
        <v>25</v>
      </c>
      <c r="M76" s="291"/>
      <c r="N76" s="191">
        <f t="shared" si="30"/>
        <v>9.3800000000000008</v>
      </c>
      <c r="O76" s="192">
        <f t="shared" si="30"/>
        <v>25</v>
      </c>
      <c r="P76" s="278"/>
      <c r="Q76" s="47"/>
      <c r="R76" s="47"/>
      <c r="S76" s="47"/>
      <c r="T76" s="47"/>
      <c r="U76" s="47"/>
      <c r="V76" s="47"/>
      <c r="W76" s="78"/>
      <c r="X76" s="78"/>
      <c r="Y76" s="78"/>
      <c r="Z76" s="78"/>
      <c r="AA76" s="78"/>
      <c r="AB76" s="78"/>
      <c r="AC76" s="78"/>
      <c r="AD76" s="78"/>
      <c r="AE76" s="78"/>
      <c r="AF76" s="78"/>
      <c r="AG76" s="78"/>
      <c r="AH76" s="78"/>
      <c r="AI76" s="78"/>
      <c r="AJ76" s="78"/>
      <c r="AK76" s="78"/>
      <c r="AL76" s="78"/>
      <c r="AM76" s="78"/>
      <c r="AN76" s="78"/>
    </row>
    <row r="77" spans="1:40" x14ac:dyDescent="0.2">
      <c r="A77" s="269"/>
      <c r="B77" s="274"/>
      <c r="C77" s="167">
        <f t="shared" si="26"/>
        <v>86.46</v>
      </c>
      <c r="D77" s="168">
        <f t="shared" si="26"/>
        <v>0</v>
      </c>
      <c r="E77" s="275"/>
      <c r="F77" s="169">
        <f t="shared" si="27"/>
        <v>93.06</v>
      </c>
      <c r="G77" s="170">
        <f t="shared" si="27"/>
        <v>150</v>
      </c>
      <c r="H77" s="166"/>
      <c r="I77" s="271"/>
      <c r="J77" s="276"/>
      <c r="K77" s="189">
        <f t="shared" si="28"/>
        <v>75</v>
      </c>
      <c r="L77" s="190">
        <f t="shared" si="29"/>
        <v>25</v>
      </c>
      <c r="M77" s="291"/>
      <c r="N77" s="191">
        <f t="shared" si="30"/>
        <v>11.81</v>
      </c>
      <c r="O77" s="192">
        <f t="shared" si="30"/>
        <v>0</v>
      </c>
      <c r="P77" s="278"/>
      <c r="Q77" s="47"/>
      <c r="R77" s="47"/>
      <c r="S77" s="47"/>
      <c r="T77" s="47"/>
      <c r="U77" s="47"/>
      <c r="V77" s="47"/>
      <c r="W77" s="78"/>
      <c r="X77" s="78"/>
      <c r="Y77" s="78"/>
      <c r="Z77" s="78"/>
      <c r="AA77" s="78"/>
      <c r="AB77" s="78"/>
      <c r="AC77" s="78"/>
      <c r="AD77" s="78"/>
      <c r="AE77" s="78"/>
      <c r="AF77" s="78"/>
      <c r="AG77" s="78"/>
      <c r="AH77" s="78"/>
      <c r="AI77" s="78"/>
      <c r="AJ77" s="78"/>
      <c r="AK77" s="78"/>
      <c r="AL77" s="78"/>
      <c r="AM77" s="78"/>
      <c r="AN77" s="78"/>
    </row>
    <row r="78" spans="1:40" x14ac:dyDescent="0.2">
      <c r="A78" s="269"/>
      <c r="B78" s="274"/>
      <c r="C78" s="167">
        <f t="shared" si="26"/>
        <v>92.01</v>
      </c>
      <c r="D78" s="168">
        <f t="shared" si="26"/>
        <v>150</v>
      </c>
      <c r="E78" s="275"/>
      <c r="F78" s="169">
        <f t="shared" si="27"/>
        <v>96.53</v>
      </c>
      <c r="G78" s="170">
        <f t="shared" si="27"/>
        <v>150</v>
      </c>
      <c r="H78" s="166"/>
      <c r="I78" s="271"/>
      <c r="J78" s="276"/>
      <c r="K78" s="189">
        <f t="shared" si="28"/>
        <v>88</v>
      </c>
      <c r="L78" s="190">
        <f t="shared" si="29"/>
        <v>25</v>
      </c>
      <c r="M78" s="291"/>
      <c r="N78" s="191">
        <f t="shared" si="30"/>
        <v>61.81</v>
      </c>
      <c r="O78" s="192">
        <f t="shared" si="30"/>
        <v>0</v>
      </c>
      <c r="P78" s="278"/>
      <c r="Q78" s="47"/>
      <c r="R78" s="47"/>
      <c r="S78" s="47"/>
      <c r="T78" s="47"/>
      <c r="U78" s="47"/>
      <c r="V78" s="47"/>
      <c r="W78" s="78"/>
      <c r="X78" s="78"/>
      <c r="Y78" s="78"/>
      <c r="Z78" s="78"/>
      <c r="AA78" s="78"/>
      <c r="AB78" s="78"/>
      <c r="AC78" s="78"/>
      <c r="AD78" s="78"/>
      <c r="AE78" s="78"/>
      <c r="AF78" s="78"/>
      <c r="AG78" s="78"/>
      <c r="AH78" s="78"/>
      <c r="AI78" s="78"/>
      <c r="AJ78" s="78"/>
      <c r="AK78" s="78"/>
      <c r="AL78" s="78"/>
      <c r="AM78" s="78"/>
      <c r="AN78" s="78"/>
    </row>
    <row r="79" spans="1:40" x14ac:dyDescent="0.2">
      <c r="A79" s="269"/>
      <c r="B79" s="274"/>
      <c r="C79" s="167">
        <f t="shared" si="26"/>
        <v>96</v>
      </c>
      <c r="D79" s="168">
        <f t="shared" si="26"/>
        <v>150</v>
      </c>
      <c r="E79" s="275"/>
      <c r="F79" s="169">
        <f t="shared" si="27"/>
        <v>98</v>
      </c>
      <c r="G79" s="170">
        <f t="shared" si="27"/>
        <v>150</v>
      </c>
      <c r="H79" s="166"/>
      <c r="I79" s="271"/>
      <c r="J79" s="276"/>
      <c r="K79" s="189">
        <f t="shared" si="28"/>
        <v>94</v>
      </c>
      <c r="L79" s="190">
        <f t="shared" si="29"/>
        <v>25</v>
      </c>
      <c r="M79" s="291"/>
      <c r="N79" s="191">
        <f t="shared" si="30"/>
        <v>74.31</v>
      </c>
      <c r="O79" s="192">
        <f t="shared" si="30"/>
        <v>25</v>
      </c>
      <c r="P79" s="278"/>
      <c r="Q79" s="47"/>
      <c r="R79" s="47"/>
      <c r="S79" s="47"/>
      <c r="T79" s="47"/>
      <c r="U79" s="47"/>
      <c r="V79" s="47"/>
      <c r="W79" s="78"/>
      <c r="X79" s="78"/>
      <c r="Y79" s="78"/>
      <c r="Z79" s="78"/>
      <c r="AA79" s="78"/>
      <c r="AB79" s="78"/>
      <c r="AC79" s="78"/>
      <c r="AD79" s="78"/>
      <c r="AE79" s="78"/>
      <c r="AF79" s="78"/>
      <c r="AG79" s="78"/>
      <c r="AH79" s="78"/>
      <c r="AI79" s="78"/>
      <c r="AJ79" s="78"/>
      <c r="AK79" s="78"/>
      <c r="AL79" s="78"/>
      <c r="AM79" s="78"/>
      <c r="AN79" s="78"/>
    </row>
    <row r="80" spans="1:40" x14ac:dyDescent="0.2">
      <c r="A80" s="269"/>
      <c r="B80" s="274"/>
      <c r="C80" s="167">
        <f>A255</f>
        <v>98</v>
      </c>
      <c r="D80" s="168">
        <f>B255</f>
        <v>150</v>
      </c>
      <c r="E80" s="275"/>
      <c r="F80" s="169">
        <f>O255</f>
        <v>99</v>
      </c>
      <c r="G80" s="170">
        <f>P255</f>
        <v>150</v>
      </c>
      <c r="H80" s="166"/>
      <c r="I80" s="271"/>
      <c r="J80" s="276"/>
      <c r="K80" s="189">
        <f t="shared" si="28"/>
        <v>95</v>
      </c>
      <c r="L80" s="190">
        <f t="shared" si="29"/>
        <v>25</v>
      </c>
      <c r="M80" s="291"/>
      <c r="N80" s="191">
        <f t="shared" si="30"/>
        <v>89.93</v>
      </c>
      <c r="O80" s="192">
        <f t="shared" si="30"/>
        <v>25</v>
      </c>
      <c r="P80" s="278"/>
      <c r="Q80" s="47"/>
      <c r="R80" s="47"/>
      <c r="S80" s="47"/>
      <c r="T80" s="47"/>
      <c r="U80" s="47"/>
      <c r="V80" s="47"/>
      <c r="W80" s="78"/>
      <c r="X80" s="78"/>
      <c r="Y80" s="78"/>
      <c r="Z80" s="78"/>
      <c r="AA80" s="78"/>
      <c r="AB80" s="78"/>
      <c r="AC80" s="78"/>
      <c r="AD80" s="78"/>
      <c r="AE80" s="78"/>
      <c r="AF80" s="78"/>
      <c r="AG80" s="78"/>
      <c r="AH80" s="78"/>
      <c r="AI80" s="78"/>
      <c r="AJ80" s="78"/>
      <c r="AK80" s="78"/>
      <c r="AL80" s="78"/>
      <c r="AM80" s="78"/>
      <c r="AN80" s="78"/>
    </row>
    <row r="81" spans="1:40" ht="13.5" thickBot="1" x14ac:dyDescent="0.25">
      <c r="A81" s="269"/>
      <c r="B81" s="274"/>
      <c r="C81" s="171">
        <f>A256</f>
        <v>100</v>
      </c>
      <c r="D81" s="172">
        <f>B256</f>
        <v>150</v>
      </c>
      <c r="E81" s="275"/>
      <c r="F81" s="178">
        <f>O256</f>
        <v>100</v>
      </c>
      <c r="G81" s="179">
        <f>P256</f>
        <v>150</v>
      </c>
      <c r="H81" s="166"/>
      <c r="I81" s="282"/>
      <c r="J81" s="283"/>
      <c r="K81" s="193">
        <f t="shared" si="28"/>
        <v>100</v>
      </c>
      <c r="L81" s="194">
        <f t="shared" si="29"/>
        <v>25</v>
      </c>
      <c r="M81" s="292"/>
      <c r="N81" s="195">
        <f t="shared" si="30"/>
        <v>100</v>
      </c>
      <c r="O81" s="196">
        <f t="shared" si="30"/>
        <v>25</v>
      </c>
      <c r="P81" s="278"/>
      <c r="Q81" s="47"/>
      <c r="R81" s="47"/>
      <c r="S81" s="47"/>
      <c r="T81" s="47"/>
      <c r="U81" s="47"/>
      <c r="V81" s="47"/>
      <c r="W81" s="78"/>
      <c r="X81" s="78"/>
      <c r="Y81" s="78"/>
      <c r="Z81" s="78"/>
      <c r="AA81" s="78"/>
      <c r="AB81" s="78"/>
      <c r="AC81" s="78"/>
      <c r="AD81" s="78"/>
      <c r="AE81" s="78"/>
      <c r="AF81" s="78"/>
      <c r="AG81" s="78"/>
      <c r="AH81" s="78"/>
      <c r="AI81" s="78"/>
      <c r="AJ81" s="78"/>
      <c r="AK81" s="78"/>
      <c r="AL81" s="78"/>
      <c r="AM81" s="78"/>
      <c r="AN81" s="78"/>
    </row>
    <row r="82" spans="1:40" x14ac:dyDescent="0.2">
      <c r="A82" s="285" t="s">
        <v>63</v>
      </c>
      <c r="B82" s="286" t="s">
        <v>55</v>
      </c>
      <c r="C82" s="162">
        <f t="shared" ref="C82:D87" si="31">A273</f>
        <v>0</v>
      </c>
      <c r="D82" s="163">
        <f t="shared" si="31"/>
        <v>0</v>
      </c>
      <c r="E82" s="294">
        <f>B270</f>
        <v>30</v>
      </c>
      <c r="F82" s="176">
        <f t="shared" ref="F82:G87" si="32">O273</f>
        <v>0</v>
      </c>
      <c r="G82" s="177">
        <f t="shared" si="32"/>
        <v>0</v>
      </c>
      <c r="H82" s="218">
        <f>P270</f>
        <v>60</v>
      </c>
      <c r="I82" s="288" t="s">
        <v>79</v>
      </c>
      <c r="J82" s="289" t="s">
        <v>94</v>
      </c>
      <c r="K82" s="197">
        <f>A562</f>
        <v>0</v>
      </c>
      <c r="L82" s="198">
        <f>B562</f>
        <v>0</v>
      </c>
      <c r="M82" s="295">
        <f>B559</f>
        <v>60</v>
      </c>
      <c r="N82" s="199">
        <f>O562</f>
        <v>0</v>
      </c>
      <c r="O82" s="200">
        <f>P562</f>
        <v>0</v>
      </c>
      <c r="P82" s="220">
        <f>P559</f>
        <v>30</v>
      </c>
      <c r="Q82" s="47"/>
      <c r="R82" s="47"/>
      <c r="S82" s="47"/>
      <c r="T82" s="47"/>
      <c r="U82" s="47"/>
      <c r="V82" s="47"/>
      <c r="W82" s="78"/>
      <c r="X82" s="78"/>
      <c r="Y82" s="78"/>
      <c r="Z82" s="78"/>
      <c r="AA82" s="78"/>
      <c r="AB82" s="78"/>
      <c r="AC82" s="78"/>
      <c r="AD82" s="78"/>
      <c r="AE82" s="78"/>
      <c r="AF82" s="78"/>
      <c r="AG82" s="78"/>
      <c r="AH82" s="78"/>
      <c r="AI82" s="78"/>
      <c r="AJ82" s="78"/>
      <c r="AK82" s="78"/>
      <c r="AL82" s="78"/>
      <c r="AM82" s="78"/>
      <c r="AN82" s="78"/>
    </row>
    <row r="83" spans="1:40" x14ac:dyDescent="0.2">
      <c r="A83" s="269"/>
      <c r="B83" s="274"/>
      <c r="C83" s="167">
        <f t="shared" si="31"/>
        <v>10</v>
      </c>
      <c r="D83" s="168">
        <f t="shared" si="31"/>
        <v>0</v>
      </c>
      <c r="E83" s="296"/>
      <c r="F83" s="169">
        <f t="shared" si="32"/>
        <v>10</v>
      </c>
      <c r="G83" s="170">
        <f t="shared" si="32"/>
        <v>0</v>
      </c>
      <c r="H83" s="166"/>
      <c r="I83" s="271"/>
      <c r="J83" s="276"/>
      <c r="K83" s="189">
        <f t="shared" ref="K83:K89" si="33">A563</f>
        <v>10</v>
      </c>
      <c r="L83" s="190">
        <f t="shared" ref="L83:L89" si="34">B563</f>
        <v>0</v>
      </c>
      <c r="M83" s="277"/>
      <c r="N83" s="191">
        <f t="shared" ref="N83:O89" si="35">O563</f>
        <v>5</v>
      </c>
      <c r="O83" s="192">
        <f t="shared" si="35"/>
        <v>0</v>
      </c>
      <c r="P83" s="278"/>
      <c r="Q83" s="47"/>
      <c r="R83" s="47"/>
      <c r="S83" s="47"/>
      <c r="T83" s="47"/>
      <c r="U83" s="47"/>
      <c r="V83" s="47"/>
      <c r="W83" s="78"/>
      <c r="X83" s="78"/>
      <c r="Y83" s="78"/>
      <c r="Z83" s="78"/>
      <c r="AA83" s="78"/>
      <c r="AB83" s="78"/>
      <c r="AC83" s="78"/>
      <c r="AD83" s="78"/>
      <c r="AE83" s="78"/>
      <c r="AF83" s="78"/>
      <c r="AG83" s="78"/>
      <c r="AH83" s="78"/>
      <c r="AI83" s="78"/>
      <c r="AJ83" s="78"/>
      <c r="AK83" s="78"/>
      <c r="AL83" s="78"/>
      <c r="AM83" s="78"/>
      <c r="AN83" s="78"/>
    </row>
    <row r="84" spans="1:40" x14ac:dyDescent="0.2">
      <c r="A84" s="269"/>
      <c r="B84" s="274"/>
      <c r="C84" s="167">
        <f t="shared" si="31"/>
        <v>17.36</v>
      </c>
      <c r="D84" s="168">
        <f t="shared" si="31"/>
        <v>0</v>
      </c>
      <c r="E84" s="296"/>
      <c r="F84" s="169">
        <f t="shared" si="32"/>
        <v>50</v>
      </c>
      <c r="G84" s="170">
        <f t="shared" si="32"/>
        <v>0</v>
      </c>
      <c r="H84" s="166"/>
      <c r="I84" s="271"/>
      <c r="J84" s="276"/>
      <c r="K84" s="189">
        <f t="shared" si="33"/>
        <v>50</v>
      </c>
      <c r="L84" s="190">
        <f t="shared" si="34"/>
        <v>0</v>
      </c>
      <c r="M84" s="277"/>
      <c r="N84" s="191">
        <f t="shared" si="35"/>
        <v>9.3800000000000008</v>
      </c>
      <c r="O84" s="192">
        <f t="shared" si="35"/>
        <v>0</v>
      </c>
      <c r="P84" s="278"/>
      <c r="Q84" s="47"/>
      <c r="R84" s="47"/>
      <c r="S84" s="47"/>
      <c r="T84" s="47"/>
      <c r="U84" s="47"/>
      <c r="V84" s="47"/>
      <c r="W84" s="78"/>
      <c r="X84" s="78"/>
      <c r="Y84" s="78"/>
      <c r="Z84" s="78"/>
      <c r="AA84" s="78"/>
      <c r="AB84" s="78"/>
      <c r="AC84" s="78"/>
      <c r="AD84" s="78"/>
      <c r="AE84" s="78"/>
      <c r="AF84" s="78"/>
      <c r="AG84" s="78"/>
      <c r="AH84" s="78"/>
      <c r="AI84" s="78"/>
      <c r="AJ84" s="78"/>
      <c r="AK84" s="78"/>
      <c r="AL84" s="78"/>
      <c r="AM84" s="78"/>
      <c r="AN84" s="78"/>
    </row>
    <row r="85" spans="1:40" x14ac:dyDescent="0.2">
      <c r="A85" s="269"/>
      <c r="B85" s="274"/>
      <c r="C85" s="167">
        <f t="shared" si="31"/>
        <v>19.79</v>
      </c>
      <c r="D85" s="168">
        <f t="shared" si="31"/>
        <v>150</v>
      </c>
      <c r="E85" s="296"/>
      <c r="F85" s="169">
        <f t="shared" si="32"/>
        <v>75</v>
      </c>
      <c r="G85" s="170">
        <f t="shared" si="32"/>
        <v>0</v>
      </c>
      <c r="H85" s="166"/>
      <c r="I85" s="271"/>
      <c r="J85" s="276"/>
      <c r="K85" s="189">
        <f t="shared" si="33"/>
        <v>75</v>
      </c>
      <c r="L85" s="190">
        <f t="shared" si="34"/>
        <v>0</v>
      </c>
      <c r="M85" s="277"/>
      <c r="N85" s="191">
        <f t="shared" si="35"/>
        <v>11.81</v>
      </c>
      <c r="O85" s="192">
        <f t="shared" si="35"/>
        <v>70</v>
      </c>
      <c r="P85" s="278"/>
      <c r="Q85" s="47"/>
      <c r="R85" s="47"/>
      <c r="S85" s="47"/>
      <c r="T85" s="47"/>
      <c r="U85" s="47"/>
      <c r="V85" s="47"/>
      <c r="W85" s="78"/>
      <c r="X85" s="78"/>
      <c r="Y85" s="78"/>
      <c r="Z85" s="78"/>
      <c r="AA85" s="78"/>
      <c r="AB85" s="78"/>
      <c r="AC85" s="78"/>
      <c r="AD85" s="78"/>
      <c r="AE85" s="78"/>
      <c r="AF85" s="78"/>
      <c r="AG85" s="78"/>
      <c r="AH85" s="78"/>
      <c r="AI85" s="78"/>
      <c r="AJ85" s="78"/>
      <c r="AK85" s="78"/>
      <c r="AL85" s="78"/>
      <c r="AM85" s="78"/>
      <c r="AN85" s="78"/>
    </row>
    <row r="86" spans="1:40" x14ac:dyDescent="0.2">
      <c r="A86" s="269"/>
      <c r="B86" s="274"/>
      <c r="C86" s="167">
        <f t="shared" si="31"/>
        <v>69.790000000000006</v>
      </c>
      <c r="D86" s="168">
        <f t="shared" si="31"/>
        <v>150</v>
      </c>
      <c r="E86" s="296"/>
      <c r="F86" s="169">
        <f t="shared" si="32"/>
        <v>88</v>
      </c>
      <c r="G86" s="170">
        <f t="shared" si="32"/>
        <v>0</v>
      </c>
      <c r="H86" s="166"/>
      <c r="I86" s="271"/>
      <c r="J86" s="276"/>
      <c r="K86" s="189">
        <f t="shared" si="33"/>
        <v>88</v>
      </c>
      <c r="L86" s="190">
        <f t="shared" si="34"/>
        <v>0</v>
      </c>
      <c r="M86" s="277"/>
      <c r="N86" s="191">
        <f t="shared" si="35"/>
        <v>68.06</v>
      </c>
      <c r="O86" s="192">
        <f t="shared" si="35"/>
        <v>70</v>
      </c>
      <c r="P86" s="278"/>
      <c r="Q86" s="47"/>
      <c r="R86" s="47"/>
      <c r="S86" s="47"/>
      <c r="T86" s="47"/>
      <c r="U86" s="47"/>
      <c r="V86" s="47"/>
      <c r="W86" s="78"/>
      <c r="X86" s="78"/>
      <c r="Y86" s="78"/>
      <c r="Z86" s="78"/>
      <c r="AA86" s="78"/>
      <c r="AB86" s="78"/>
      <c r="AC86" s="78"/>
      <c r="AD86" s="78"/>
      <c r="AE86" s="78"/>
      <c r="AF86" s="78"/>
      <c r="AG86" s="78"/>
      <c r="AH86" s="78"/>
      <c r="AI86" s="78"/>
      <c r="AJ86" s="78"/>
      <c r="AK86" s="78"/>
      <c r="AL86" s="78"/>
      <c r="AM86" s="78"/>
      <c r="AN86" s="78"/>
    </row>
    <row r="87" spans="1:40" x14ac:dyDescent="0.2">
      <c r="A87" s="269"/>
      <c r="B87" s="274"/>
      <c r="C87" s="167">
        <f t="shared" si="31"/>
        <v>92.01</v>
      </c>
      <c r="D87" s="168">
        <f t="shared" si="31"/>
        <v>0</v>
      </c>
      <c r="E87" s="296"/>
      <c r="F87" s="169">
        <f t="shared" si="32"/>
        <v>94</v>
      </c>
      <c r="G87" s="170">
        <f t="shared" si="32"/>
        <v>0</v>
      </c>
      <c r="H87" s="166"/>
      <c r="I87" s="271"/>
      <c r="J87" s="276"/>
      <c r="K87" s="189">
        <f t="shared" si="33"/>
        <v>94</v>
      </c>
      <c r="L87" s="190">
        <f t="shared" si="34"/>
        <v>0</v>
      </c>
      <c r="M87" s="277"/>
      <c r="N87" s="191">
        <f t="shared" si="35"/>
        <v>80.56</v>
      </c>
      <c r="O87" s="192">
        <f t="shared" si="35"/>
        <v>0</v>
      </c>
      <c r="P87" s="278"/>
      <c r="Q87" s="47"/>
      <c r="R87" s="47"/>
      <c r="S87" s="47"/>
      <c r="T87" s="47"/>
      <c r="U87" s="47"/>
      <c r="V87" s="47"/>
      <c r="W87" s="78"/>
      <c r="X87" s="78"/>
      <c r="Y87" s="78"/>
      <c r="Z87" s="78"/>
      <c r="AA87" s="78"/>
      <c r="AB87" s="78"/>
      <c r="AC87" s="78"/>
      <c r="AD87" s="78"/>
      <c r="AE87" s="78"/>
      <c r="AF87" s="78"/>
      <c r="AG87" s="78"/>
      <c r="AH87" s="78"/>
      <c r="AI87" s="78"/>
      <c r="AJ87" s="78"/>
      <c r="AK87" s="78"/>
      <c r="AL87" s="78"/>
      <c r="AM87" s="78"/>
      <c r="AN87" s="78"/>
    </row>
    <row r="88" spans="1:40" x14ac:dyDescent="0.2">
      <c r="A88" s="269"/>
      <c r="B88" s="274"/>
      <c r="C88" s="167">
        <f>A279</f>
        <v>95</v>
      </c>
      <c r="D88" s="168">
        <f>B279</f>
        <v>0</v>
      </c>
      <c r="E88" s="296"/>
      <c r="F88" s="169">
        <f>O279</f>
        <v>95</v>
      </c>
      <c r="G88" s="170">
        <f>P279</f>
        <v>0</v>
      </c>
      <c r="H88" s="166"/>
      <c r="I88" s="271"/>
      <c r="J88" s="276"/>
      <c r="K88" s="189">
        <f t="shared" si="33"/>
        <v>95</v>
      </c>
      <c r="L88" s="190">
        <f t="shared" si="34"/>
        <v>0</v>
      </c>
      <c r="M88" s="277"/>
      <c r="N88" s="191">
        <f t="shared" si="35"/>
        <v>95</v>
      </c>
      <c r="O88" s="192">
        <f t="shared" si="35"/>
        <v>0</v>
      </c>
      <c r="P88" s="278"/>
      <c r="Q88" s="47"/>
      <c r="R88" s="47"/>
      <c r="S88" s="47"/>
      <c r="T88" s="47"/>
      <c r="U88" s="47"/>
      <c r="V88" s="47"/>
      <c r="W88" s="78"/>
      <c r="X88" s="78"/>
      <c r="Y88" s="78"/>
      <c r="Z88" s="78"/>
      <c r="AA88" s="78"/>
      <c r="AB88" s="78"/>
      <c r="AC88" s="78"/>
      <c r="AD88" s="78"/>
      <c r="AE88" s="78"/>
      <c r="AF88" s="78"/>
      <c r="AG88" s="78"/>
      <c r="AH88" s="78"/>
      <c r="AI88" s="78"/>
      <c r="AJ88" s="78"/>
      <c r="AK88" s="78"/>
      <c r="AL88" s="78"/>
      <c r="AM88" s="78"/>
      <c r="AN88" s="78"/>
    </row>
    <row r="89" spans="1:40" ht="13.5" thickBot="1" x14ac:dyDescent="0.25">
      <c r="A89" s="279"/>
      <c r="B89" s="280"/>
      <c r="C89" s="171">
        <f>A280</f>
        <v>100</v>
      </c>
      <c r="D89" s="172">
        <f>B280</f>
        <v>0</v>
      </c>
      <c r="E89" s="297"/>
      <c r="F89" s="173">
        <f>O280</f>
        <v>100</v>
      </c>
      <c r="G89" s="174">
        <f>P280</f>
        <v>0</v>
      </c>
      <c r="H89" s="175"/>
      <c r="I89" s="282"/>
      <c r="J89" s="283"/>
      <c r="K89" s="193">
        <f t="shared" si="33"/>
        <v>100</v>
      </c>
      <c r="L89" s="194">
        <f t="shared" si="34"/>
        <v>0</v>
      </c>
      <c r="M89" s="284"/>
      <c r="N89" s="201">
        <f t="shared" si="35"/>
        <v>100</v>
      </c>
      <c r="O89" s="203">
        <f t="shared" si="35"/>
        <v>0</v>
      </c>
      <c r="P89" s="293"/>
      <c r="Q89" s="47"/>
      <c r="R89" s="47"/>
      <c r="S89" s="47"/>
      <c r="T89" s="47"/>
      <c r="U89" s="47"/>
      <c r="V89" s="47"/>
      <c r="W89" s="78"/>
      <c r="X89" s="78"/>
      <c r="Y89" s="78"/>
      <c r="Z89" s="78"/>
      <c r="AA89" s="78"/>
      <c r="AB89" s="78"/>
      <c r="AC89" s="78"/>
      <c r="AD89" s="78"/>
      <c r="AE89" s="78"/>
      <c r="AF89" s="78"/>
      <c r="AG89" s="78"/>
      <c r="AH89" s="78"/>
      <c r="AI89" s="78"/>
      <c r="AJ89" s="78"/>
      <c r="AK89" s="78"/>
      <c r="AL89" s="78"/>
      <c r="AM89" s="78"/>
      <c r="AN89" s="78"/>
    </row>
    <row r="90" spans="1:40" x14ac:dyDescent="0.2">
      <c r="A90" s="285" t="s">
        <v>64</v>
      </c>
      <c r="B90" s="270" t="s">
        <v>14</v>
      </c>
      <c r="C90" s="162">
        <f t="shared" ref="C90:D95" si="36">A297</f>
        <v>0</v>
      </c>
      <c r="D90" s="163">
        <f t="shared" si="36"/>
        <v>0</v>
      </c>
      <c r="E90" s="185">
        <f>B294</f>
        <v>30</v>
      </c>
      <c r="F90" s="164">
        <f t="shared" ref="F90:G95" si="37">O297</f>
        <v>0</v>
      </c>
      <c r="G90" s="165">
        <f t="shared" si="37"/>
        <v>0</v>
      </c>
      <c r="H90" s="217">
        <f>P294</f>
        <v>60</v>
      </c>
      <c r="I90" s="288" t="s">
        <v>80</v>
      </c>
      <c r="J90" s="289" t="s">
        <v>95</v>
      </c>
      <c r="K90" s="197">
        <f>A586</f>
        <v>0</v>
      </c>
      <c r="L90" s="198">
        <f>B586</f>
        <v>0</v>
      </c>
      <c r="M90" s="290">
        <f>B583</f>
        <v>60</v>
      </c>
      <c r="N90" s="191">
        <f>O586</f>
        <v>0</v>
      </c>
      <c r="O90" s="192">
        <f>P586</f>
        <v>0</v>
      </c>
      <c r="P90" s="219">
        <f>P583</f>
        <v>30</v>
      </c>
      <c r="Q90" s="47"/>
      <c r="R90" s="47"/>
      <c r="S90" s="47"/>
      <c r="T90" s="47"/>
      <c r="U90" s="47"/>
      <c r="V90" s="47"/>
      <c r="W90" s="78"/>
      <c r="X90" s="78"/>
      <c r="Y90" s="78"/>
      <c r="Z90" s="78"/>
      <c r="AA90" s="78"/>
      <c r="AB90" s="78"/>
      <c r="AC90" s="78"/>
      <c r="AD90" s="78"/>
      <c r="AE90" s="78"/>
      <c r="AF90" s="78"/>
      <c r="AG90" s="78"/>
      <c r="AH90" s="78"/>
      <c r="AI90" s="78"/>
      <c r="AJ90" s="78"/>
      <c r="AK90" s="78"/>
      <c r="AL90" s="78"/>
      <c r="AM90" s="78"/>
      <c r="AN90" s="78"/>
    </row>
    <row r="91" spans="1:40" x14ac:dyDescent="0.2">
      <c r="A91" s="269"/>
      <c r="B91" s="274"/>
      <c r="C91" s="167">
        <f t="shared" si="36"/>
        <v>10</v>
      </c>
      <c r="D91" s="168">
        <f t="shared" si="36"/>
        <v>0</v>
      </c>
      <c r="E91" s="275"/>
      <c r="F91" s="169">
        <f t="shared" si="37"/>
        <v>10</v>
      </c>
      <c r="G91" s="170">
        <f t="shared" si="37"/>
        <v>0</v>
      </c>
      <c r="H91" s="166"/>
      <c r="I91" s="271"/>
      <c r="J91" s="276"/>
      <c r="K91" s="189">
        <f t="shared" ref="K91:K97" si="38">A587</f>
        <v>10</v>
      </c>
      <c r="L91" s="190">
        <f t="shared" ref="L91:L97" si="39">B587</f>
        <v>0</v>
      </c>
      <c r="M91" s="291"/>
      <c r="N91" s="191">
        <f t="shared" ref="N91:O97" si="40">O587</f>
        <v>5</v>
      </c>
      <c r="O91" s="192">
        <f t="shared" si="40"/>
        <v>0</v>
      </c>
      <c r="P91" s="278"/>
      <c r="Q91" s="47"/>
      <c r="R91" s="47"/>
      <c r="S91" s="47"/>
      <c r="T91" s="47"/>
      <c r="U91" s="47"/>
      <c r="V91" s="47"/>
      <c r="W91" s="78"/>
      <c r="X91" s="78"/>
      <c r="Y91" s="78"/>
      <c r="Z91" s="78"/>
      <c r="AA91" s="78"/>
      <c r="AB91" s="78"/>
      <c r="AC91" s="78"/>
      <c r="AD91" s="78"/>
      <c r="AE91" s="78"/>
      <c r="AF91" s="78"/>
      <c r="AG91" s="78"/>
      <c r="AH91" s="78"/>
      <c r="AI91" s="78"/>
      <c r="AJ91" s="78"/>
      <c r="AK91" s="78"/>
      <c r="AL91" s="78"/>
      <c r="AM91" s="78"/>
      <c r="AN91" s="78"/>
    </row>
    <row r="92" spans="1:40" x14ac:dyDescent="0.2">
      <c r="A92" s="298"/>
      <c r="B92" s="299"/>
      <c r="C92" s="167">
        <f t="shared" si="36"/>
        <v>17.36</v>
      </c>
      <c r="D92" s="168">
        <f t="shared" si="36"/>
        <v>0</v>
      </c>
      <c r="E92" s="275"/>
      <c r="F92" s="169">
        <f t="shared" si="37"/>
        <v>50</v>
      </c>
      <c r="G92" s="170">
        <f t="shared" si="37"/>
        <v>0</v>
      </c>
      <c r="H92" s="166"/>
      <c r="I92" s="271"/>
      <c r="J92" s="276"/>
      <c r="K92" s="189">
        <f t="shared" si="38"/>
        <v>50</v>
      </c>
      <c r="L92" s="190">
        <f t="shared" si="39"/>
        <v>0</v>
      </c>
      <c r="M92" s="291"/>
      <c r="N92" s="191">
        <f t="shared" si="40"/>
        <v>9.3800000000000008</v>
      </c>
      <c r="O92" s="204">
        <f t="shared" si="40"/>
        <v>0</v>
      </c>
      <c r="P92" s="300"/>
      <c r="Q92" s="47"/>
      <c r="R92" s="47"/>
      <c r="S92" s="47"/>
      <c r="T92" s="47"/>
      <c r="U92" s="47"/>
      <c r="V92" s="47"/>
      <c r="W92" s="78"/>
      <c r="X92" s="78"/>
      <c r="Y92" s="78"/>
      <c r="Z92" s="78"/>
      <c r="AA92" s="78"/>
      <c r="AB92" s="78"/>
      <c r="AC92" s="78"/>
      <c r="AD92" s="78"/>
      <c r="AE92" s="78"/>
      <c r="AF92" s="78"/>
      <c r="AG92" s="78"/>
      <c r="AH92" s="78"/>
      <c r="AI92" s="78"/>
      <c r="AJ92" s="78"/>
      <c r="AK92" s="78"/>
      <c r="AL92" s="78"/>
      <c r="AM92" s="78"/>
      <c r="AN92" s="78"/>
    </row>
    <row r="93" spans="1:40" x14ac:dyDescent="0.2">
      <c r="A93" s="298"/>
      <c r="B93" s="299"/>
      <c r="C93" s="167">
        <f t="shared" si="36"/>
        <v>19.79</v>
      </c>
      <c r="D93" s="168">
        <f t="shared" si="36"/>
        <v>60</v>
      </c>
      <c r="E93" s="275"/>
      <c r="F93" s="169">
        <f t="shared" si="37"/>
        <v>75</v>
      </c>
      <c r="G93" s="170">
        <f t="shared" si="37"/>
        <v>0</v>
      </c>
      <c r="H93" s="166"/>
      <c r="I93" s="271"/>
      <c r="J93" s="276"/>
      <c r="K93" s="189">
        <f t="shared" si="38"/>
        <v>75</v>
      </c>
      <c r="L93" s="190">
        <f t="shared" si="39"/>
        <v>0</v>
      </c>
      <c r="M93" s="291"/>
      <c r="N93" s="191">
        <f t="shared" si="40"/>
        <v>11.81</v>
      </c>
      <c r="O93" s="204">
        <f t="shared" si="40"/>
        <v>70</v>
      </c>
      <c r="P93" s="300"/>
      <c r="Q93" s="47"/>
      <c r="R93" s="47"/>
      <c r="S93" s="47"/>
      <c r="T93" s="47"/>
      <c r="U93" s="47"/>
      <c r="V93" s="47"/>
      <c r="W93" s="78"/>
      <c r="X93" s="78"/>
      <c r="Y93" s="78"/>
      <c r="Z93" s="78"/>
      <c r="AA93" s="78"/>
      <c r="AB93" s="78"/>
      <c r="AC93" s="78"/>
      <c r="AD93" s="78"/>
      <c r="AE93" s="78"/>
      <c r="AF93" s="78"/>
      <c r="AG93" s="78"/>
      <c r="AH93" s="78"/>
      <c r="AI93" s="78"/>
      <c r="AJ93" s="78"/>
      <c r="AK93" s="78"/>
      <c r="AL93" s="78"/>
      <c r="AM93" s="78"/>
      <c r="AN93" s="78"/>
    </row>
    <row r="94" spans="1:40" x14ac:dyDescent="0.2">
      <c r="A94" s="298"/>
      <c r="B94" s="299"/>
      <c r="C94" s="167">
        <f t="shared" si="36"/>
        <v>69.790000000000006</v>
      </c>
      <c r="D94" s="168">
        <f t="shared" si="36"/>
        <v>60</v>
      </c>
      <c r="E94" s="275"/>
      <c r="F94" s="169">
        <f t="shared" si="37"/>
        <v>88</v>
      </c>
      <c r="G94" s="170">
        <f t="shared" si="37"/>
        <v>0</v>
      </c>
      <c r="H94" s="166"/>
      <c r="I94" s="271"/>
      <c r="J94" s="276"/>
      <c r="K94" s="189">
        <f t="shared" si="38"/>
        <v>88</v>
      </c>
      <c r="L94" s="190">
        <f t="shared" si="39"/>
        <v>0</v>
      </c>
      <c r="M94" s="291"/>
      <c r="N94" s="191">
        <f t="shared" si="40"/>
        <v>68.06</v>
      </c>
      <c r="O94" s="204">
        <f t="shared" si="40"/>
        <v>70</v>
      </c>
      <c r="P94" s="300"/>
      <c r="Q94" s="47"/>
      <c r="R94" s="47"/>
      <c r="S94" s="47"/>
      <c r="T94" s="47"/>
      <c r="U94" s="47"/>
      <c r="V94" s="47"/>
      <c r="W94" s="78"/>
      <c r="X94" s="78"/>
      <c r="Y94" s="78"/>
      <c r="Z94" s="78"/>
      <c r="AA94" s="78"/>
      <c r="AB94" s="78"/>
      <c r="AC94" s="78"/>
      <c r="AD94" s="78"/>
      <c r="AE94" s="78"/>
      <c r="AF94" s="78"/>
      <c r="AG94" s="78"/>
      <c r="AH94" s="78"/>
      <c r="AI94" s="78"/>
      <c r="AJ94" s="78"/>
      <c r="AK94" s="78"/>
      <c r="AL94" s="78"/>
      <c r="AM94" s="78"/>
      <c r="AN94" s="78"/>
    </row>
    <row r="95" spans="1:40" x14ac:dyDescent="0.2">
      <c r="A95" s="298"/>
      <c r="B95" s="299"/>
      <c r="C95" s="167">
        <f t="shared" si="36"/>
        <v>92.01</v>
      </c>
      <c r="D95" s="168">
        <f t="shared" si="36"/>
        <v>0</v>
      </c>
      <c r="E95" s="275"/>
      <c r="F95" s="169">
        <f t="shared" si="37"/>
        <v>94</v>
      </c>
      <c r="G95" s="170">
        <f t="shared" si="37"/>
        <v>0</v>
      </c>
      <c r="H95" s="166"/>
      <c r="I95" s="271"/>
      <c r="J95" s="276"/>
      <c r="K95" s="189">
        <f t="shared" si="38"/>
        <v>94</v>
      </c>
      <c r="L95" s="190">
        <f t="shared" si="39"/>
        <v>0</v>
      </c>
      <c r="M95" s="291"/>
      <c r="N95" s="191">
        <f t="shared" si="40"/>
        <v>80.56</v>
      </c>
      <c r="O95" s="204">
        <f t="shared" si="40"/>
        <v>0</v>
      </c>
      <c r="P95" s="300"/>
      <c r="Q95" s="47"/>
      <c r="R95" s="47"/>
      <c r="S95" s="47"/>
      <c r="T95" s="47"/>
      <c r="U95" s="47"/>
      <c r="V95" s="47"/>
      <c r="W95" s="78"/>
      <c r="X95" s="78"/>
      <c r="Y95" s="78"/>
      <c r="Z95" s="78"/>
      <c r="AA95" s="78"/>
      <c r="AB95" s="78"/>
      <c r="AC95" s="78"/>
      <c r="AD95" s="78"/>
      <c r="AE95" s="78"/>
      <c r="AF95" s="78"/>
      <c r="AG95" s="78"/>
      <c r="AH95" s="78"/>
      <c r="AI95" s="78"/>
      <c r="AJ95" s="78"/>
      <c r="AK95" s="78"/>
      <c r="AL95" s="78"/>
      <c r="AM95" s="78"/>
      <c r="AN95" s="78"/>
    </row>
    <row r="96" spans="1:40" x14ac:dyDescent="0.2">
      <c r="A96" s="298"/>
      <c r="B96" s="299"/>
      <c r="C96" s="167">
        <f>A303</f>
        <v>95</v>
      </c>
      <c r="D96" s="168">
        <f>B303</f>
        <v>0</v>
      </c>
      <c r="E96" s="275"/>
      <c r="F96" s="169">
        <f>O303</f>
        <v>95</v>
      </c>
      <c r="G96" s="170">
        <f>P303</f>
        <v>0</v>
      </c>
      <c r="H96" s="166"/>
      <c r="I96" s="271"/>
      <c r="J96" s="276"/>
      <c r="K96" s="189">
        <f t="shared" si="38"/>
        <v>95</v>
      </c>
      <c r="L96" s="190">
        <f t="shared" si="39"/>
        <v>0</v>
      </c>
      <c r="M96" s="291"/>
      <c r="N96" s="191">
        <f t="shared" si="40"/>
        <v>95</v>
      </c>
      <c r="O96" s="204">
        <f t="shared" si="40"/>
        <v>0</v>
      </c>
      <c r="P96" s="300"/>
      <c r="Q96" s="47"/>
      <c r="R96" s="47"/>
      <c r="S96" s="47"/>
      <c r="T96" s="47"/>
      <c r="U96" s="47"/>
      <c r="V96" s="47"/>
      <c r="W96" s="78"/>
      <c r="X96" s="78"/>
      <c r="Y96" s="78"/>
      <c r="Z96" s="78"/>
      <c r="AA96" s="78"/>
      <c r="AB96" s="78"/>
      <c r="AC96" s="78"/>
      <c r="AD96" s="78"/>
      <c r="AE96" s="78"/>
      <c r="AF96" s="78"/>
      <c r="AG96" s="78"/>
      <c r="AH96" s="78"/>
      <c r="AI96" s="78"/>
      <c r="AJ96" s="78"/>
      <c r="AK96" s="78"/>
      <c r="AL96" s="78"/>
      <c r="AM96" s="78"/>
      <c r="AN96" s="78"/>
    </row>
    <row r="97" spans="1:40" ht="13.5" thickBot="1" x14ac:dyDescent="0.25">
      <c r="A97" s="298"/>
      <c r="B97" s="299"/>
      <c r="C97" s="171">
        <f>A304</f>
        <v>100</v>
      </c>
      <c r="D97" s="172">
        <f>B304</f>
        <v>0</v>
      </c>
      <c r="E97" s="275"/>
      <c r="F97" s="178">
        <f>O304</f>
        <v>100</v>
      </c>
      <c r="G97" s="179">
        <f>P304</f>
        <v>0</v>
      </c>
      <c r="H97" s="166"/>
      <c r="I97" s="282"/>
      <c r="J97" s="283"/>
      <c r="K97" s="193">
        <f t="shared" si="38"/>
        <v>100</v>
      </c>
      <c r="L97" s="194">
        <f t="shared" si="39"/>
        <v>0</v>
      </c>
      <c r="M97" s="292"/>
      <c r="N97" s="195">
        <f t="shared" si="40"/>
        <v>100</v>
      </c>
      <c r="O97" s="205">
        <f t="shared" si="40"/>
        <v>0</v>
      </c>
      <c r="P97" s="300"/>
      <c r="Q97" s="47"/>
      <c r="R97" s="47"/>
      <c r="S97" s="47"/>
      <c r="T97" s="47"/>
      <c r="U97" s="47"/>
      <c r="V97" s="47"/>
      <c r="W97" s="78"/>
      <c r="X97" s="78"/>
      <c r="Y97" s="78"/>
      <c r="Z97" s="78"/>
      <c r="AA97" s="78"/>
      <c r="AB97" s="78"/>
      <c r="AC97" s="78"/>
      <c r="AD97" s="78"/>
      <c r="AE97" s="78"/>
      <c r="AF97" s="78"/>
      <c r="AG97" s="78"/>
      <c r="AH97" s="78"/>
      <c r="AI97" s="78"/>
      <c r="AJ97" s="78"/>
      <c r="AK97" s="78"/>
      <c r="AL97" s="78"/>
      <c r="AM97" s="78"/>
      <c r="AN97" s="78"/>
    </row>
    <row r="98" spans="1:40" x14ac:dyDescent="0.2">
      <c r="A98" s="285" t="s">
        <v>65</v>
      </c>
      <c r="B98" s="286" t="s">
        <v>56</v>
      </c>
      <c r="C98" s="162">
        <f t="shared" ref="C98:D103" si="41">A321</f>
        <v>0</v>
      </c>
      <c r="D98" s="163">
        <f t="shared" si="41"/>
        <v>0</v>
      </c>
      <c r="E98" s="294">
        <f>B318</f>
        <v>30</v>
      </c>
      <c r="F98" s="176">
        <f t="shared" ref="F98:G103" si="42">O321</f>
        <v>0</v>
      </c>
      <c r="G98" s="177">
        <f t="shared" si="42"/>
        <v>0</v>
      </c>
      <c r="H98" s="218">
        <f>P318</f>
        <v>60</v>
      </c>
      <c r="I98" s="271" t="s">
        <v>81</v>
      </c>
      <c r="J98" s="272" t="s">
        <v>96</v>
      </c>
      <c r="K98" s="199">
        <f>A610</f>
        <v>0</v>
      </c>
      <c r="L98" s="198">
        <f>B610</f>
        <v>0</v>
      </c>
      <c r="M98" s="295">
        <f>B607</f>
        <v>60</v>
      </c>
      <c r="N98" s="199">
        <f>O610</f>
        <v>0</v>
      </c>
      <c r="O98" s="200">
        <f>P610</f>
        <v>0</v>
      </c>
      <c r="P98" s="220">
        <f>P607</f>
        <v>30</v>
      </c>
      <c r="Q98" s="47"/>
      <c r="R98" s="47"/>
      <c r="S98" s="47"/>
      <c r="T98" s="47"/>
      <c r="U98" s="47"/>
      <c r="V98" s="47"/>
      <c r="W98" s="78"/>
      <c r="X98" s="78"/>
      <c r="Y98" s="78"/>
      <c r="Z98" s="78"/>
      <c r="AA98" s="78"/>
      <c r="AB98" s="78"/>
      <c r="AC98" s="78"/>
      <c r="AD98" s="78"/>
      <c r="AE98" s="78"/>
      <c r="AF98" s="78"/>
      <c r="AG98" s="78"/>
      <c r="AH98" s="78"/>
      <c r="AI98" s="78"/>
      <c r="AJ98" s="78"/>
      <c r="AK98" s="78"/>
      <c r="AL98" s="78"/>
      <c r="AM98" s="78"/>
      <c r="AN98" s="78"/>
    </row>
    <row r="99" spans="1:40" x14ac:dyDescent="0.2">
      <c r="A99" s="269"/>
      <c r="B99" s="274"/>
      <c r="C99" s="167">
        <f t="shared" si="41"/>
        <v>10</v>
      </c>
      <c r="D99" s="168">
        <f t="shared" si="41"/>
        <v>0</v>
      </c>
      <c r="E99" s="296"/>
      <c r="F99" s="169">
        <f t="shared" si="42"/>
        <v>10</v>
      </c>
      <c r="G99" s="170">
        <f t="shared" si="42"/>
        <v>0</v>
      </c>
      <c r="H99" s="166"/>
      <c r="I99" s="271"/>
      <c r="J99" s="276"/>
      <c r="K99" s="191">
        <f t="shared" ref="K99:K105" si="43">A611</f>
        <v>10</v>
      </c>
      <c r="L99" s="190">
        <f t="shared" ref="L99:L105" si="44">B611</f>
        <v>0</v>
      </c>
      <c r="M99" s="277"/>
      <c r="N99" s="191">
        <f t="shared" ref="N99:O105" si="45">O611</f>
        <v>5</v>
      </c>
      <c r="O99" s="192">
        <f t="shared" si="45"/>
        <v>0</v>
      </c>
      <c r="P99" s="278"/>
      <c r="Q99" s="47"/>
      <c r="R99" s="47"/>
      <c r="S99" s="47"/>
      <c r="T99" s="47"/>
      <c r="U99" s="47"/>
      <c r="V99" s="47"/>
      <c r="W99" s="78"/>
      <c r="X99" s="78"/>
      <c r="Y99" s="78"/>
      <c r="Z99" s="78"/>
      <c r="AA99" s="78"/>
      <c r="AB99" s="78"/>
      <c r="AC99" s="78"/>
      <c r="AD99" s="78"/>
      <c r="AE99" s="78"/>
      <c r="AF99" s="78"/>
      <c r="AG99" s="78"/>
      <c r="AH99" s="78"/>
      <c r="AI99" s="78"/>
      <c r="AJ99" s="78"/>
      <c r="AK99" s="78"/>
      <c r="AL99" s="78"/>
      <c r="AM99" s="78"/>
      <c r="AN99" s="78"/>
    </row>
    <row r="100" spans="1:40" x14ac:dyDescent="0.2">
      <c r="A100" s="269"/>
      <c r="B100" s="274"/>
      <c r="C100" s="167">
        <f t="shared" si="41"/>
        <v>17.36</v>
      </c>
      <c r="D100" s="168">
        <f t="shared" si="41"/>
        <v>0</v>
      </c>
      <c r="E100" s="296"/>
      <c r="F100" s="169">
        <f t="shared" si="42"/>
        <v>50</v>
      </c>
      <c r="G100" s="170">
        <f t="shared" si="42"/>
        <v>0</v>
      </c>
      <c r="H100" s="166"/>
      <c r="I100" s="271"/>
      <c r="J100" s="276"/>
      <c r="K100" s="191">
        <f t="shared" si="43"/>
        <v>50</v>
      </c>
      <c r="L100" s="190">
        <f t="shared" si="44"/>
        <v>0</v>
      </c>
      <c r="M100" s="277"/>
      <c r="N100" s="191">
        <f t="shared" si="45"/>
        <v>9.3800000000000008</v>
      </c>
      <c r="O100" s="192">
        <f t="shared" si="45"/>
        <v>0</v>
      </c>
      <c r="P100" s="278"/>
      <c r="Q100" s="47"/>
      <c r="R100" s="47"/>
      <c r="S100" s="47"/>
      <c r="T100" s="47"/>
      <c r="U100" s="47"/>
      <c r="V100" s="47"/>
      <c r="W100" s="78"/>
      <c r="X100" s="78"/>
      <c r="Y100" s="78"/>
      <c r="Z100" s="78"/>
      <c r="AA100" s="78"/>
      <c r="AB100" s="78"/>
      <c r="AC100" s="78"/>
      <c r="AD100" s="78"/>
      <c r="AE100" s="78"/>
      <c r="AF100" s="78"/>
      <c r="AG100" s="78"/>
      <c r="AH100" s="78"/>
      <c r="AI100" s="78"/>
      <c r="AJ100" s="78"/>
      <c r="AK100" s="78"/>
      <c r="AL100" s="78"/>
      <c r="AM100" s="78"/>
      <c r="AN100" s="78"/>
    </row>
    <row r="101" spans="1:40" x14ac:dyDescent="0.2">
      <c r="A101" s="269"/>
      <c r="B101" s="274"/>
      <c r="C101" s="167">
        <f t="shared" si="41"/>
        <v>19.79</v>
      </c>
      <c r="D101" s="168">
        <f t="shared" si="41"/>
        <v>150</v>
      </c>
      <c r="E101" s="296"/>
      <c r="F101" s="169">
        <f t="shared" si="42"/>
        <v>75</v>
      </c>
      <c r="G101" s="170">
        <f t="shared" si="42"/>
        <v>0</v>
      </c>
      <c r="H101" s="166"/>
      <c r="I101" s="271"/>
      <c r="J101" s="276"/>
      <c r="K101" s="191">
        <f t="shared" si="43"/>
        <v>75</v>
      </c>
      <c r="L101" s="190">
        <f t="shared" si="44"/>
        <v>0</v>
      </c>
      <c r="M101" s="277"/>
      <c r="N101" s="191">
        <f t="shared" si="45"/>
        <v>11.81</v>
      </c>
      <c r="O101" s="192">
        <f t="shared" si="45"/>
        <v>150</v>
      </c>
      <c r="P101" s="278"/>
      <c r="Q101" s="47"/>
      <c r="R101" s="47"/>
      <c r="S101" s="47"/>
      <c r="T101" s="47"/>
      <c r="U101" s="47"/>
      <c r="V101" s="47"/>
      <c r="W101" s="78"/>
      <c r="X101" s="78"/>
      <c r="Y101" s="78"/>
      <c r="Z101" s="78"/>
      <c r="AA101" s="78"/>
      <c r="AB101" s="78"/>
      <c r="AC101" s="78"/>
      <c r="AD101" s="78"/>
      <c r="AE101" s="78"/>
      <c r="AF101" s="78"/>
      <c r="AG101" s="78"/>
      <c r="AH101" s="78"/>
      <c r="AI101" s="78"/>
      <c r="AJ101" s="78"/>
      <c r="AK101" s="78"/>
      <c r="AL101" s="78"/>
      <c r="AM101" s="78"/>
      <c r="AN101" s="78"/>
    </row>
    <row r="102" spans="1:40" x14ac:dyDescent="0.2">
      <c r="A102" s="269"/>
      <c r="B102" s="274"/>
      <c r="C102" s="167">
        <f t="shared" si="41"/>
        <v>75.349999999999994</v>
      </c>
      <c r="D102" s="168">
        <f t="shared" si="41"/>
        <v>150</v>
      </c>
      <c r="E102" s="296"/>
      <c r="F102" s="169">
        <f t="shared" si="42"/>
        <v>88</v>
      </c>
      <c r="G102" s="170">
        <f t="shared" si="42"/>
        <v>0</v>
      </c>
      <c r="H102" s="166"/>
      <c r="I102" s="271"/>
      <c r="J102" s="276"/>
      <c r="K102" s="191">
        <f t="shared" si="43"/>
        <v>88</v>
      </c>
      <c r="L102" s="190">
        <f t="shared" si="44"/>
        <v>0</v>
      </c>
      <c r="M102" s="277"/>
      <c r="N102" s="191">
        <f t="shared" si="45"/>
        <v>68.06</v>
      </c>
      <c r="O102" s="192">
        <f t="shared" si="45"/>
        <v>150</v>
      </c>
      <c r="P102" s="278"/>
      <c r="Q102" s="47"/>
      <c r="R102" s="47"/>
      <c r="S102" s="47"/>
      <c r="T102" s="47"/>
      <c r="U102" s="47"/>
      <c r="V102" s="47"/>
      <c r="W102" s="78"/>
      <c r="X102" s="78"/>
      <c r="Y102" s="78"/>
      <c r="Z102" s="78"/>
      <c r="AA102" s="78"/>
      <c r="AB102" s="78"/>
      <c r="AC102" s="78"/>
      <c r="AD102" s="78"/>
      <c r="AE102" s="78"/>
      <c r="AF102" s="78"/>
      <c r="AG102" s="78"/>
      <c r="AH102" s="78"/>
      <c r="AI102" s="78"/>
      <c r="AJ102" s="78"/>
      <c r="AK102" s="78"/>
      <c r="AL102" s="78"/>
      <c r="AM102" s="78"/>
      <c r="AN102" s="78"/>
    </row>
    <row r="103" spans="1:40" x14ac:dyDescent="0.2">
      <c r="A103" s="269"/>
      <c r="B103" s="274"/>
      <c r="C103" s="167">
        <f t="shared" si="41"/>
        <v>86.46</v>
      </c>
      <c r="D103" s="168">
        <f t="shared" si="41"/>
        <v>0</v>
      </c>
      <c r="E103" s="296"/>
      <c r="F103" s="169">
        <f t="shared" si="42"/>
        <v>94</v>
      </c>
      <c r="G103" s="170">
        <f t="shared" si="42"/>
        <v>0</v>
      </c>
      <c r="H103" s="166"/>
      <c r="I103" s="271"/>
      <c r="J103" s="276"/>
      <c r="K103" s="191">
        <f t="shared" si="43"/>
        <v>94</v>
      </c>
      <c r="L103" s="190">
        <f t="shared" si="44"/>
        <v>0</v>
      </c>
      <c r="M103" s="277"/>
      <c r="N103" s="191">
        <f t="shared" si="45"/>
        <v>77.430000000000007</v>
      </c>
      <c r="O103" s="192">
        <f t="shared" si="45"/>
        <v>70</v>
      </c>
      <c r="P103" s="278"/>
      <c r="Q103" s="47"/>
      <c r="R103" s="47"/>
      <c r="S103" s="47"/>
      <c r="T103" s="47"/>
      <c r="U103" s="47"/>
      <c r="V103" s="47"/>
      <c r="W103" s="78"/>
      <c r="X103" s="78"/>
      <c r="Y103" s="78"/>
      <c r="Z103" s="78"/>
      <c r="AA103" s="78"/>
      <c r="AB103" s="78"/>
      <c r="AC103" s="78"/>
      <c r="AD103" s="78"/>
      <c r="AE103" s="78"/>
      <c r="AF103" s="78"/>
      <c r="AG103" s="78"/>
      <c r="AH103" s="78"/>
      <c r="AI103" s="78"/>
      <c r="AJ103" s="78"/>
      <c r="AK103" s="78"/>
      <c r="AL103" s="78"/>
      <c r="AM103" s="78"/>
      <c r="AN103" s="78"/>
    </row>
    <row r="104" spans="1:40" x14ac:dyDescent="0.2">
      <c r="A104" s="269"/>
      <c r="B104" s="274"/>
      <c r="C104" s="167">
        <f>A327</f>
        <v>95</v>
      </c>
      <c r="D104" s="168">
        <f>B327</f>
        <v>0</v>
      </c>
      <c r="E104" s="296"/>
      <c r="F104" s="169">
        <f>O327</f>
        <v>95</v>
      </c>
      <c r="G104" s="170">
        <f>P327</f>
        <v>0</v>
      </c>
      <c r="H104" s="166"/>
      <c r="I104" s="271"/>
      <c r="J104" s="276"/>
      <c r="K104" s="191">
        <f t="shared" si="43"/>
        <v>95</v>
      </c>
      <c r="L104" s="190">
        <f t="shared" si="44"/>
        <v>0</v>
      </c>
      <c r="M104" s="277"/>
      <c r="N104" s="191">
        <f t="shared" si="45"/>
        <v>93.06</v>
      </c>
      <c r="O104" s="192">
        <f t="shared" si="45"/>
        <v>0</v>
      </c>
      <c r="P104" s="278"/>
      <c r="Q104" s="47"/>
      <c r="R104" s="47"/>
      <c r="S104" s="47"/>
      <c r="T104" s="47"/>
      <c r="U104" s="47"/>
      <c r="V104" s="47"/>
      <c r="W104" s="78"/>
      <c r="X104" s="78"/>
      <c r="Y104" s="78"/>
      <c r="Z104" s="78"/>
      <c r="AA104" s="78"/>
      <c r="AB104" s="78"/>
      <c r="AC104" s="78"/>
      <c r="AD104" s="78"/>
      <c r="AE104" s="78"/>
      <c r="AF104" s="78"/>
      <c r="AG104" s="78"/>
      <c r="AH104" s="78"/>
      <c r="AI104" s="78"/>
      <c r="AJ104" s="78"/>
      <c r="AK104" s="78"/>
      <c r="AL104" s="78"/>
      <c r="AM104" s="78"/>
      <c r="AN104" s="78"/>
    </row>
    <row r="105" spans="1:40" ht="13.5" thickBot="1" x14ac:dyDescent="0.25">
      <c r="A105" s="279"/>
      <c r="B105" s="280"/>
      <c r="C105" s="171">
        <f>A328</f>
        <v>100</v>
      </c>
      <c r="D105" s="172">
        <f>B328</f>
        <v>0</v>
      </c>
      <c r="E105" s="297"/>
      <c r="F105" s="173">
        <f>O328</f>
        <v>100</v>
      </c>
      <c r="G105" s="174">
        <f>P328</f>
        <v>0</v>
      </c>
      <c r="H105" s="175"/>
      <c r="I105" s="271"/>
      <c r="J105" s="276"/>
      <c r="K105" s="201">
        <f t="shared" si="43"/>
        <v>100</v>
      </c>
      <c r="L105" s="194">
        <f t="shared" si="44"/>
        <v>0</v>
      </c>
      <c r="M105" s="284"/>
      <c r="N105" s="201">
        <f t="shared" si="45"/>
        <v>100</v>
      </c>
      <c r="O105" s="202">
        <f t="shared" si="45"/>
        <v>0</v>
      </c>
      <c r="P105" s="293"/>
      <c r="Q105" s="47"/>
      <c r="R105" s="47"/>
      <c r="S105" s="47"/>
      <c r="T105" s="47"/>
      <c r="U105" s="47"/>
      <c r="V105" s="47"/>
      <c r="W105" s="78"/>
      <c r="X105" s="78"/>
      <c r="Y105" s="78"/>
      <c r="Z105" s="78"/>
      <c r="AA105" s="78"/>
      <c r="AB105" s="78"/>
      <c r="AC105" s="78"/>
      <c r="AD105" s="78"/>
      <c r="AE105" s="78"/>
      <c r="AF105" s="78"/>
      <c r="AG105" s="78"/>
      <c r="AH105" s="78"/>
      <c r="AI105" s="78"/>
      <c r="AJ105" s="78"/>
      <c r="AK105" s="78"/>
      <c r="AL105" s="78"/>
      <c r="AM105" s="78"/>
      <c r="AN105" s="78"/>
    </row>
    <row r="106" spans="1:40" x14ac:dyDescent="0.2">
      <c r="A106" s="285" t="s">
        <v>67</v>
      </c>
      <c r="B106" s="286" t="s">
        <v>66</v>
      </c>
      <c r="C106" s="180">
        <f>A345</f>
        <v>0</v>
      </c>
      <c r="D106" s="181">
        <f>B345</f>
        <v>0</v>
      </c>
      <c r="E106" s="287">
        <f>B342</f>
        <v>60</v>
      </c>
      <c r="F106" s="164">
        <f>O345</f>
        <v>0</v>
      </c>
      <c r="G106" s="165">
        <f>P345</f>
        <v>0</v>
      </c>
      <c r="H106" s="217">
        <f>P342</f>
        <v>60</v>
      </c>
      <c r="I106" s="288" t="s">
        <v>82</v>
      </c>
      <c r="J106" s="289" t="s">
        <v>66</v>
      </c>
      <c r="K106" s="189">
        <f>A634</f>
        <v>0</v>
      </c>
      <c r="L106" s="192">
        <f>B634</f>
        <v>0</v>
      </c>
      <c r="M106" s="290">
        <f>B631</f>
        <v>60</v>
      </c>
      <c r="N106" s="191">
        <f>O634</f>
        <v>0</v>
      </c>
      <c r="O106" s="192">
        <f>P634</f>
        <v>0</v>
      </c>
      <c r="P106" s="219">
        <f>P631</f>
        <v>60</v>
      </c>
      <c r="Q106" s="47"/>
      <c r="R106" s="47"/>
      <c r="S106" s="47"/>
      <c r="T106" s="47"/>
      <c r="U106" s="47"/>
      <c r="V106" s="47"/>
      <c r="W106" s="78"/>
      <c r="X106" s="78"/>
      <c r="Y106" s="78"/>
      <c r="Z106" s="78"/>
      <c r="AA106" s="78"/>
      <c r="AB106" s="78"/>
      <c r="AC106" s="78"/>
      <c r="AD106" s="78"/>
      <c r="AE106" s="78"/>
      <c r="AF106" s="78"/>
      <c r="AG106" s="78"/>
      <c r="AH106" s="78"/>
      <c r="AI106" s="78"/>
      <c r="AJ106" s="78"/>
      <c r="AK106" s="78"/>
      <c r="AL106" s="78"/>
      <c r="AM106" s="78"/>
      <c r="AN106" s="78"/>
    </row>
    <row r="107" spans="1:40" x14ac:dyDescent="0.2">
      <c r="A107" s="269"/>
      <c r="B107" s="274"/>
      <c r="C107" s="162">
        <f t="shared" ref="C107:C113" si="46">A346</f>
        <v>7.89</v>
      </c>
      <c r="D107" s="163">
        <f t="shared" ref="D107:D113" si="47">B346</f>
        <v>0</v>
      </c>
      <c r="E107" s="275"/>
      <c r="F107" s="164">
        <f t="shared" ref="F107:F113" si="48">O346</f>
        <v>10</v>
      </c>
      <c r="G107" s="165">
        <f t="shared" ref="G107:G113" si="49">P346</f>
        <v>0</v>
      </c>
      <c r="H107" s="166"/>
      <c r="I107" s="271"/>
      <c r="J107" s="276"/>
      <c r="K107" s="206">
        <f t="shared" ref="K107:K113" si="50">A635</f>
        <v>7.89</v>
      </c>
      <c r="L107" s="207">
        <f t="shared" ref="L107:L113" si="51">B635</f>
        <v>0</v>
      </c>
      <c r="M107" s="291"/>
      <c r="N107" s="208">
        <f t="shared" ref="N107:O113" si="52">O635</f>
        <v>10</v>
      </c>
      <c r="O107" s="207">
        <f t="shared" si="52"/>
        <v>0</v>
      </c>
      <c r="P107" s="278"/>
      <c r="Q107" s="47"/>
      <c r="R107" s="47"/>
      <c r="S107" s="47"/>
      <c r="T107" s="47"/>
      <c r="U107" s="47"/>
      <c r="V107" s="47"/>
      <c r="W107" s="78"/>
      <c r="X107" s="78"/>
      <c r="Y107" s="78"/>
      <c r="Z107" s="78"/>
      <c r="AA107" s="78"/>
      <c r="AB107" s="78"/>
      <c r="AC107" s="78"/>
      <c r="AD107" s="78"/>
      <c r="AE107" s="78"/>
      <c r="AF107" s="78"/>
      <c r="AG107" s="78"/>
      <c r="AH107" s="78"/>
      <c r="AI107" s="78"/>
      <c r="AJ107" s="78"/>
      <c r="AK107" s="78"/>
      <c r="AL107" s="78"/>
      <c r="AM107" s="78"/>
      <c r="AN107" s="78"/>
    </row>
    <row r="108" spans="1:40" x14ac:dyDescent="0.2">
      <c r="A108" s="269"/>
      <c r="B108" s="274"/>
      <c r="C108" s="162">
        <f t="shared" si="46"/>
        <v>20</v>
      </c>
      <c r="D108" s="163">
        <f t="shared" si="47"/>
        <v>0</v>
      </c>
      <c r="E108" s="275"/>
      <c r="F108" s="164">
        <f t="shared" si="48"/>
        <v>20</v>
      </c>
      <c r="G108" s="165">
        <f t="shared" si="49"/>
        <v>0</v>
      </c>
      <c r="H108" s="166"/>
      <c r="I108" s="271"/>
      <c r="J108" s="276"/>
      <c r="K108" s="206">
        <f t="shared" si="50"/>
        <v>20</v>
      </c>
      <c r="L108" s="207">
        <f t="shared" si="51"/>
        <v>0</v>
      </c>
      <c r="M108" s="291"/>
      <c r="N108" s="208">
        <f t="shared" si="52"/>
        <v>20</v>
      </c>
      <c r="O108" s="207">
        <f t="shared" si="52"/>
        <v>0</v>
      </c>
      <c r="P108" s="278"/>
      <c r="Q108" s="47"/>
      <c r="R108" s="47"/>
      <c r="S108" s="47"/>
      <c r="T108" s="47"/>
      <c r="U108" s="47"/>
      <c r="V108" s="47"/>
      <c r="W108" s="78"/>
      <c r="X108" s="78"/>
      <c r="Y108" s="78"/>
      <c r="Z108" s="78"/>
      <c r="AA108" s="78"/>
      <c r="AB108" s="78"/>
      <c r="AC108" s="78"/>
      <c r="AD108" s="78"/>
      <c r="AE108" s="78"/>
      <c r="AF108" s="78"/>
      <c r="AG108" s="78"/>
      <c r="AH108" s="78"/>
      <c r="AI108" s="78"/>
      <c r="AJ108" s="78"/>
      <c r="AK108" s="78"/>
      <c r="AL108" s="78"/>
      <c r="AM108" s="78"/>
      <c r="AN108" s="78"/>
    </row>
    <row r="109" spans="1:40" x14ac:dyDescent="0.2">
      <c r="A109" s="269"/>
      <c r="B109" s="274"/>
      <c r="C109" s="162">
        <f t="shared" si="46"/>
        <v>55.26</v>
      </c>
      <c r="D109" s="163">
        <f t="shared" si="47"/>
        <v>0</v>
      </c>
      <c r="E109" s="275"/>
      <c r="F109" s="164">
        <f t="shared" si="48"/>
        <v>30</v>
      </c>
      <c r="G109" s="165">
        <f t="shared" si="49"/>
        <v>0</v>
      </c>
      <c r="H109" s="166"/>
      <c r="I109" s="271"/>
      <c r="J109" s="276"/>
      <c r="K109" s="206">
        <f t="shared" si="50"/>
        <v>55.26</v>
      </c>
      <c r="L109" s="207">
        <f t="shared" si="51"/>
        <v>0</v>
      </c>
      <c r="M109" s="291"/>
      <c r="N109" s="208">
        <f t="shared" si="52"/>
        <v>30</v>
      </c>
      <c r="O109" s="209">
        <f t="shared" si="52"/>
        <v>0</v>
      </c>
      <c r="P109" s="278"/>
      <c r="Q109" s="47"/>
      <c r="R109" s="47"/>
      <c r="S109" s="47"/>
      <c r="T109" s="47"/>
      <c r="U109" s="47"/>
      <c r="V109" s="47"/>
      <c r="W109" s="78"/>
      <c r="X109" s="78"/>
      <c r="Y109" s="78"/>
      <c r="Z109" s="78"/>
      <c r="AA109" s="78"/>
      <c r="AB109" s="78"/>
      <c r="AC109" s="78"/>
      <c r="AD109" s="78"/>
      <c r="AE109" s="78"/>
      <c r="AF109" s="78"/>
      <c r="AG109" s="78"/>
      <c r="AH109" s="78"/>
      <c r="AI109" s="78"/>
      <c r="AJ109" s="78"/>
      <c r="AK109" s="78"/>
      <c r="AL109" s="78"/>
      <c r="AM109" s="78"/>
      <c r="AN109" s="78"/>
    </row>
    <row r="110" spans="1:40" x14ac:dyDescent="0.2">
      <c r="A110" s="269"/>
      <c r="B110" s="274"/>
      <c r="C110" s="162">
        <f t="shared" si="46"/>
        <v>60</v>
      </c>
      <c r="D110" s="163">
        <f t="shared" si="47"/>
        <v>0</v>
      </c>
      <c r="E110" s="275"/>
      <c r="F110" s="164">
        <f t="shared" si="48"/>
        <v>40</v>
      </c>
      <c r="G110" s="165">
        <f t="shared" si="49"/>
        <v>0</v>
      </c>
      <c r="H110" s="166"/>
      <c r="I110" s="271"/>
      <c r="J110" s="276"/>
      <c r="K110" s="206">
        <f t="shared" si="50"/>
        <v>60</v>
      </c>
      <c r="L110" s="207">
        <f t="shared" si="51"/>
        <v>0</v>
      </c>
      <c r="M110" s="291"/>
      <c r="N110" s="208">
        <f t="shared" si="52"/>
        <v>40</v>
      </c>
      <c r="O110" s="207">
        <f t="shared" si="52"/>
        <v>0</v>
      </c>
      <c r="P110" s="278"/>
      <c r="Q110" s="47"/>
      <c r="R110" s="47"/>
      <c r="S110" s="47"/>
      <c r="T110" s="47"/>
      <c r="U110" s="47"/>
      <c r="V110" s="47"/>
      <c r="W110" s="78"/>
      <c r="X110" s="78"/>
      <c r="Y110" s="78"/>
      <c r="Z110" s="78"/>
      <c r="AA110" s="78"/>
      <c r="AB110" s="78"/>
      <c r="AC110" s="78"/>
      <c r="AD110" s="78"/>
      <c r="AE110" s="78"/>
      <c r="AF110" s="78"/>
      <c r="AG110" s="78"/>
      <c r="AH110" s="78"/>
      <c r="AI110" s="78"/>
      <c r="AJ110" s="78"/>
      <c r="AK110" s="78"/>
      <c r="AL110" s="78"/>
      <c r="AM110" s="78"/>
      <c r="AN110" s="78"/>
    </row>
    <row r="111" spans="1:40" x14ac:dyDescent="0.2">
      <c r="A111" s="269"/>
      <c r="B111" s="274"/>
      <c r="C111" s="162">
        <f t="shared" si="46"/>
        <v>65</v>
      </c>
      <c r="D111" s="163">
        <f t="shared" si="47"/>
        <v>0</v>
      </c>
      <c r="E111" s="275"/>
      <c r="F111" s="164">
        <f t="shared" si="48"/>
        <v>50</v>
      </c>
      <c r="G111" s="165">
        <f t="shared" si="49"/>
        <v>0</v>
      </c>
      <c r="H111" s="166"/>
      <c r="I111" s="271"/>
      <c r="J111" s="276"/>
      <c r="K111" s="206">
        <f t="shared" si="50"/>
        <v>65</v>
      </c>
      <c r="L111" s="207">
        <f t="shared" si="51"/>
        <v>0</v>
      </c>
      <c r="M111" s="291"/>
      <c r="N111" s="208">
        <f t="shared" si="52"/>
        <v>50</v>
      </c>
      <c r="O111" s="207">
        <f t="shared" si="52"/>
        <v>0</v>
      </c>
      <c r="P111" s="278"/>
      <c r="Q111" s="47"/>
      <c r="R111" s="47"/>
      <c r="S111" s="47"/>
      <c r="T111" s="47"/>
      <c r="U111" s="47"/>
      <c r="V111" s="47"/>
      <c r="W111" s="78"/>
      <c r="X111" s="78"/>
      <c r="Y111" s="78"/>
      <c r="Z111" s="78"/>
      <c r="AA111" s="78"/>
      <c r="AB111" s="78"/>
      <c r="AC111" s="78"/>
      <c r="AD111" s="78"/>
      <c r="AE111" s="78"/>
      <c r="AF111" s="78"/>
      <c r="AG111" s="78"/>
      <c r="AH111" s="78"/>
      <c r="AI111" s="78"/>
      <c r="AJ111" s="78"/>
      <c r="AK111" s="78"/>
      <c r="AL111" s="78"/>
      <c r="AM111" s="78"/>
      <c r="AN111" s="78"/>
    </row>
    <row r="112" spans="1:40" x14ac:dyDescent="0.2">
      <c r="A112" s="298"/>
      <c r="B112" s="299"/>
      <c r="C112" s="162">
        <f t="shared" si="46"/>
        <v>71.05</v>
      </c>
      <c r="D112" s="163">
        <f t="shared" si="47"/>
        <v>0</v>
      </c>
      <c r="E112" s="275"/>
      <c r="F112" s="164">
        <f t="shared" si="48"/>
        <v>66.7</v>
      </c>
      <c r="G112" s="165">
        <f t="shared" si="49"/>
        <v>0</v>
      </c>
      <c r="H112" s="166"/>
      <c r="I112" s="271"/>
      <c r="J112" s="276"/>
      <c r="K112" s="206">
        <f t="shared" si="50"/>
        <v>71.05</v>
      </c>
      <c r="L112" s="207">
        <f t="shared" si="51"/>
        <v>0</v>
      </c>
      <c r="M112" s="291"/>
      <c r="N112" s="208">
        <f t="shared" si="52"/>
        <v>66.7</v>
      </c>
      <c r="O112" s="210">
        <f t="shared" si="52"/>
        <v>0</v>
      </c>
      <c r="P112" s="300"/>
      <c r="Q112" s="47"/>
      <c r="R112" s="47"/>
      <c r="S112" s="47"/>
      <c r="T112" s="47"/>
      <c r="U112" s="47"/>
      <c r="V112" s="47"/>
      <c r="W112" s="78"/>
      <c r="X112" s="78"/>
      <c r="Y112" s="78"/>
      <c r="Z112" s="78"/>
      <c r="AA112" s="78"/>
      <c r="AB112" s="78"/>
      <c r="AC112" s="78"/>
      <c r="AD112" s="78"/>
      <c r="AE112" s="78"/>
      <c r="AF112" s="78"/>
      <c r="AG112" s="78"/>
      <c r="AH112" s="78"/>
      <c r="AI112" s="78"/>
      <c r="AJ112" s="78"/>
      <c r="AK112" s="78"/>
      <c r="AL112" s="78"/>
      <c r="AM112" s="78"/>
      <c r="AN112" s="78"/>
    </row>
    <row r="113" spans="1:40" ht="13.5" thickBot="1" x14ac:dyDescent="0.25">
      <c r="A113" s="301"/>
      <c r="B113" s="302"/>
      <c r="C113" s="182">
        <f t="shared" si="46"/>
        <v>100</v>
      </c>
      <c r="D113" s="183">
        <f t="shared" si="47"/>
        <v>0</v>
      </c>
      <c r="E113" s="281"/>
      <c r="F113" s="184">
        <f t="shared" si="48"/>
        <v>100</v>
      </c>
      <c r="G113" s="185">
        <f t="shared" si="49"/>
        <v>0</v>
      </c>
      <c r="H113" s="166"/>
      <c r="I113" s="271"/>
      <c r="J113" s="276"/>
      <c r="K113" s="211">
        <f t="shared" si="50"/>
        <v>100</v>
      </c>
      <c r="L113" s="212">
        <f t="shared" si="51"/>
        <v>0</v>
      </c>
      <c r="M113" s="292"/>
      <c r="N113" s="214">
        <f t="shared" si="52"/>
        <v>100</v>
      </c>
      <c r="O113" s="221">
        <f t="shared" si="52"/>
        <v>0</v>
      </c>
      <c r="P113" s="300"/>
      <c r="Q113" s="47"/>
      <c r="R113" s="47"/>
      <c r="S113" s="47"/>
      <c r="T113" s="47"/>
      <c r="U113" s="47"/>
      <c r="V113" s="47"/>
      <c r="W113" s="78"/>
      <c r="X113" s="78"/>
      <c r="Y113" s="78"/>
      <c r="Z113" s="78"/>
      <c r="AA113" s="78"/>
      <c r="AB113" s="78"/>
      <c r="AC113" s="78"/>
      <c r="AD113" s="78"/>
      <c r="AE113" s="78"/>
      <c r="AF113" s="78"/>
      <c r="AG113" s="78"/>
      <c r="AH113" s="78"/>
      <c r="AI113" s="78"/>
      <c r="AJ113" s="78"/>
      <c r="AK113" s="78"/>
      <c r="AL113" s="78"/>
      <c r="AM113" s="78"/>
      <c r="AN113" s="78"/>
    </row>
    <row r="114" spans="1:40" x14ac:dyDescent="0.2">
      <c r="A114" s="303" t="s">
        <v>68</v>
      </c>
      <c r="B114" s="286" t="s">
        <v>66</v>
      </c>
      <c r="C114" s="180">
        <f>A369</f>
        <v>0</v>
      </c>
      <c r="D114" s="181">
        <f>B369</f>
        <v>0</v>
      </c>
      <c r="E114" s="294">
        <f>B366</f>
        <v>60</v>
      </c>
      <c r="F114" s="176">
        <f>O369</f>
        <v>0</v>
      </c>
      <c r="G114" s="177">
        <f>P369</f>
        <v>0</v>
      </c>
      <c r="H114" s="218">
        <f>P366</f>
        <v>60</v>
      </c>
      <c r="I114" s="288" t="s">
        <v>86</v>
      </c>
      <c r="J114" s="289" t="s">
        <v>66</v>
      </c>
      <c r="K114" s="197">
        <f>A658</f>
        <v>0</v>
      </c>
      <c r="L114" s="198">
        <f>B658</f>
        <v>0</v>
      </c>
      <c r="M114" s="304">
        <f>B655</f>
        <v>60</v>
      </c>
      <c r="N114" s="199">
        <f>O658</f>
        <v>0</v>
      </c>
      <c r="O114" s="213">
        <f>P658</f>
        <v>0</v>
      </c>
      <c r="P114" s="222">
        <f>P655</f>
        <v>60</v>
      </c>
      <c r="Q114" s="47"/>
      <c r="R114" s="47"/>
      <c r="S114" s="47"/>
      <c r="T114" s="47"/>
      <c r="U114" s="47"/>
      <c r="V114" s="47"/>
      <c r="W114" s="78"/>
      <c r="X114" s="78"/>
      <c r="Y114" s="78"/>
      <c r="Z114" s="78"/>
      <c r="AA114" s="78"/>
      <c r="AB114" s="78"/>
      <c r="AC114" s="78"/>
      <c r="AD114" s="78"/>
      <c r="AE114" s="78"/>
      <c r="AF114" s="78"/>
      <c r="AG114" s="78"/>
      <c r="AH114" s="78"/>
      <c r="AI114" s="78"/>
      <c r="AJ114" s="78"/>
      <c r="AK114" s="78"/>
      <c r="AL114" s="78"/>
      <c r="AM114" s="78"/>
      <c r="AN114" s="78"/>
    </row>
    <row r="115" spans="1:40" x14ac:dyDescent="0.2">
      <c r="A115" s="298"/>
      <c r="B115" s="299"/>
      <c r="C115" s="162">
        <f t="shared" ref="C115:C121" si="53">A370</f>
        <v>7.89</v>
      </c>
      <c r="D115" s="163">
        <f t="shared" ref="D115:D121" si="54">B370</f>
        <v>0</v>
      </c>
      <c r="E115" s="296"/>
      <c r="F115" s="164">
        <f t="shared" ref="F115:F121" si="55">O370</f>
        <v>10</v>
      </c>
      <c r="G115" s="165">
        <f t="shared" ref="G115:G121" si="56">P370</f>
        <v>0</v>
      </c>
      <c r="H115" s="166"/>
      <c r="I115" s="271"/>
      <c r="J115" s="276"/>
      <c r="K115" s="189">
        <f t="shared" ref="K115:K121" si="57">A659</f>
        <v>7.89</v>
      </c>
      <c r="L115" s="190">
        <f t="shared" ref="L115:L121" si="58">B659</f>
        <v>0</v>
      </c>
      <c r="M115" s="305"/>
      <c r="N115" s="191">
        <f t="shared" ref="N115:O121" si="59">O659</f>
        <v>10</v>
      </c>
      <c r="O115" s="204">
        <f t="shared" si="59"/>
        <v>0</v>
      </c>
      <c r="P115" s="300"/>
      <c r="Q115" s="47"/>
      <c r="R115" s="47"/>
      <c r="S115" s="47"/>
      <c r="T115" s="47"/>
      <c r="U115" s="47"/>
      <c r="V115" s="47"/>
      <c r="W115" s="78"/>
      <c r="X115" s="78"/>
      <c r="Y115" s="78"/>
      <c r="Z115" s="78"/>
      <c r="AA115" s="78"/>
      <c r="AB115" s="78"/>
      <c r="AC115" s="78"/>
      <c r="AD115" s="78"/>
      <c r="AE115" s="78"/>
      <c r="AF115" s="78"/>
      <c r="AG115" s="78"/>
      <c r="AH115" s="78"/>
      <c r="AI115" s="78"/>
      <c r="AJ115" s="78"/>
      <c r="AK115" s="78"/>
      <c r="AL115" s="78"/>
      <c r="AM115" s="78"/>
      <c r="AN115" s="78"/>
    </row>
    <row r="116" spans="1:40" x14ac:dyDescent="0.2">
      <c r="A116" s="298"/>
      <c r="B116" s="299"/>
      <c r="C116" s="162">
        <f t="shared" si="53"/>
        <v>20</v>
      </c>
      <c r="D116" s="163">
        <f t="shared" si="54"/>
        <v>0</v>
      </c>
      <c r="E116" s="296"/>
      <c r="F116" s="164">
        <f t="shared" si="55"/>
        <v>20</v>
      </c>
      <c r="G116" s="165">
        <f t="shared" si="56"/>
        <v>0</v>
      </c>
      <c r="H116" s="166"/>
      <c r="I116" s="271"/>
      <c r="J116" s="276"/>
      <c r="K116" s="189">
        <f t="shared" si="57"/>
        <v>20</v>
      </c>
      <c r="L116" s="190">
        <f t="shared" si="58"/>
        <v>0</v>
      </c>
      <c r="M116" s="305"/>
      <c r="N116" s="191">
        <f t="shared" si="59"/>
        <v>20</v>
      </c>
      <c r="O116" s="204">
        <f t="shared" si="59"/>
        <v>0</v>
      </c>
      <c r="P116" s="300"/>
      <c r="Q116" s="47"/>
      <c r="R116" s="47"/>
      <c r="S116" s="47"/>
      <c r="T116" s="47"/>
      <c r="U116" s="47"/>
      <c r="V116" s="47"/>
      <c r="W116" s="78"/>
      <c r="X116" s="78"/>
      <c r="Y116" s="78"/>
      <c r="Z116" s="78"/>
      <c r="AA116" s="78"/>
      <c r="AB116" s="78"/>
      <c r="AC116" s="78"/>
      <c r="AD116" s="78"/>
      <c r="AE116" s="78"/>
      <c r="AF116" s="78"/>
      <c r="AG116" s="78"/>
      <c r="AH116" s="78"/>
      <c r="AI116" s="78"/>
      <c r="AJ116" s="78"/>
      <c r="AK116" s="78"/>
      <c r="AL116" s="78"/>
      <c r="AM116" s="78"/>
      <c r="AN116" s="78"/>
    </row>
    <row r="117" spans="1:40" x14ac:dyDescent="0.2">
      <c r="A117" s="298"/>
      <c r="B117" s="299"/>
      <c r="C117" s="162">
        <f t="shared" si="53"/>
        <v>55.26</v>
      </c>
      <c r="D117" s="163">
        <f t="shared" si="54"/>
        <v>0</v>
      </c>
      <c r="E117" s="296"/>
      <c r="F117" s="164">
        <f t="shared" si="55"/>
        <v>30</v>
      </c>
      <c r="G117" s="165">
        <f t="shared" si="56"/>
        <v>0</v>
      </c>
      <c r="H117" s="166"/>
      <c r="I117" s="271"/>
      <c r="J117" s="276"/>
      <c r="K117" s="189">
        <f t="shared" si="57"/>
        <v>55.26</v>
      </c>
      <c r="L117" s="190">
        <f t="shared" si="58"/>
        <v>0</v>
      </c>
      <c r="M117" s="305"/>
      <c r="N117" s="191">
        <f t="shared" si="59"/>
        <v>30</v>
      </c>
      <c r="O117" s="204">
        <f t="shared" si="59"/>
        <v>0</v>
      </c>
      <c r="P117" s="300"/>
      <c r="Q117" s="47"/>
      <c r="R117" s="47"/>
      <c r="S117" s="47"/>
      <c r="T117" s="47"/>
      <c r="U117" s="47"/>
      <c r="V117" s="47"/>
      <c r="W117" s="78"/>
      <c r="X117" s="78"/>
      <c r="Y117" s="78"/>
      <c r="Z117" s="78"/>
      <c r="AA117" s="78"/>
      <c r="AB117" s="78"/>
      <c r="AC117" s="78"/>
      <c r="AD117" s="78"/>
      <c r="AE117" s="78"/>
      <c r="AF117" s="78"/>
      <c r="AG117" s="78"/>
      <c r="AH117" s="78"/>
      <c r="AI117" s="78"/>
      <c r="AJ117" s="78"/>
      <c r="AK117" s="78"/>
      <c r="AL117" s="78"/>
      <c r="AM117" s="78"/>
      <c r="AN117" s="78"/>
    </row>
    <row r="118" spans="1:40" x14ac:dyDescent="0.2">
      <c r="A118" s="269"/>
      <c r="B118" s="274"/>
      <c r="C118" s="162">
        <f t="shared" si="53"/>
        <v>60</v>
      </c>
      <c r="D118" s="163">
        <f t="shared" si="54"/>
        <v>0</v>
      </c>
      <c r="E118" s="296"/>
      <c r="F118" s="164">
        <f t="shared" si="55"/>
        <v>40</v>
      </c>
      <c r="G118" s="165">
        <f t="shared" si="56"/>
        <v>0</v>
      </c>
      <c r="H118" s="166"/>
      <c r="I118" s="271"/>
      <c r="J118" s="276"/>
      <c r="K118" s="189">
        <f t="shared" si="57"/>
        <v>60</v>
      </c>
      <c r="L118" s="190">
        <f t="shared" si="58"/>
        <v>0</v>
      </c>
      <c r="M118" s="305"/>
      <c r="N118" s="191">
        <f t="shared" si="59"/>
        <v>40</v>
      </c>
      <c r="O118" s="192">
        <f t="shared" si="59"/>
        <v>0</v>
      </c>
      <c r="P118" s="278"/>
      <c r="Q118" s="47"/>
      <c r="R118" s="47"/>
      <c r="S118" s="47"/>
      <c r="T118" s="47"/>
      <c r="U118" s="47"/>
      <c r="V118" s="47"/>
      <c r="W118" s="78"/>
      <c r="X118" s="78"/>
      <c r="Y118" s="78"/>
      <c r="Z118" s="78"/>
      <c r="AA118" s="78"/>
      <c r="AB118" s="78"/>
      <c r="AC118" s="78"/>
      <c r="AD118" s="78"/>
      <c r="AE118" s="78"/>
      <c r="AF118" s="78"/>
      <c r="AG118" s="78"/>
      <c r="AH118" s="78"/>
      <c r="AI118" s="78"/>
      <c r="AJ118" s="78"/>
      <c r="AK118" s="78"/>
      <c r="AL118" s="78"/>
      <c r="AM118" s="78"/>
      <c r="AN118" s="78"/>
    </row>
    <row r="119" spans="1:40" x14ac:dyDescent="0.2">
      <c r="A119" s="269"/>
      <c r="B119" s="274"/>
      <c r="C119" s="162">
        <f t="shared" si="53"/>
        <v>65</v>
      </c>
      <c r="D119" s="163">
        <f t="shared" si="54"/>
        <v>0</v>
      </c>
      <c r="E119" s="296"/>
      <c r="F119" s="164">
        <f t="shared" si="55"/>
        <v>50</v>
      </c>
      <c r="G119" s="165">
        <f t="shared" si="56"/>
        <v>0</v>
      </c>
      <c r="H119" s="166"/>
      <c r="I119" s="271"/>
      <c r="J119" s="276"/>
      <c r="K119" s="189">
        <f t="shared" si="57"/>
        <v>65</v>
      </c>
      <c r="L119" s="190">
        <f t="shared" si="58"/>
        <v>0</v>
      </c>
      <c r="M119" s="305"/>
      <c r="N119" s="191">
        <f t="shared" si="59"/>
        <v>50</v>
      </c>
      <c r="O119" s="192">
        <f t="shared" si="59"/>
        <v>0</v>
      </c>
      <c r="P119" s="278"/>
      <c r="Q119" s="47"/>
      <c r="R119" s="47"/>
      <c r="S119" s="47"/>
      <c r="T119" s="47"/>
      <c r="U119" s="47"/>
      <c r="V119" s="47"/>
      <c r="W119" s="78"/>
      <c r="X119" s="78"/>
      <c r="Y119" s="78"/>
      <c r="Z119" s="78"/>
      <c r="AA119" s="78"/>
      <c r="AB119" s="78"/>
      <c r="AC119" s="78"/>
      <c r="AD119" s="78"/>
      <c r="AE119" s="78"/>
      <c r="AF119" s="78"/>
      <c r="AG119" s="78"/>
      <c r="AH119" s="78"/>
      <c r="AI119" s="78"/>
      <c r="AJ119" s="78"/>
      <c r="AK119" s="78"/>
      <c r="AL119" s="78"/>
      <c r="AM119" s="78"/>
      <c r="AN119" s="78"/>
    </row>
    <row r="120" spans="1:40" x14ac:dyDescent="0.2">
      <c r="A120" s="269"/>
      <c r="B120" s="274"/>
      <c r="C120" s="162">
        <f t="shared" si="53"/>
        <v>71.05</v>
      </c>
      <c r="D120" s="163">
        <f t="shared" si="54"/>
        <v>0</v>
      </c>
      <c r="E120" s="296"/>
      <c r="F120" s="164">
        <f t="shared" si="55"/>
        <v>66.7</v>
      </c>
      <c r="G120" s="165">
        <f t="shared" si="56"/>
        <v>0</v>
      </c>
      <c r="H120" s="166"/>
      <c r="I120" s="271"/>
      <c r="J120" s="276"/>
      <c r="K120" s="189">
        <f t="shared" si="57"/>
        <v>71.05</v>
      </c>
      <c r="L120" s="190">
        <f t="shared" si="58"/>
        <v>0</v>
      </c>
      <c r="M120" s="305"/>
      <c r="N120" s="191">
        <f t="shared" si="59"/>
        <v>66.7</v>
      </c>
      <c r="O120" s="192">
        <f t="shared" si="59"/>
        <v>0</v>
      </c>
      <c r="P120" s="278"/>
      <c r="Q120" s="47"/>
      <c r="R120" s="47"/>
      <c r="S120" s="47"/>
      <c r="T120" s="47"/>
      <c r="U120" s="47"/>
      <c r="V120" s="47"/>
      <c r="W120" s="78"/>
      <c r="X120" s="78"/>
      <c r="Y120" s="78"/>
      <c r="Z120" s="78"/>
      <c r="AA120" s="78"/>
      <c r="AB120" s="78"/>
      <c r="AC120" s="78"/>
      <c r="AD120" s="78"/>
      <c r="AE120" s="78"/>
      <c r="AF120" s="78"/>
      <c r="AG120" s="78"/>
      <c r="AH120" s="78"/>
      <c r="AI120" s="78"/>
      <c r="AJ120" s="78"/>
      <c r="AK120" s="78"/>
      <c r="AL120" s="78"/>
      <c r="AM120" s="78"/>
      <c r="AN120" s="78"/>
    </row>
    <row r="121" spans="1:40" ht="13.5" thickBot="1" x14ac:dyDescent="0.25">
      <c r="A121" s="279"/>
      <c r="B121" s="280"/>
      <c r="C121" s="182">
        <f t="shared" si="53"/>
        <v>100</v>
      </c>
      <c r="D121" s="183">
        <f t="shared" si="54"/>
        <v>0</v>
      </c>
      <c r="E121" s="297"/>
      <c r="F121" s="186">
        <f t="shared" si="55"/>
        <v>100</v>
      </c>
      <c r="G121" s="187">
        <f t="shared" si="56"/>
        <v>0</v>
      </c>
      <c r="H121" s="175"/>
      <c r="I121" s="282"/>
      <c r="J121" s="283"/>
      <c r="K121" s="193">
        <f t="shared" si="57"/>
        <v>100</v>
      </c>
      <c r="L121" s="194">
        <f t="shared" si="58"/>
        <v>0</v>
      </c>
      <c r="M121" s="306"/>
      <c r="N121" s="201">
        <f t="shared" si="59"/>
        <v>100</v>
      </c>
      <c r="O121" s="202">
        <f t="shared" si="59"/>
        <v>0</v>
      </c>
      <c r="P121" s="293"/>
      <c r="Q121" s="47"/>
      <c r="R121" s="47"/>
      <c r="S121" s="47"/>
      <c r="T121" s="47"/>
      <c r="U121" s="47"/>
      <c r="V121" s="47"/>
      <c r="W121" s="78"/>
      <c r="X121" s="78"/>
      <c r="Y121" s="78"/>
      <c r="Z121" s="78"/>
      <c r="AA121" s="78"/>
      <c r="AB121" s="78"/>
      <c r="AC121" s="78"/>
      <c r="AD121" s="78"/>
      <c r="AE121" s="78"/>
      <c r="AF121" s="78"/>
      <c r="AG121" s="78"/>
      <c r="AH121" s="78"/>
      <c r="AI121" s="78"/>
      <c r="AJ121" s="78"/>
      <c r="AK121" s="78"/>
      <c r="AL121" s="78"/>
      <c r="AM121" s="78"/>
      <c r="AN121" s="78"/>
    </row>
    <row r="122" spans="1:40" x14ac:dyDescent="0.2">
      <c r="A122" s="285" t="s">
        <v>71</v>
      </c>
      <c r="B122" s="286" t="s">
        <v>66</v>
      </c>
      <c r="C122" s="180">
        <f>A393</f>
        <v>0</v>
      </c>
      <c r="D122" s="181">
        <f>B393</f>
        <v>0</v>
      </c>
      <c r="E122" s="287">
        <f>B390</f>
        <v>60</v>
      </c>
      <c r="F122" s="164">
        <f>O393</f>
        <v>0</v>
      </c>
      <c r="G122" s="165">
        <f>P393</f>
        <v>0</v>
      </c>
      <c r="H122" s="217">
        <f>P390</f>
        <v>60</v>
      </c>
      <c r="I122" s="271" t="s">
        <v>87</v>
      </c>
      <c r="J122" s="272" t="s">
        <v>66</v>
      </c>
      <c r="K122" s="189">
        <f>A682</f>
        <v>0</v>
      </c>
      <c r="L122" s="192">
        <f>B682</f>
        <v>0</v>
      </c>
      <c r="M122" s="290">
        <f>B679</f>
        <v>60</v>
      </c>
      <c r="N122" s="191">
        <f>O682</f>
        <v>0</v>
      </c>
      <c r="O122" s="192">
        <f>P682</f>
        <v>0</v>
      </c>
      <c r="P122" s="219">
        <f>P679</f>
        <v>60</v>
      </c>
      <c r="Q122" s="47"/>
      <c r="R122" s="47"/>
      <c r="S122" s="47"/>
      <c r="T122" s="47"/>
      <c r="U122" s="47"/>
      <c r="V122" s="47"/>
      <c r="W122" s="78"/>
      <c r="X122" s="78"/>
      <c r="Y122" s="78"/>
      <c r="Z122" s="78"/>
      <c r="AA122" s="78"/>
      <c r="AB122" s="78"/>
      <c r="AC122" s="78"/>
      <c r="AD122" s="78"/>
      <c r="AE122" s="78"/>
      <c r="AF122" s="78"/>
      <c r="AG122" s="78"/>
      <c r="AH122" s="78"/>
      <c r="AI122" s="78"/>
      <c r="AJ122" s="78"/>
      <c r="AK122" s="78"/>
      <c r="AL122" s="78"/>
      <c r="AM122" s="78"/>
      <c r="AN122" s="78"/>
    </row>
    <row r="123" spans="1:40" x14ac:dyDescent="0.2">
      <c r="A123" s="269"/>
      <c r="B123" s="274"/>
      <c r="C123" s="162">
        <f t="shared" ref="C123:C129" si="60">A394</f>
        <v>7.89</v>
      </c>
      <c r="D123" s="163">
        <f t="shared" ref="D123:D129" si="61">B394</f>
        <v>0</v>
      </c>
      <c r="E123" s="275"/>
      <c r="F123" s="164">
        <f t="shared" ref="F123:F129" si="62">O394</f>
        <v>10</v>
      </c>
      <c r="G123" s="165">
        <f t="shared" ref="G123:G129" si="63">P394</f>
        <v>0</v>
      </c>
      <c r="H123" s="166"/>
      <c r="I123" s="271"/>
      <c r="J123" s="276"/>
      <c r="K123" s="206">
        <f t="shared" ref="K123:K129" si="64">A683</f>
        <v>7.89</v>
      </c>
      <c r="L123" s="207">
        <f t="shared" ref="L123:L129" si="65">B683</f>
        <v>0</v>
      </c>
      <c r="M123" s="291"/>
      <c r="N123" s="208">
        <f t="shared" ref="N123:O129" si="66">O683</f>
        <v>10</v>
      </c>
      <c r="O123" s="207">
        <f t="shared" si="66"/>
        <v>0</v>
      </c>
      <c r="P123" s="278"/>
      <c r="Q123" s="47"/>
      <c r="R123" s="47"/>
      <c r="S123" s="47"/>
      <c r="T123" s="47"/>
      <c r="U123" s="47"/>
      <c r="V123" s="47"/>
      <c r="W123" s="78"/>
      <c r="X123" s="78"/>
      <c r="Y123" s="78"/>
      <c r="Z123" s="78"/>
      <c r="AA123" s="78"/>
      <c r="AB123" s="78"/>
      <c r="AC123" s="78"/>
      <c r="AD123" s="78"/>
      <c r="AE123" s="78"/>
      <c r="AF123" s="78"/>
      <c r="AG123" s="78"/>
      <c r="AH123" s="78"/>
      <c r="AI123" s="78"/>
      <c r="AJ123" s="78"/>
      <c r="AK123" s="78"/>
      <c r="AL123" s="78"/>
      <c r="AM123" s="78"/>
      <c r="AN123" s="78"/>
    </row>
    <row r="124" spans="1:40" x14ac:dyDescent="0.2">
      <c r="A124" s="269"/>
      <c r="B124" s="274"/>
      <c r="C124" s="162">
        <f t="shared" si="60"/>
        <v>20</v>
      </c>
      <c r="D124" s="163">
        <f t="shared" si="61"/>
        <v>0</v>
      </c>
      <c r="E124" s="275"/>
      <c r="F124" s="164">
        <f t="shared" si="62"/>
        <v>20</v>
      </c>
      <c r="G124" s="165">
        <f t="shared" si="63"/>
        <v>0</v>
      </c>
      <c r="H124" s="166"/>
      <c r="I124" s="271"/>
      <c r="J124" s="276"/>
      <c r="K124" s="206">
        <f t="shared" si="64"/>
        <v>20</v>
      </c>
      <c r="L124" s="207">
        <f t="shared" si="65"/>
        <v>0</v>
      </c>
      <c r="M124" s="291"/>
      <c r="N124" s="208">
        <f t="shared" si="66"/>
        <v>20</v>
      </c>
      <c r="O124" s="207">
        <f t="shared" si="66"/>
        <v>0</v>
      </c>
      <c r="P124" s="278"/>
      <c r="Q124" s="47"/>
      <c r="R124" s="47"/>
      <c r="S124" s="47"/>
      <c r="T124" s="47"/>
      <c r="U124" s="47"/>
      <c r="V124" s="47"/>
      <c r="W124" s="78"/>
      <c r="X124" s="78"/>
      <c r="Y124" s="78"/>
      <c r="Z124" s="78"/>
      <c r="AA124" s="78"/>
      <c r="AB124" s="78"/>
      <c r="AC124" s="78"/>
      <c r="AD124" s="78"/>
      <c r="AE124" s="78"/>
      <c r="AF124" s="78"/>
      <c r="AG124" s="78"/>
      <c r="AH124" s="78"/>
      <c r="AI124" s="78"/>
      <c r="AJ124" s="78"/>
      <c r="AK124" s="78"/>
      <c r="AL124" s="78"/>
      <c r="AM124" s="78"/>
      <c r="AN124" s="78"/>
    </row>
    <row r="125" spans="1:40" x14ac:dyDescent="0.2">
      <c r="A125" s="269"/>
      <c r="B125" s="274"/>
      <c r="C125" s="162">
        <f t="shared" si="60"/>
        <v>55.26</v>
      </c>
      <c r="D125" s="163">
        <f t="shared" si="61"/>
        <v>0</v>
      </c>
      <c r="E125" s="275"/>
      <c r="F125" s="164">
        <f t="shared" si="62"/>
        <v>30</v>
      </c>
      <c r="G125" s="165">
        <f t="shared" si="63"/>
        <v>0</v>
      </c>
      <c r="H125" s="166"/>
      <c r="I125" s="271"/>
      <c r="J125" s="276"/>
      <c r="K125" s="206">
        <f t="shared" si="64"/>
        <v>55.26</v>
      </c>
      <c r="L125" s="207">
        <f t="shared" si="65"/>
        <v>0</v>
      </c>
      <c r="M125" s="291"/>
      <c r="N125" s="208">
        <f t="shared" si="66"/>
        <v>30</v>
      </c>
      <c r="O125" s="207">
        <f t="shared" si="66"/>
        <v>0</v>
      </c>
      <c r="P125" s="278"/>
      <c r="Q125" s="47"/>
      <c r="R125" s="47"/>
      <c r="S125" s="47"/>
      <c r="T125" s="47"/>
      <c r="U125" s="47"/>
      <c r="V125" s="47"/>
      <c r="W125" s="78"/>
      <c r="X125" s="78"/>
      <c r="Y125" s="78"/>
      <c r="Z125" s="78"/>
      <c r="AA125" s="78"/>
      <c r="AB125" s="78"/>
      <c r="AC125" s="78"/>
      <c r="AD125" s="78"/>
      <c r="AE125" s="78"/>
      <c r="AF125" s="78"/>
      <c r="AG125" s="78"/>
      <c r="AH125" s="78"/>
      <c r="AI125" s="78"/>
      <c r="AJ125" s="78"/>
      <c r="AK125" s="78"/>
      <c r="AL125" s="78"/>
      <c r="AM125" s="78"/>
      <c r="AN125" s="78"/>
    </row>
    <row r="126" spans="1:40" x14ac:dyDescent="0.2">
      <c r="A126" s="269"/>
      <c r="B126" s="274"/>
      <c r="C126" s="162">
        <f t="shared" si="60"/>
        <v>60</v>
      </c>
      <c r="D126" s="163">
        <f t="shared" si="61"/>
        <v>0</v>
      </c>
      <c r="E126" s="275"/>
      <c r="F126" s="164">
        <f t="shared" si="62"/>
        <v>40</v>
      </c>
      <c r="G126" s="165">
        <f t="shared" si="63"/>
        <v>0</v>
      </c>
      <c r="H126" s="166"/>
      <c r="I126" s="271"/>
      <c r="J126" s="276"/>
      <c r="K126" s="206">
        <f t="shared" si="64"/>
        <v>60</v>
      </c>
      <c r="L126" s="207">
        <f t="shared" si="65"/>
        <v>0</v>
      </c>
      <c r="M126" s="291"/>
      <c r="N126" s="208">
        <f t="shared" si="66"/>
        <v>40</v>
      </c>
      <c r="O126" s="207">
        <f t="shared" si="66"/>
        <v>0</v>
      </c>
      <c r="P126" s="278"/>
      <c r="Q126" s="47"/>
      <c r="R126" s="47"/>
      <c r="S126" s="47"/>
      <c r="T126" s="47"/>
      <c r="U126" s="47"/>
      <c r="V126" s="47"/>
      <c r="W126" s="78"/>
      <c r="X126" s="78"/>
      <c r="Y126" s="78"/>
      <c r="Z126" s="78"/>
      <c r="AA126" s="78"/>
      <c r="AB126" s="78"/>
      <c r="AC126" s="78"/>
      <c r="AD126" s="78"/>
      <c r="AE126" s="78"/>
      <c r="AF126" s="78"/>
      <c r="AG126" s="78"/>
      <c r="AH126" s="78"/>
      <c r="AI126" s="78"/>
      <c r="AJ126" s="78"/>
      <c r="AK126" s="78"/>
      <c r="AL126" s="78"/>
      <c r="AM126" s="78"/>
      <c r="AN126" s="78"/>
    </row>
    <row r="127" spans="1:40" x14ac:dyDescent="0.2">
      <c r="A127" s="269"/>
      <c r="B127" s="274"/>
      <c r="C127" s="162">
        <f t="shared" si="60"/>
        <v>65</v>
      </c>
      <c r="D127" s="163">
        <f t="shared" si="61"/>
        <v>0</v>
      </c>
      <c r="E127" s="275"/>
      <c r="F127" s="164">
        <f t="shared" si="62"/>
        <v>50</v>
      </c>
      <c r="G127" s="165">
        <f t="shared" si="63"/>
        <v>0</v>
      </c>
      <c r="H127" s="166"/>
      <c r="I127" s="271"/>
      <c r="J127" s="276"/>
      <c r="K127" s="206">
        <f t="shared" si="64"/>
        <v>65</v>
      </c>
      <c r="L127" s="207">
        <f t="shared" si="65"/>
        <v>0</v>
      </c>
      <c r="M127" s="291"/>
      <c r="N127" s="208">
        <f t="shared" si="66"/>
        <v>50</v>
      </c>
      <c r="O127" s="207">
        <f t="shared" si="66"/>
        <v>0</v>
      </c>
      <c r="P127" s="278"/>
      <c r="Q127" s="47"/>
      <c r="R127" s="47"/>
      <c r="S127" s="47"/>
      <c r="T127" s="47"/>
      <c r="U127" s="47"/>
      <c r="V127" s="47"/>
      <c r="W127" s="78"/>
      <c r="X127" s="78"/>
      <c r="Y127" s="78"/>
      <c r="Z127" s="78"/>
      <c r="AA127" s="78"/>
      <c r="AB127" s="78"/>
      <c r="AC127" s="78"/>
      <c r="AD127" s="78"/>
      <c r="AE127" s="78"/>
      <c r="AF127" s="78"/>
      <c r="AG127" s="78"/>
      <c r="AH127" s="78"/>
      <c r="AI127" s="78"/>
      <c r="AJ127" s="78"/>
      <c r="AK127" s="78"/>
      <c r="AL127" s="78"/>
      <c r="AM127" s="78"/>
      <c r="AN127" s="78"/>
    </row>
    <row r="128" spans="1:40" x14ac:dyDescent="0.2">
      <c r="A128" s="269"/>
      <c r="B128" s="274"/>
      <c r="C128" s="162">
        <f t="shared" si="60"/>
        <v>71.05</v>
      </c>
      <c r="D128" s="163">
        <f t="shared" si="61"/>
        <v>0</v>
      </c>
      <c r="E128" s="275"/>
      <c r="F128" s="164">
        <f t="shared" si="62"/>
        <v>66.7</v>
      </c>
      <c r="G128" s="165">
        <f t="shared" si="63"/>
        <v>0</v>
      </c>
      <c r="H128" s="166"/>
      <c r="I128" s="271"/>
      <c r="J128" s="276"/>
      <c r="K128" s="206">
        <f t="shared" si="64"/>
        <v>71.05</v>
      </c>
      <c r="L128" s="207">
        <f t="shared" si="65"/>
        <v>0</v>
      </c>
      <c r="M128" s="291"/>
      <c r="N128" s="208">
        <f t="shared" si="66"/>
        <v>66.7</v>
      </c>
      <c r="O128" s="207">
        <f t="shared" si="66"/>
        <v>0</v>
      </c>
      <c r="P128" s="278"/>
      <c r="Q128" s="47"/>
      <c r="R128" s="47"/>
      <c r="S128" s="47"/>
      <c r="T128" s="47"/>
      <c r="U128" s="47"/>
      <c r="V128" s="47"/>
      <c r="W128" s="78"/>
      <c r="X128" s="78"/>
      <c r="Y128" s="78"/>
      <c r="Z128" s="78"/>
      <c r="AA128" s="78"/>
      <c r="AB128" s="78"/>
      <c r="AC128" s="78"/>
      <c r="AD128" s="78"/>
      <c r="AE128" s="78"/>
      <c r="AF128" s="78"/>
      <c r="AG128" s="78"/>
      <c r="AH128" s="78"/>
      <c r="AI128" s="78"/>
      <c r="AJ128" s="78"/>
      <c r="AK128" s="78"/>
      <c r="AL128" s="78"/>
      <c r="AM128" s="78"/>
      <c r="AN128" s="78"/>
    </row>
    <row r="129" spans="1:40" ht="13.5" thickBot="1" x14ac:dyDescent="0.25">
      <c r="A129" s="279"/>
      <c r="B129" s="280"/>
      <c r="C129" s="182">
        <f t="shared" si="60"/>
        <v>100</v>
      </c>
      <c r="D129" s="183">
        <f t="shared" si="61"/>
        <v>0</v>
      </c>
      <c r="E129" s="281"/>
      <c r="F129" s="184">
        <f t="shared" si="62"/>
        <v>100</v>
      </c>
      <c r="G129" s="185">
        <f t="shared" si="63"/>
        <v>0</v>
      </c>
      <c r="H129" s="166"/>
      <c r="I129" s="271"/>
      <c r="J129" s="276"/>
      <c r="K129" s="211">
        <f t="shared" si="64"/>
        <v>100</v>
      </c>
      <c r="L129" s="212">
        <f t="shared" si="65"/>
        <v>0</v>
      </c>
      <c r="M129" s="291"/>
      <c r="N129" s="214">
        <f t="shared" si="66"/>
        <v>100</v>
      </c>
      <c r="O129" s="215">
        <f t="shared" si="66"/>
        <v>0</v>
      </c>
      <c r="P129" s="278"/>
      <c r="Q129" s="47"/>
      <c r="R129" s="47"/>
      <c r="S129" s="47"/>
      <c r="T129" s="47"/>
      <c r="U129" s="47"/>
      <c r="V129" s="47"/>
      <c r="W129" s="78"/>
      <c r="X129" s="78"/>
      <c r="Y129" s="78"/>
      <c r="Z129" s="78"/>
      <c r="AA129" s="78"/>
      <c r="AB129" s="78"/>
      <c r="AC129" s="78"/>
      <c r="AD129" s="78"/>
      <c r="AE129" s="78"/>
      <c r="AF129" s="78"/>
      <c r="AG129" s="78"/>
      <c r="AH129" s="78"/>
      <c r="AI129" s="78"/>
      <c r="AJ129" s="78"/>
      <c r="AK129" s="78"/>
      <c r="AL129" s="78"/>
      <c r="AM129" s="78"/>
      <c r="AN129" s="78"/>
    </row>
    <row r="130" spans="1:40" x14ac:dyDescent="0.2">
      <c r="A130" s="285" t="s">
        <v>73</v>
      </c>
      <c r="B130" s="286" t="s">
        <v>66</v>
      </c>
      <c r="C130" s="180">
        <f>A417</f>
        <v>0</v>
      </c>
      <c r="D130" s="181">
        <f>B417</f>
        <v>0</v>
      </c>
      <c r="E130" s="294">
        <f>B414</f>
        <v>60</v>
      </c>
      <c r="F130" s="176">
        <f>O417</f>
        <v>0</v>
      </c>
      <c r="G130" s="177">
        <f>P417</f>
        <v>0</v>
      </c>
      <c r="H130" s="218">
        <f>P414</f>
        <v>60</v>
      </c>
      <c r="I130" s="288" t="s">
        <v>88</v>
      </c>
      <c r="J130" s="289" t="s">
        <v>66</v>
      </c>
      <c r="K130" s="197">
        <f>A706</f>
        <v>0</v>
      </c>
      <c r="L130" s="198">
        <f>B706</f>
        <v>0</v>
      </c>
      <c r="M130" s="295">
        <f>B703</f>
        <v>60</v>
      </c>
      <c r="N130" s="199">
        <f>O706</f>
        <v>0</v>
      </c>
      <c r="O130" s="200">
        <f>P706</f>
        <v>0</v>
      </c>
      <c r="P130" s="220">
        <f>P703</f>
        <v>60</v>
      </c>
      <c r="Q130" s="47"/>
      <c r="R130" s="47"/>
      <c r="S130" s="47"/>
      <c r="T130" s="47"/>
      <c r="U130" s="47"/>
      <c r="V130" s="47"/>
      <c r="W130" s="78"/>
      <c r="X130" s="78"/>
      <c r="Y130" s="78"/>
      <c r="Z130" s="78"/>
      <c r="AA130" s="78"/>
      <c r="AB130" s="78"/>
      <c r="AC130" s="78"/>
      <c r="AD130" s="78"/>
      <c r="AE130" s="78"/>
      <c r="AF130" s="78"/>
      <c r="AG130" s="78"/>
      <c r="AH130" s="78"/>
      <c r="AI130" s="78"/>
      <c r="AJ130" s="78"/>
      <c r="AK130" s="78"/>
      <c r="AL130" s="78"/>
      <c r="AM130" s="78"/>
      <c r="AN130" s="78"/>
    </row>
    <row r="131" spans="1:40" x14ac:dyDescent="0.2">
      <c r="A131" s="269"/>
      <c r="B131" s="274"/>
      <c r="C131" s="162">
        <f t="shared" ref="C131:C137" si="67">A418</f>
        <v>7.89</v>
      </c>
      <c r="D131" s="163">
        <f t="shared" ref="D131:D137" si="68">B418</f>
        <v>0</v>
      </c>
      <c r="E131" s="296"/>
      <c r="F131" s="164">
        <f t="shared" ref="F131:F137" si="69">O418</f>
        <v>10</v>
      </c>
      <c r="G131" s="165">
        <f t="shared" ref="G131:G137" si="70">P418</f>
        <v>0</v>
      </c>
      <c r="H131" s="166"/>
      <c r="I131" s="271"/>
      <c r="J131" s="276"/>
      <c r="K131" s="189">
        <f t="shared" ref="K131:K137" si="71">A707</f>
        <v>7.89</v>
      </c>
      <c r="L131" s="190">
        <f t="shared" ref="L131:L137" si="72">B707</f>
        <v>0</v>
      </c>
      <c r="M131" s="277"/>
      <c r="N131" s="191">
        <f t="shared" ref="N131:O137" si="73">O707</f>
        <v>10</v>
      </c>
      <c r="O131" s="192">
        <f t="shared" si="73"/>
        <v>0</v>
      </c>
      <c r="P131" s="278"/>
      <c r="Q131" s="47"/>
      <c r="R131" s="47"/>
      <c r="S131" s="47"/>
      <c r="T131" s="47"/>
      <c r="U131" s="47"/>
      <c r="V131" s="47"/>
      <c r="W131" s="78"/>
      <c r="X131" s="78"/>
      <c r="Y131" s="78"/>
      <c r="Z131" s="78"/>
      <c r="AA131" s="78"/>
      <c r="AB131" s="78"/>
      <c r="AC131" s="78"/>
      <c r="AD131" s="78"/>
      <c r="AE131" s="78"/>
      <c r="AF131" s="78"/>
      <c r="AG131" s="78"/>
      <c r="AH131" s="78"/>
      <c r="AI131" s="78"/>
      <c r="AJ131" s="78"/>
      <c r="AK131" s="78"/>
      <c r="AL131" s="78"/>
      <c r="AM131" s="78"/>
      <c r="AN131" s="78"/>
    </row>
    <row r="132" spans="1:40" x14ac:dyDescent="0.2">
      <c r="A132" s="298"/>
      <c r="B132" s="299"/>
      <c r="C132" s="162">
        <f t="shared" si="67"/>
        <v>20</v>
      </c>
      <c r="D132" s="163">
        <f t="shared" si="68"/>
        <v>0</v>
      </c>
      <c r="E132" s="296"/>
      <c r="F132" s="164">
        <f t="shared" si="69"/>
        <v>20</v>
      </c>
      <c r="G132" s="165">
        <f t="shared" si="70"/>
        <v>0</v>
      </c>
      <c r="H132" s="166"/>
      <c r="I132" s="271"/>
      <c r="J132" s="276"/>
      <c r="K132" s="189">
        <f t="shared" si="71"/>
        <v>20</v>
      </c>
      <c r="L132" s="190">
        <f t="shared" si="72"/>
        <v>0</v>
      </c>
      <c r="M132" s="277"/>
      <c r="N132" s="191">
        <f t="shared" si="73"/>
        <v>20</v>
      </c>
      <c r="O132" s="204">
        <f t="shared" si="73"/>
        <v>0</v>
      </c>
      <c r="P132" s="300"/>
      <c r="Q132" s="47"/>
      <c r="R132" s="47"/>
      <c r="S132" s="47"/>
      <c r="T132" s="47"/>
      <c r="U132" s="47"/>
      <c r="V132" s="47"/>
      <c r="W132" s="78"/>
      <c r="X132" s="78"/>
      <c r="Y132" s="78"/>
      <c r="Z132" s="78"/>
      <c r="AA132" s="78"/>
      <c r="AB132" s="78"/>
      <c r="AC132" s="78"/>
      <c r="AD132" s="78"/>
      <c r="AE132" s="78"/>
      <c r="AF132" s="78"/>
      <c r="AG132" s="78"/>
      <c r="AH132" s="78"/>
      <c r="AI132" s="78"/>
      <c r="AJ132" s="78"/>
      <c r="AK132" s="78"/>
      <c r="AL132" s="78"/>
      <c r="AM132" s="78"/>
      <c r="AN132" s="78"/>
    </row>
    <row r="133" spans="1:40" x14ac:dyDescent="0.2">
      <c r="A133" s="298"/>
      <c r="B133" s="299"/>
      <c r="C133" s="162">
        <f t="shared" si="67"/>
        <v>55.26</v>
      </c>
      <c r="D133" s="163">
        <f t="shared" si="68"/>
        <v>0</v>
      </c>
      <c r="E133" s="296"/>
      <c r="F133" s="164">
        <f t="shared" si="69"/>
        <v>30</v>
      </c>
      <c r="G133" s="165">
        <f t="shared" si="70"/>
        <v>0</v>
      </c>
      <c r="H133" s="166"/>
      <c r="I133" s="271"/>
      <c r="J133" s="276"/>
      <c r="K133" s="189">
        <f t="shared" si="71"/>
        <v>55.26</v>
      </c>
      <c r="L133" s="190">
        <f t="shared" si="72"/>
        <v>0</v>
      </c>
      <c r="M133" s="277"/>
      <c r="N133" s="191">
        <f t="shared" si="73"/>
        <v>30</v>
      </c>
      <c r="O133" s="204">
        <f t="shared" si="73"/>
        <v>0</v>
      </c>
      <c r="P133" s="300"/>
      <c r="Q133" s="47"/>
      <c r="R133" s="47"/>
      <c r="S133" s="47"/>
      <c r="T133" s="47"/>
      <c r="U133" s="47"/>
      <c r="V133" s="47"/>
      <c r="W133" s="78"/>
      <c r="X133" s="78"/>
      <c r="Y133" s="78"/>
      <c r="Z133" s="78"/>
      <c r="AA133" s="78"/>
      <c r="AB133" s="78"/>
      <c r="AC133" s="78"/>
      <c r="AD133" s="78"/>
      <c r="AE133" s="78"/>
      <c r="AF133" s="78"/>
      <c r="AG133" s="78"/>
      <c r="AH133" s="78"/>
      <c r="AI133" s="78"/>
      <c r="AJ133" s="78"/>
      <c r="AK133" s="78"/>
      <c r="AL133" s="78"/>
      <c r="AM133" s="78"/>
      <c r="AN133" s="78"/>
    </row>
    <row r="134" spans="1:40" x14ac:dyDescent="0.2">
      <c r="A134" s="298"/>
      <c r="B134" s="299"/>
      <c r="C134" s="162">
        <f t="shared" si="67"/>
        <v>60</v>
      </c>
      <c r="D134" s="163">
        <f t="shared" si="68"/>
        <v>0</v>
      </c>
      <c r="E134" s="296"/>
      <c r="F134" s="164">
        <f t="shared" si="69"/>
        <v>40</v>
      </c>
      <c r="G134" s="165">
        <f t="shared" si="70"/>
        <v>0</v>
      </c>
      <c r="H134" s="166"/>
      <c r="I134" s="271"/>
      <c r="J134" s="276"/>
      <c r="K134" s="189">
        <f t="shared" si="71"/>
        <v>60</v>
      </c>
      <c r="L134" s="190">
        <f t="shared" si="72"/>
        <v>0</v>
      </c>
      <c r="M134" s="277"/>
      <c r="N134" s="191">
        <f t="shared" si="73"/>
        <v>40</v>
      </c>
      <c r="O134" s="204">
        <f t="shared" si="73"/>
        <v>0</v>
      </c>
      <c r="P134" s="300"/>
      <c r="Q134" s="47"/>
      <c r="R134" s="47"/>
      <c r="S134" s="47"/>
      <c r="T134" s="47"/>
      <c r="U134" s="47"/>
      <c r="V134" s="47"/>
      <c r="W134" s="78"/>
      <c r="X134" s="78"/>
      <c r="Y134" s="78"/>
      <c r="Z134" s="78"/>
      <c r="AA134" s="78"/>
      <c r="AB134" s="78"/>
      <c r="AC134" s="78"/>
      <c r="AD134" s="78"/>
      <c r="AE134" s="78"/>
      <c r="AF134" s="78"/>
      <c r="AG134" s="78"/>
      <c r="AH134" s="78"/>
      <c r="AI134" s="78"/>
      <c r="AJ134" s="78"/>
      <c r="AK134" s="78"/>
      <c r="AL134" s="78"/>
      <c r="AM134" s="78"/>
      <c r="AN134" s="78"/>
    </row>
    <row r="135" spans="1:40" x14ac:dyDescent="0.2">
      <c r="A135" s="298"/>
      <c r="B135" s="299"/>
      <c r="C135" s="162">
        <f t="shared" si="67"/>
        <v>65</v>
      </c>
      <c r="D135" s="163">
        <f t="shared" si="68"/>
        <v>0</v>
      </c>
      <c r="E135" s="296"/>
      <c r="F135" s="164">
        <f t="shared" si="69"/>
        <v>50</v>
      </c>
      <c r="G135" s="165">
        <f t="shared" si="70"/>
        <v>0</v>
      </c>
      <c r="H135" s="166"/>
      <c r="I135" s="271"/>
      <c r="J135" s="276"/>
      <c r="K135" s="189">
        <f t="shared" si="71"/>
        <v>65</v>
      </c>
      <c r="L135" s="190">
        <f t="shared" si="72"/>
        <v>0</v>
      </c>
      <c r="M135" s="277"/>
      <c r="N135" s="191">
        <f t="shared" si="73"/>
        <v>50</v>
      </c>
      <c r="O135" s="204">
        <f t="shared" si="73"/>
        <v>0</v>
      </c>
      <c r="P135" s="300"/>
      <c r="Q135" s="47"/>
      <c r="R135" s="47"/>
      <c r="S135" s="47"/>
      <c r="T135" s="47"/>
      <c r="U135" s="47"/>
      <c r="V135" s="47"/>
      <c r="W135" s="78"/>
      <c r="X135" s="78"/>
      <c r="Y135" s="78"/>
      <c r="Z135" s="78"/>
      <c r="AA135" s="78"/>
      <c r="AB135" s="78"/>
      <c r="AC135" s="78"/>
      <c r="AD135" s="78"/>
      <c r="AE135" s="78"/>
      <c r="AF135" s="78"/>
      <c r="AG135" s="78"/>
      <c r="AH135" s="78"/>
      <c r="AI135" s="78"/>
      <c r="AJ135" s="78"/>
      <c r="AK135" s="78"/>
      <c r="AL135" s="78"/>
      <c r="AM135" s="78"/>
      <c r="AN135" s="78"/>
    </row>
    <row r="136" spans="1:40" x14ac:dyDescent="0.2">
      <c r="A136" s="298"/>
      <c r="B136" s="299"/>
      <c r="C136" s="162">
        <f t="shared" si="67"/>
        <v>71.05</v>
      </c>
      <c r="D136" s="163">
        <f t="shared" si="68"/>
        <v>0</v>
      </c>
      <c r="E136" s="296"/>
      <c r="F136" s="164">
        <f t="shared" si="69"/>
        <v>66.7</v>
      </c>
      <c r="G136" s="165">
        <f t="shared" si="70"/>
        <v>0</v>
      </c>
      <c r="H136" s="166"/>
      <c r="I136" s="271"/>
      <c r="J136" s="276"/>
      <c r="K136" s="189">
        <f t="shared" si="71"/>
        <v>71.05</v>
      </c>
      <c r="L136" s="190">
        <f t="shared" si="72"/>
        <v>0</v>
      </c>
      <c r="M136" s="277"/>
      <c r="N136" s="191">
        <f t="shared" si="73"/>
        <v>66.7</v>
      </c>
      <c r="O136" s="204">
        <f t="shared" si="73"/>
        <v>0</v>
      </c>
      <c r="P136" s="300"/>
      <c r="Q136" s="47"/>
      <c r="R136" s="47"/>
      <c r="S136" s="47"/>
      <c r="T136" s="47"/>
      <c r="U136" s="47"/>
      <c r="V136" s="47"/>
      <c r="W136" s="78"/>
      <c r="X136" s="78"/>
      <c r="Y136" s="78"/>
      <c r="Z136" s="78"/>
      <c r="AA136" s="78"/>
      <c r="AB136" s="78"/>
      <c r="AC136" s="78"/>
      <c r="AD136" s="78"/>
      <c r="AE136" s="78"/>
      <c r="AF136" s="78"/>
      <c r="AG136" s="78"/>
      <c r="AH136" s="78"/>
      <c r="AI136" s="78"/>
      <c r="AJ136" s="78"/>
      <c r="AK136" s="78"/>
      <c r="AL136" s="78"/>
      <c r="AM136" s="78"/>
      <c r="AN136" s="78"/>
    </row>
    <row r="137" spans="1:40" ht="13.5" thickBot="1" x14ac:dyDescent="0.25">
      <c r="A137" s="301"/>
      <c r="B137" s="302"/>
      <c r="C137" s="182">
        <f t="shared" si="67"/>
        <v>100</v>
      </c>
      <c r="D137" s="183">
        <f t="shared" si="68"/>
        <v>0</v>
      </c>
      <c r="E137" s="297"/>
      <c r="F137" s="186">
        <f t="shared" si="69"/>
        <v>100</v>
      </c>
      <c r="G137" s="187">
        <f t="shared" si="70"/>
        <v>0</v>
      </c>
      <c r="H137" s="175"/>
      <c r="I137" s="282"/>
      <c r="J137" s="283"/>
      <c r="K137" s="193">
        <f t="shared" si="71"/>
        <v>100</v>
      </c>
      <c r="L137" s="194">
        <f t="shared" si="72"/>
        <v>0</v>
      </c>
      <c r="M137" s="284"/>
      <c r="N137" s="201">
        <f t="shared" si="73"/>
        <v>100</v>
      </c>
      <c r="O137" s="216">
        <f t="shared" si="73"/>
        <v>0</v>
      </c>
      <c r="P137" s="307"/>
      <c r="Q137" s="47"/>
      <c r="R137" s="47"/>
      <c r="S137" s="47"/>
      <c r="T137" s="47"/>
      <c r="U137" s="47"/>
      <c r="V137" s="47"/>
      <c r="W137" s="78"/>
      <c r="X137" s="78"/>
      <c r="Y137" s="78"/>
      <c r="Z137" s="78"/>
      <c r="AA137" s="78"/>
      <c r="AB137" s="78"/>
      <c r="AC137" s="78"/>
      <c r="AD137" s="78"/>
      <c r="AE137" s="78"/>
      <c r="AF137" s="78"/>
      <c r="AG137" s="78"/>
      <c r="AH137" s="78"/>
      <c r="AI137" s="78"/>
      <c r="AJ137" s="78"/>
      <c r="AK137" s="78"/>
      <c r="AL137" s="78"/>
      <c r="AM137" s="78"/>
      <c r="AN137" s="78"/>
    </row>
    <row r="138" spans="1:40" x14ac:dyDescent="0.2">
      <c r="A138" s="308"/>
      <c r="B138" s="308"/>
      <c r="C138" s="308"/>
      <c r="D138" s="308"/>
      <c r="E138" s="308"/>
      <c r="F138" s="308"/>
      <c r="G138" s="308"/>
      <c r="H138" s="244"/>
      <c r="I138" s="79">
        <f>I105</f>
        <v>0</v>
      </c>
      <c r="J138" s="79">
        <v>0</v>
      </c>
      <c r="K138" s="84"/>
      <c r="L138" s="79">
        <f>L105</f>
        <v>0</v>
      </c>
      <c r="M138" s="79">
        <v>0</v>
      </c>
      <c r="N138" s="79"/>
      <c r="O138" s="79"/>
      <c r="P138" s="79"/>
      <c r="Q138" s="47"/>
      <c r="R138" s="47"/>
      <c r="S138" s="47"/>
      <c r="T138" s="47"/>
      <c r="U138" s="47"/>
      <c r="V138" s="47"/>
      <c r="W138" s="78"/>
      <c r="X138" s="78"/>
      <c r="Y138" s="78"/>
      <c r="Z138" s="78"/>
      <c r="AA138" s="78"/>
      <c r="AB138" s="78"/>
      <c r="AC138" s="78"/>
      <c r="AD138" s="78"/>
      <c r="AE138" s="78"/>
      <c r="AF138" s="78"/>
      <c r="AG138" s="78"/>
      <c r="AH138" s="78"/>
      <c r="AI138" s="78"/>
      <c r="AJ138" s="78"/>
      <c r="AK138" s="78"/>
      <c r="AL138" s="78"/>
      <c r="AM138" s="78"/>
      <c r="AN138" s="78"/>
    </row>
    <row r="139" spans="1:40" x14ac:dyDescent="0.2">
      <c r="A139" s="359" t="s">
        <v>49</v>
      </c>
      <c r="B139" s="359"/>
      <c r="C139" s="359"/>
      <c r="D139" s="359"/>
      <c r="E139" s="308"/>
      <c r="F139" s="308"/>
      <c r="G139" s="308"/>
      <c r="H139" s="244"/>
      <c r="I139" s="244"/>
      <c r="J139" s="244"/>
      <c r="K139" s="244"/>
      <c r="L139" s="244"/>
      <c r="M139" s="244"/>
      <c r="N139" s="47"/>
      <c r="O139" s="47"/>
      <c r="P139" s="47"/>
      <c r="Q139" s="47"/>
      <c r="R139" s="47"/>
      <c r="S139" s="47"/>
      <c r="T139" s="47"/>
      <c r="U139" s="47"/>
      <c r="V139" s="47"/>
      <c r="W139" s="78"/>
      <c r="X139" s="78"/>
      <c r="Y139" s="78"/>
      <c r="Z139" s="78"/>
      <c r="AA139" s="78"/>
      <c r="AB139" s="78"/>
      <c r="AC139" s="78"/>
      <c r="AD139" s="78"/>
      <c r="AE139" s="78"/>
      <c r="AF139" s="78"/>
      <c r="AG139" s="78"/>
      <c r="AH139" s="78"/>
      <c r="AI139" s="78"/>
      <c r="AJ139" s="78"/>
      <c r="AK139" s="78"/>
      <c r="AL139" s="78"/>
      <c r="AM139" s="78"/>
      <c r="AN139" s="78"/>
    </row>
    <row r="140" spans="1:40" x14ac:dyDescent="0.2">
      <c r="A140" s="2"/>
      <c r="B140" s="2"/>
      <c r="C140" s="2"/>
      <c r="D140" s="2"/>
      <c r="E140" s="2"/>
      <c r="F140" s="2"/>
      <c r="G140" s="2"/>
      <c r="H140" s="65"/>
      <c r="I140" s="65"/>
      <c r="J140" s="65"/>
      <c r="K140" s="65"/>
      <c r="L140" s="65"/>
      <c r="M140" s="65"/>
      <c r="N140" s="47"/>
      <c r="O140" s="47"/>
      <c r="P140" s="47"/>
      <c r="Q140" s="47"/>
      <c r="R140" s="47"/>
      <c r="S140" s="47"/>
      <c r="T140" s="47"/>
      <c r="U140" s="47"/>
      <c r="V140" s="47"/>
      <c r="W140" s="78"/>
      <c r="X140" s="78"/>
      <c r="Y140" s="78"/>
      <c r="Z140" s="78"/>
      <c r="AA140" s="78"/>
      <c r="AB140" s="78"/>
      <c r="AC140" s="78"/>
      <c r="AD140" s="78"/>
      <c r="AE140" s="78"/>
      <c r="AF140" s="78"/>
      <c r="AG140" s="78"/>
      <c r="AH140" s="78"/>
      <c r="AI140" s="78"/>
      <c r="AJ140" s="78"/>
      <c r="AK140" s="78"/>
      <c r="AL140" s="78"/>
      <c r="AM140" s="78"/>
      <c r="AN140" s="78"/>
    </row>
    <row r="141" spans="1:40" x14ac:dyDescent="0.2">
      <c r="A141" s="2"/>
      <c r="B141" s="2"/>
      <c r="C141" s="2"/>
      <c r="E141" s="2"/>
      <c r="F141" s="2"/>
      <c r="G141" s="2"/>
      <c r="H141" s="65"/>
      <c r="I141" s="65"/>
      <c r="J141" s="65"/>
      <c r="K141" s="65"/>
      <c r="L141" s="65"/>
      <c r="M141" s="65"/>
      <c r="N141" s="47"/>
      <c r="O141" s="47"/>
      <c r="P141" s="47"/>
      <c r="Q141" s="47"/>
      <c r="R141" s="47"/>
      <c r="S141" s="47"/>
      <c r="T141" s="47"/>
      <c r="U141" s="47"/>
      <c r="V141" s="47"/>
      <c r="W141" s="78"/>
      <c r="X141" s="78"/>
      <c r="Y141" s="78"/>
      <c r="Z141" s="78"/>
      <c r="AA141" s="78"/>
      <c r="AB141" s="78"/>
      <c r="AC141" s="78"/>
      <c r="AD141" s="78"/>
      <c r="AE141" s="78"/>
      <c r="AF141" s="78"/>
      <c r="AG141" s="78"/>
      <c r="AH141" s="78"/>
      <c r="AI141" s="78"/>
      <c r="AJ141" s="78"/>
      <c r="AK141" s="78"/>
      <c r="AL141" s="78"/>
      <c r="AM141" s="78"/>
      <c r="AN141" s="78"/>
    </row>
    <row r="142" spans="1:40" ht="12.75" customHeight="1" x14ac:dyDescent="0.25">
      <c r="A142" s="2"/>
      <c r="B142" s="2"/>
      <c r="C142" s="27"/>
      <c r="G142" s="27"/>
      <c r="H142" s="65"/>
      <c r="I142" s="65"/>
      <c r="J142" s="47"/>
      <c r="K142" s="47"/>
      <c r="L142" s="47"/>
      <c r="M142" s="47"/>
      <c r="N142" s="47"/>
      <c r="O142" s="47"/>
      <c r="P142" s="47"/>
      <c r="Q142" s="47"/>
      <c r="R142" s="47"/>
      <c r="S142" s="47"/>
      <c r="T142" s="47"/>
      <c r="U142" s="47"/>
      <c r="V142" s="47"/>
      <c r="W142" s="78"/>
      <c r="X142" s="78"/>
      <c r="Y142" s="78"/>
      <c r="Z142" s="78"/>
      <c r="AA142" s="78"/>
      <c r="AB142" s="78"/>
      <c r="AC142" s="78"/>
      <c r="AD142" s="78"/>
      <c r="AE142" s="78"/>
      <c r="AF142" s="78"/>
      <c r="AG142" s="78"/>
      <c r="AH142" s="78"/>
      <c r="AI142" s="78"/>
      <c r="AJ142" s="78"/>
      <c r="AK142" s="78"/>
      <c r="AL142" s="78"/>
      <c r="AM142" s="78"/>
      <c r="AN142" s="78"/>
    </row>
    <row r="143" spans="1:40" ht="12.75" customHeight="1" x14ac:dyDescent="0.25">
      <c r="A143" s="2"/>
      <c r="B143" s="2"/>
      <c r="C143" s="27"/>
      <c r="G143" s="27"/>
      <c r="H143" s="65"/>
      <c r="I143" s="65"/>
      <c r="J143" s="47"/>
      <c r="K143" s="47"/>
      <c r="L143" s="47"/>
      <c r="M143" s="47"/>
      <c r="N143" s="47"/>
      <c r="O143" s="47"/>
      <c r="P143" s="47"/>
      <c r="Q143" s="47"/>
      <c r="R143" s="47"/>
      <c r="S143" s="47"/>
      <c r="T143" s="47"/>
      <c r="U143" s="47"/>
      <c r="V143" s="47"/>
      <c r="W143" s="78"/>
      <c r="X143" s="78"/>
      <c r="Y143" s="78"/>
      <c r="Z143" s="78"/>
      <c r="AA143" s="78"/>
      <c r="AB143" s="78"/>
      <c r="AC143" s="78"/>
      <c r="AD143" s="78"/>
      <c r="AE143" s="78"/>
      <c r="AF143" s="78"/>
      <c r="AG143" s="78"/>
      <c r="AH143" s="78"/>
      <c r="AI143" s="78"/>
      <c r="AJ143" s="78"/>
      <c r="AK143" s="78"/>
      <c r="AL143" s="78"/>
      <c r="AM143" s="78"/>
      <c r="AN143" s="78"/>
    </row>
    <row r="144" spans="1:40" x14ac:dyDescent="0.2">
      <c r="A144" s="2"/>
      <c r="B144" s="2"/>
      <c r="C144" s="2"/>
      <c r="D144" s="2"/>
      <c r="E144" s="2"/>
      <c r="F144" s="2"/>
      <c r="G144" s="2"/>
      <c r="H144" s="65"/>
      <c r="I144" s="65"/>
      <c r="J144" s="65"/>
      <c r="K144" s="65"/>
      <c r="L144" s="65"/>
      <c r="M144" s="65"/>
      <c r="N144" s="47"/>
      <c r="O144" s="47"/>
      <c r="P144" s="47"/>
      <c r="Q144" s="47"/>
      <c r="R144" s="47"/>
      <c r="S144" s="47"/>
      <c r="T144" s="47"/>
      <c r="U144" s="47"/>
      <c r="V144" s="47"/>
      <c r="W144" s="78"/>
      <c r="X144" s="78"/>
      <c r="Y144" s="78"/>
      <c r="Z144" s="78"/>
      <c r="AA144" s="78"/>
      <c r="AB144" s="78"/>
      <c r="AC144" s="78"/>
      <c r="AD144" s="78"/>
      <c r="AE144" s="78"/>
      <c r="AF144" s="78"/>
      <c r="AG144" s="78"/>
      <c r="AH144" s="78"/>
      <c r="AI144" s="78"/>
      <c r="AJ144" s="78"/>
      <c r="AK144" s="78"/>
      <c r="AL144" s="78"/>
      <c r="AM144" s="78"/>
      <c r="AN144" s="78"/>
    </row>
    <row r="145" spans="1:16" ht="12.75" customHeight="1" x14ac:dyDescent="0.2">
      <c r="A145" s="2"/>
      <c r="B145" s="2"/>
      <c r="C145" s="2"/>
      <c r="D145" s="358" t="s">
        <v>3</v>
      </c>
      <c r="E145" s="358"/>
      <c r="F145" s="358"/>
      <c r="G145" s="2"/>
      <c r="H145" s="2"/>
      <c r="I145" s="358" t="s">
        <v>4</v>
      </c>
      <c r="J145" s="358"/>
      <c r="K145" s="358"/>
      <c r="L145" s="358"/>
      <c r="M145" s="15"/>
    </row>
    <row r="146" spans="1:16" x14ac:dyDescent="0.2">
      <c r="A146" s="2"/>
      <c r="B146" s="2"/>
      <c r="C146" s="2"/>
      <c r="D146" s="358"/>
      <c r="E146" s="358"/>
      <c r="F146" s="358"/>
      <c r="G146" s="2"/>
      <c r="H146" s="2"/>
      <c r="I146" s="358"/>
      <c r="J146" s="358"/>
      <c r="K146" s="358"/>
      <c r="L146" s="358"/>
      <c r="M146" s="15"/>
    </row>
    <row r="147" spans="1:16" x14ac:dyDescent="0.2">
      <c r="A147" s="2"/>
      <c r="B147" s="2"/>
      <c r="C147" s="2"/>
      <c r="D147" s="2"/>
      <c r="E147" s="2"/>
      <c r="F147" s="2"/>
      <c r="G147" s="2"/>
      <c r="H147" s="2"/>
      <c r="I147" s="2"/>
      <c r="J147" s="2"/>
      <c r="K147" s="2"/>
      <c r="L147" s="2"/>
      <c r="M147" s="2"/>
    </row>
    <row r="148" spans="1:16" ht="13.5" thickBot="1" x14ac:dyDescent="0.25">
      <c r="A148" s="2"/>
      <c r="B148" s="2"/>
      <c r="C148" s="2"/>
      <c r="D148" s="2"/>
      <c r="E148" s="2"/>
      <c r="F148" s="2"/>
      <c r="G148" s="2"/>
      <c r="H148" s="2"/>
      <c r="I148" s="2"/>
      <c r="J148" s="2"/>
      <c r="K148" s="2"/>
      <c r="L148" s="2"/>
      <c r="M148" s="2"/>
    </row>
    <row r="149" spans="1:16" ht="13.5" thickBot="1" x14ac:dyDescent="0.25">
      <c r="A149" s="25" t="s">
        <v>57</v>
      </c>
      <c r="B149" s="26" t="s">
        <v>48</v>
      </c>
      <c r="C149" s="2"/>
      <c r="D149" s="2"/>
      <c r="E149" s="2"/>
      <c r="F149" s="2"/>
      <c r="G149" s="2"/>
      <c r="H149" s="2"/>
      <c r="I149" s="2"/>
      <c r="J149" s="2"/>
      <c r="K149" s="2"/>
      <c r="L149" s="2"/>
      <c r="M149" s="2"/>
      <c r="O149" s="31"/>
      <c r="P149" s="26" t="s">
        <v>48</v>
      </c>
    </row>
    <row r="150" spans="1:16" ht="13.5" thickBot="1" x14ac:dyDescent="0.25">
      <c r="A150" s="13" t="s">
        <v>58</v>
      </c>
      <c r="B150" s="245">
        <v>60</v>
      </c>
      <c r="C150" s="2"/>
      <c r="D150" s="2"/>
      <c r="E150" s="2"/>
      <c r="F150" s="2"/>
      <c r="G150" s="2"/>
      <c r="H150" s="2"/>
      <c r="I150" s="2"/>
      <c r="J150" s="2"/>
      <c r="K150" s="2"/>
      <c r="L150" s="2"/>
      <c r="M150" s="2"/>
      <c r="O150" s="87"/>
      <c r="P150" s="245">
        <v>60</v>
      </c>
    </row>
    <row r="151" spans="1:16" ht="13.5" thickBot="1" x14ac:dyDescent="0.25">
      <c r="A151" s="1"/>
      <c r="B151" s="24"/>
      <c r="C151" s="2"/>
      <c r="D151" s="2"/>
      <c r="E151" s="2"/>
      <c r="F151" s="2"/>
      <c r="G151" s="2"/>
      <c r="H151" s="2"/>
      <c r="I151" s="2"/>
      <c r="J151" s="2"/>
      <c r="K151" s="2"/>
      <c r="L151" s="2"/>
      <c r="M151" s="2"/>
    </row>
    <row r="152" spans="1:16" ht="13.5" thickBot="1" x14ac:dyDescent="0.25">
      <c r="A152" s="129" t="s">
        <v>1</v>
      </c>
      <c r="B152" s="130" t="s">
        <v>16</v>
      </c>
      <c r="C152" s="2"/>
      <c r="D152" s="2"/>
      <c r="E152" s="2"/>
      <c r="F152" s="2"/>
      <c r="G152" s="2"/>
      <c r="H152" s="2"/>
      <c r="K152" s="2"/>
      <c r="L152" s="2"/>
      <c r="M152" s="2"/>
      <c r="O152" s="129" t="s">
        <v>1</v>
      </c>
      <c r="P152" s="130" t="s">
        <v>16</v>
      </c>
    </row>
    <row r="153" spans="1:16" x14ac:dyDescent="0.2">
      <c r="A153" s="51">
        <v>0</v>
      </c>
      <c r="B153" s="54">
        <v>100</v>
      </c>
      <c r="C153" s="2"/>
      <c r="D153" s="2"/>
      <c r="E153" s="2"/>
      <c r="F153" s="2"/>
      <c r="G153" s="2"/>
      <c r="H153" s="2"/>
      <c r="I153" s="2"/>
      <c r="J153" s="2"/>
      <c r="K153" s="2"/>
      <c r="L153" s="2"/>
      <c r="M153" s="2"/>
      <c r="O153" s="57">
        <v>0</v>
      </c>
      <c r="P153" s="54">
        <v>131</v>
      </c>
    </row>
    <row r="154" spans="1:16" x14ac:dyDescent="0.2">
      <c r="A154" s="52">
        <v>10</v>
      </c>
      <c r="B154" s="55">
        <v>100</v>
      </c>
      <c r="C154" s="2"/>
      <c r="D154" s="2"/>
      <c r="E154" s="2"/>
      <c r="F154" s="2"/>
      <c r="G154" s="2"/>
      <c r="H154" s="2"/>
      <c r="I154" s="2"/>
      <c r="J154" s="2"/>
      <c r="K154" s="2"/>
      <c r="L154" s="2"/>
      <c r="M154" s="2"/>
      <c r="O154" s="52">
        <v>4.51</v>
      </c>
      <c r="P154" s="55">
        <v>120</v>
      </c>
    </row>
    <row r="155" spans="1:16" x14ac:dyDescent="0.2">
      <c r="A155" s="52">
        <v>17.36</v>
      </c>
      <c r="B155" s="55">
        <v>100</v>
      </c>
      <c r="C155" s="2"/>
      <c r="D155" s="2"/>
      <c r="E155" s="2"/>
      <c r="F155" s="2"/>
      <c r="G155" s="2"/>
      <c r="H155" s="2"/>
      <c r="I155" s="2"/>
      <c r="J155" s="2"/>
      <c r="K155" s="2"/>
      <c r="L155" s="2"/>
      <c r="M155" s="2"/>
      <c r="O155" s="52">
        <v>14.93</v>
      </c>
      <c r="P155" s="55">
        <v>100</v>
      </c>
    </row>
    <row r="156" spans="1:16" x14ac:dyDescent="0.2">
      <c r="A156" s="52">
        <v>19.79</v>
      </c>
      <c r="B156" s="55">
        <v>0</v>
      </c>
      <c r="C156" s="2"/>
      <c r="D156" s="2"/>
      <c r="E156" s="2"/>
      <c r="F156" s="2"/>
      <c r="G156" s="2"/>
      <c r="H156" s="2"/>
      <c r="I156" s="2"/>
      <c r="J156" s="2"/>
      <c r="K156" s="2"/>
      <c r="L156" s="2"/>
      <c r="M156" s="2"/>
      <c r="O156" s="52">
        <v>57</v>
      </c>
      <c r="P156" s="55">
        <v>100</v>
      </c>
    </row>
    <row r="157" spans="1:16" x14ac:dyDescent="0.2">
      <c r="A157" s="52">
        <v>64.239999999999995</v>
      </c>
      <c r="B157" s="55">
        <v>0</v>
      </c>
      <c r="C157" s="117"/>
      <c r="D157" s="117"/>
      <c r="E157" s="117"/>
      <c r="F157" s="117"/>
      <c r="G157" s="117"/>
      <c r="H157" s="117"/>
      <c r="I157" s="117"/>
      <c r="J157" s="117"/>
      <c r="K157" s="117"/>
      <c r="L157" s="117"/>
      <c r="M157" s="117"/>
      <c r="O157" s="52">
        <v>79</v>
      </c>
      <c r="P157" s="55">
        <v>100</v>
      </c>
    </row>
    <row r="158" spans="1:16" x14ac:dyDescent="0.2">
      <c r="A158" s="52">
        <v>75.349999999999994</v>
      </c>
      <c r="B158" s="55">
        <v>150</v>
      </c>
      <c r="C158" s="117"/>
      <c r="D158" s="117"/>
      <c r="E158" s="117"/>
      <c r="F158" s="117"/>
      <c r="G158" s="117"/>
      <c r="H158" s="117"/>
      <c r="I158" s="117"/>
      <c r="J158" s="117"/>
      <c r="K158" s="117"/>
      <c r="L158" s="117"/>
      <c r="M158" s="117"/>
      <c r="O158" s="52">
        <v>85</v>
      </c>
      <c r="P158" s="55">
        <v>100</v>
      </c>
    </row>
    <row r="159" spans="1:16" x14ac:dyDescent="0.2">
      <c r="A159" s="52">
        <v>92.01</v>
      </c>
      <c r="B159" s="55">
        <v>131</v>
      </c>
      <c r="C159" s="2"/>
      <c r="D159" s="2"/>
      <c r="E159" s="2"/>
      <c r="F159" s="2"/>
      <c r="G159" s="2"/>
      <c r="H159" s="2"/>
      <c r="I159" s="2"/>
      <c r="J159" s="2"/>
      <c r="K159" s="2"/>
      <c r="L159" s="2"/>
      <c r="M159" s="2"/>
      <c r="O159" s="52">
        <v>95</v>
      </c>
      <c r="P159" s="55">
        <v>100</v>
      </c>
    </row>
    <row r="160" spans="1:16" ht="13.5" thickBot="1" x14ac:dyDescent="0.25">
      <c r="A160" s="53">
        <v>100</v>
      </c>
      <c r="B160" s="56">
        <v>131</v>
      </c>
      <c r="C160" s="2"/>
      <c r="D160" s="2"/>
      <c r="E160" s="2"/>
      <c r="F160" s="2"/>
      <c r="G160" s="2"/>
      <c r="H160" s="2"/>
      <c r="I160" s="2"/>
      <c r="J160" s="2"/>
      <c r="K160" s="2"/>
      <c r="L160" s="2"/>
      <c r="M160" s="2"/>
      <c r="O160" s="53">
        <v>100</v>
      </c>
      <c r="P160" s="56">
        <v>100</v>
      </c>
    </row>
    <row r="161" spans="1:16" ht="13.5" thickBot="1" x14ac:dyDescent="0.25">
      <c r="A161" s="2"/>
      <c r="B161" s="2"/>
      <c r="C161" s="2"/>
      <c r="D161" s="2"/>
      <c r="E161" s="2"/>
      <c r="F161" s="2"/>
      <c r="G161" s="2"/>
      <c r="H161" s="2"/>
      <c r="I161" s="2"/>
      <c r="J161" s="2"/>
      <c r="K161" s="2"/>
      <c r="L161" s="2"/>
      <c r="M161" s="2"/>
    </row>
    <row r="162" spans="1:16" ht="13.5" thickBot="1" x14ac:dyDescent="0.25">
      <c r="A162" s="243" t="s">
        <v>17</v>
      </c>
      <c r="B162" s="26" t="s">
        <v>16</v>
      </c>
      <c r="C162" s="2"/>
      <c r="D162" s="2"/>
      <c r="E162" s="2"/>
      <c r="F162" s="2"/>
      <c r="G162" s="2"/>
      <c r="H162" s="2"/>
      <c r="I162" s="2"/>
      <c r="J162" s="2"/>
      <c r="K162" s="2"/>
      <c r="L162" s="2"/>
      <c r="M162" s="2"/>
      <c r="O162" s="25" t="s">
        <v>17</v>
      </c>
      <c r="P162" s="26" t="s">
        <v>16</v>
      </c>
    </row>
    <row r="163" spans="1:16" x14ac:dyDescent="0.2">
      <c r="A163" s="39">
        <f t="shared" ref="A163:A170" si="74">A153*F$4/100</f>
        <v>0</v>
      </c>
      <c r="B163" s="40">
        <f t="shared" ref="B163:B170" si="75">B153</f>
        <v>100</v>
      </c>
      <c r="C163" s="2"/>
      <c r="D163" s="2"/>
      <c r="E163" s="2"/>
      <c r="F163" s="2"/>
      <c r="G163" s="2"/>
      <c r="H163" s="2"/>
      <c r="I163" s="2"/>
      <c r="J163" s="2"/>
      <c r="K163" s="2"/>
      <c r="L163" s="2"/>
      <c r="M163" s="2"/>
      <c r="O163" s="39">
        <f t="shared" ref="O163:O170" si="76">O153*F$5/100</f>
        <v>0</v>
      </c>
      <c r="P163" s="40">
        <f t="shared" ref="P163:P170" si="77">P153</f>
        <v>131</v>
      </c>
    </row>
    <row r="164" spans="1:16" x14ac:dyDescent="0.2">
      <c r="A164" s="41">
        <f t="shared" si="74"/>
        <v>0.13300000000000001</v>
      </c>
      <c r="B164" s="42">
        <f t="shared" si="75"/>
        <v>100</v>
      </c>
      <c r="C164" s="2"/>
      <c r="D164" s="2"/>
      <c r="E164" s="2"/>
      <c r="F164" s="2"/>
      <c r="G164" s="2"/>
      <c r="H164" s="2"/>
      <c r="I164" s="2"/>
      <c r="J164" s="2"/>
      <c r="K164" s="2"/>
      <c r="L164" s="2"/>
      <c r="M164" s="2"/>
      <c r="O164" s="41">
        <f t="shared" si="76"/>
        <v>7.0356000000000002E-2</v>
      </c>
      <c r="P164" s="42">
        <f t="shared" si="77"/>
        <v>120</v>
      </c>
    </row>
    <row r="165" spans="1:16" x14ac:dyDescent="0.2">
      <c r="A165" s="41">
        <f t="shared" si="74"/>
        <v>0.23088799999999998</v>
      </c>
      <c r="B165" s="42">
        <f t="shared" si="75"/>
        <v>100</v>
      </c>
      <c r="C165" s="2"/>
      <c r="D165" s="2"/>
      <c r="E165" s="2"/>
      <c r="F165" s="2"/>
      <c r="G165" s="2"/>
      <c r="H165" s="2"/>
      <c r="I165" s="2"/>
      <c r="J165" s="2"/>
      <c r="K165" s="2"/>
      <c r="L165" s="2"/>
      <c r="M165" s="2"/>
      <c r="O165" s="41">
        <f t="shared" si="76"/>
        <v>0.232908</v>
      </c>
      <c r="P165" s="42">
        <f t="shared" si="77"/>
        <v>100</v>
      </c>
    </row>
    <row r="166" spans="1:16" x14ac:dyDescent="0.2">
      <c r="A166" s="41">
        <f t="shared" si="74"/>
        <v>0.26320699999999997</v>
      </c>
      <c r="B166" s="42">
        <f t="shared" si="75"/>
        <v>0</v>
      </c>
      <c r="C166" s="2"/>
      <c r="D166" s="2"/>
      <c r="E166" s="2"/>
      <c r="F166" s="2"/>
      <c r="G166" s="2"/>
      <c r="H166" s="2"/>
      <c r="I166" s="2"/>
      <c r="J166" s="2"/>
      <c r="K166" s="2"/>
      <c r="L166" s="2"/>
      <c r="M166" s="2"/>
      <c r="O166" s="41">
        <f t="shared" si="76"/>
        <v>0.88919999999999999</v>
      </c>
      <c r="P166" s="42">
        <f t="shared" si="77"/>
        <v>100</v>
      </c>
    </row>
    <row r="167" spans="1:16" x14ac:dyDescent="0.2">
      <c r="A167" s="41">
        <f t="shared" si="74"/>
        <v>0.85439200000000004</v>
      </c>
      <c r="B167" s="42">
        <f t="shared" si="75"/>
        <v>0</v>
      </c>
      <c r="C167" s="117"/>
      <c r="D167" s="117"/>
      <c r="E167" s="117"/>
      <c r="F167" s="117"/>
      <c r="G167" s="117"/>
      <c r="H167" s="117"/>
      <c r="I167" s="117"/>
      <c r="J167" s="117"/>
      <c r="K167" s="117"/>
      <c r="L167" s="117"/>
      <c r="M167" s="117"/>
      <c r="O167" s="41">
        <f t="shared" si="76"/>
        <v>1.2324000000000002</v>
      </c>
      <c r="P167" s="42">
        <f t="shared" si="77"/>
        <v>100</v>
      </c>
    </row>
    <row r="168" spans="1:16" x14ac:dyDescent="0.2">
      <c r="A168" s="41">
        <f t="shared" si="74"/>
        <v>1.0021549999999999</v>
      </c>
      <c r="B168" s="42">
        <f t="shared" si="75"/>
        <v>150</v>
      </c>
      <c r="C168" s="117"/>
      <c r="D168" s="117"/>
      <c r="E168" s="117"/>
      <c r="F168" s="117"/>
      <c r="G168" s="117"/>
      <c r="H168" s="117"/>
      <c r="I168" s="117"/>
      <c r="J168" s="117"/>
      <c r="K168" s="117"/>
      <c r="L168" s="117"/>
      <c r="M168" s="117"/>
      <c r="O168" s="41">
        <f t="shared" si="76"/>
        <v>1.3259999999999998</v>
      </c>
      <c r="P168" s="42">
        <f t="shared" si="77"/>
        <v>100</v>
      </c>
    </row>
    <row r="169" spans="1:16" x14ac:dyDescent="0.2">
      <c r="A169" s="41">
        <f t="shared" si="74"/>
        <v>1.2237330000000002</v>
      </c>
      <c r="B169" s="42">
        <f t="shared" si="75"/>
        <v>131</v>
      </c>
      <c r="C169" s="2"/>
      <c r="D169" s="2"/>
      <c r="E169" s="2"/>
      <c r="F169" s="2"/>
      <c r="G169" s="2"/>
      <c r="H169" s="2"/>
      <c r="I169" s="2"/>
      <c r="J169" s="2"/>
      <c r="K169" s="2"/>
      <c r="L169" s="2"/>
      <c r="M169" s="2"/>
      <c r="O169" s="131">
        <f t="shared" si="76"/>
        <v>1.4820000000000002</v>
      </c>
      <c r="P169" s="42">
        <f t="shared" si="77"/>
        <v>100</v>
      </c>
    </row>
    <row r="170" spans="1:16" ht="13.5" thickBot="1" x14ac:dyDescent="0.25">
      <c r="A170" s="43">
        <f t="shared" si="74"/>
        <v>1.33</v>
      </c>
      <c r="B170" s="44">
        <f t="shared" si="75"/>
        <v>131</v>
      </c>
      <c r="C170" s="2"/>
      <c r="D170" s="2"/>
      <c r="E170" s="2"/>
      <c r="F170" s="2"/>
      <c r="G170" s="2"/>
      <c r="H170" s="2"/>
      <c r="I170" s="2"/>
      <c r="J170" s="2"/>
      <c r="K170" s="2"/>
      <c r="L170" s="2"/>
      <c r="M170" s="2"/>
      <c r="O170" s="43">
        <f t="shared" si="76"/>
        <v>1.56</v>
      </c>
      <c r="P170" s="44">
        <f t="shared" si="77"/>
        <v>100</v>
      </c>
    </row>
    <row r="171" spans="1:16" x14ac:dyDescent="0.2">
      <c r="A171" s="2"/>
      <c r="B171" s="2"/>
      <c r="C171" s="2"/>
      <c r="D171" s="2"/>
      <c r="E171" s="2"/>
      <c r="F171" s="2"/>
      <c r="G171" s="2"/>
      <c r="H171" s="2"/>
      <c r="I171" s="2"/>
      <c r="J171" s="2"/>
      <c r="K171" s="2"/>
      <c r="L171" s="2"/>
      <c r="M171" s="2"/>
    </row>
    <row r="172" spans="1:16" ht="13.5" thickBot="1" x14ac:dyDescent="0.25">
      <c r="A172" s="132"/>
      <c r="B172" s="132"/>
      <c r="C172" s="2"/>
      <c r="D172" s="2"/>
      <c r="E172" s="2"/>
      <c r="F172" s="2"/>
      <c r="G172" s="2"/>
      <c r="H172" s="2"/>
      <c r="I172" s="2"/>
      <c r="J172" s="2"/>
      <c r="K172" s="2"/>
      <c r="L172" s="2"/>
      <c r="M172" s="2"/>
      <c r="O172" s="134"/>
      <c r="P172" s="134"/>
    </row>
    <row r="173" spans="1:16" ht="13.5" thickBot="1" x14ac:dyDescent="0.25">
      <c r="A173" s="129" t="s">
        <v>57</v>
      </c>
      <c r="B173" s="130" t="s">
        <v>48</v>
      </c>
      <c r="C173" s="2"/>
      <c r="D173" s="2"/>
      <c r="E173" s="2"/>
      <c r="F173" s="2"/>
      <c r="G173" s="2"/>
      <c r="H173" s="2"/>
      <c r="I173" s="2"/>
      <c r="J173" s="2"/>
      <c r="K173" s="2"/>
      <c r="L173" s="2"/>
      <c r="M173" s="2"/>
      <c r="O173" s="159"/>
      <c r="P173" s="26" t="s">
        <v>48</v>
      </c>
    </row>
    <row r="174" spans="1:16" ht="13.5" thickBot="1" x14ac:dyDescent="0.25">
      <c r="A174" s="133" t="s">
        <v>59</v>
      </c>
      <c r="B174" s="246">
        <v>30</v>
      </c>
      <c r="C174" s="2"/>
      <c r="D174" s="2"/>
      <c r="E174" s="2"/>
      <c r="F174" s="2"/>
      <c r="G174" s="2"/>
      <c r="H174" s="2"/>
      <c r="I174" s="2"/>
      <c r="J174" s="2"/>
      <c r="K174" s="2"/>
      <c r="L174" s="2"/>
      <c r="M174" s="2"/>
      <c r="O174" s="71"/>
      <c r="P174" s="245">
        <v>60</v>
      </c>
    </row>
    <row r="175" spans="1:16" ht="13.5" thickBot="1" x14ac:dyDescent="0.25">
      <c r="A175" s="132"/>
      <c r="B175" s="132"/>
      <c r="C175" s="2"/>
      <c r="D175" s="2"/>
      <c r="E175" s="2"/>
      <c r="F175" s="2"/>
      <c r="G175" s="2"/>
      <c r="H175" s="2"/>
      <c r="I175" s="2"/>
      <c r="J175" s="2"/>
      <c r="K175" s="2"/>
      <c r="L175" s="2"/>
      <c r="M175" s="2"/>
      <c r="O175" s="134"/>
      <c r="P175" s="134"/>
    </row>
    <row r="176" spans="1:16" ht="13.5" thickBot="1" x14ac:dyDescent="0.25">
      <c r="A176" s="129" t="s">
        <v>1</v>
      </c>
      <c r="B176" s="130" t="s">
        <v>16</v>
      </c>
      <c r="C176" s="2"/>
      <c r="D176" s="2"/>
      <c r="E176" s="2"/>
      <c r="F176" s="2"/>
      <c r="G176" s="2"/>
      <c r="H176" s="2"/>
      <c r="I176" s="2"/>
      <c r="J176" s="2"/>
      <c r="K176" s="2"/>
      <c r="L176" s="2"/>
      <c r="M176" s="2"/>
      <c r="O176" s="129" t="s">
        <v>1</v>
      </c>
      <c r="P176" s="130" t="s">
        <v>16</v>
      </c>
    </row>
    <row r="177" spans="1:16" x14ac:dyDescent="0.2">
      <c r="A177" s="57">
        <v>0</v>
      </c>
      <c r="B177" s="54">
        <v>0</v>
      </c>
      <c r="C177" s="2"/>
      <c r="D177" s="2"/>
      <c r="E177" s="2"/>
      <c r="F177" s="2"/>
      <c r="G177" s="2"/>
      <c r="H177" s="2"/>
      <c r="I177" s="2"/>
      <c r="J177" s="2"/>
      <c r="K177" s="2"/>
      <c r="L177" s="2"/>
      <c r="M177" s="2"/>
      <c r="O177" s="57">
        <v>0</v>
      </c>
      <c r="P177" s="54">
        <v>0</v>
      </c>
    </row>
    <row r="178" spans="1:16" x14ac:dyDescent="0.2">
      <c r="A178" s="52">
        <v>10</v>
      </c>
      <c r="B178" s="55">
        <v>0</v>
      </c>
      <c r="C178" s="2"/>
      <c r="D178" s="2"/>
      <c r="E178" s="2"/>
      <c r="F178" s="2"/>
      <c r="G178" s="2"/>
      <c r="H178" s="2"/>
      <c r="I178" s="2"/>
      <c r="J178" s="2"/>
      <c r="K178" s="2"/>
      <c r="L178" s="2"/>
      <c r="M178" s="2"/>
      <c r="O178" s="52">
        <v>10</v>
      </c>
      <c r="P178" s="55">
        <v>0</v>
      </c>
    </row>
    <row r="179" spans="1:16" x14ac:dyDescent="0.2">
      <c r="A179" s="52">
        <v>17.36</v>
      </c>
      <c r="B179" s="55">
        <v>0</v>
      </c>
      <c r="C179" s="2"/>
      <c r="D179" s="2"/>
      <c r="E179" s="2"/>
      <c r="F179" s="2"/>
      <c r="G179" s="2"/>
      <c r="H179" s="2"/>
      <c r="I179" s="2"/>
      <c r="J179" s="2"/>
      <c r="K179" s="2"/>
      <c r="L179" s="2"/>
      <c r="M179" s="2"/>
      <c r="O179" s="52">
        <v>50</v>
      </c>
      <c r="P179" s="55">
        <v>0</v>
      </c>
    </row>
    <row r="180" spans="1:16" x14ac:dyDescent="0.2">
      <c r="A180" s="52">
        <v>19.79</v>
      </c>
      <c r="B180" s="55">
        <v>60</v>
      </c>
      <c r="C180" s="2"/>
      <c r="D180" s="2"/>
      <c r="E180" s="2"/>
      <c r="F180" s="2"/>
      <c r="G180" s="2"/>
      <c r="H180" s="2"/>
      <c r="I180" s="2"/>
      <c r="J180" s="2"/>
      <c r="K180" s="2"/>
      <c r="L180" s="2"/>
      <c r="M180" s="2"/>
      <c r="O180" s="52">
        <v>75</v>
      </c>
      <c r="P180" s="55">
        <v>0</v>
      </c>
    </row>
    <row r="181" spans="1:16" x14ac:dyDescent="0.2">
      <c r="A181" s="52">
        <v>69.790000000000006</v>
      </c>
      <c r="B181" s="55">
        <v>60</v>
      </c>
      <c r="C181" s="117"/>
      <c r="D181" s="117"/>
      <c r="E181" s="117"/>
      <c r="F181" s="117"/>
      <c r="G181" s="117"/>
      <c r="H181" s="117"/>
      <c r="I181" s="117"/>
      <c r="J181" s="117"/>
      <c r="K181" s="117"/>
      <c r="L181" s="117"/>
      <c r="M181" s="117"/>
      <c r="O181" s="52">
        <v>88</v>
      </c>
      <c r="P181" s="55">
        <v>0</v>
      </c>
    </row>
    <row r="182" spans="1:16" x14ac:dyDescent="0.2">
      <c r="A182" s="52">
        <v>92.01</v>
      </c>
      <c r="B182" s="55">
        <v>0</v>
      </c>
      <c r="C182" s="117"/>
      <c r="D182" s="117"/>
      <c r="E182" s="117"/>
      <c r="F182" s="117"/>
      <c r="G182" s="117"/>
      <c r="H182" s="117"/>
      <c r="I182" s="117"/>
      <c r="J182" s="117"/>
      <c r="K182" s="117"/>
      <c r="L182" s="117"/>
      <c r="M182" s="117"/>
      <c r="O182" s="52">
        <v>94</v>
      </c>
      <c r="P182" s="55">
        <v>0</v>
      </c>
    </row>
    <row r="183" spans="1:16" x14ac:dyDescent="0.2">
      <c r="A183" s="52">
        <v>95</v>
      </c>
      <c r="B183" s="55">
        <v>0</v>
      </c>
      <c r="C183" s="2"/>
      <c r="D183" s="2"/>
      <c r="E183" s="2"/>
      <c r="F183" s="2"/>
      <c r="G183" s="2"/>
      <c r="H183" s="2"/>
      <c r="I183" s="2"/>
      <c r="J183" s="2"/>
      <c r="K183" s="2"/>
      <c r="L183" s="2"/>
      <c r="M183" s="2"/>
      <c r="O183" s="52">
        <v>95</v>
      </c>
      <c r="P183" s="55">
        <v>0</v>
      </c>
    </row>
    <row r="184" spans="1:16" ht="13.5" thickBot="1" x14ac:dyDescent="0.25">
      <c r="A184" s="53">
        <v>100</v>
      </c>
      <c r="B184" s="56">
        <v>0</v>
      </c>
      <c r="C184" s="2"/>
      <c r="D184" s="2"/>
      <c r="E184" s="2"/>
      <c r="F184" s="2"/>
      <c r="G184" s="2"/>
      <c r="H184" s="2"/>
      <c r="I184" s="2"/>
      <c r="J184" s="2"/>
      <c r="K184" s="2"/>
      <c r="L184" s="2"/>
      <c r="M184" s="2"/>
      <c r="O184" s="53">
        <v>100</v>
      </c>
      <c r="P184" s="56">
        <v>0</v>
      </c>
    </row>
    <row r="185" spans="1:16" ht="13.5" thickBot="1" x14ac:dyDescent="0.25">
      <c r="A185" s="2"/>
      <c r="B185" s="2"/>
      <c r="C185" s="2"/>
      <c r="D185" s="2"/>
      <c r="E185" s="2"/>
      <c r="F185" s="2"/>
      <c r="G185" s="2"/>
      <c r="H185" s="2"/>
      <c r="I185" s="2"/>
      <c r="J185" s="2"/>
      <c r="K185" s="2"/>
      <c r="L185" s="2"/>
      <c r="M185" s="2"/>
    </row>
    <row r="186" spans="1:16" ht="13.5" thickBot="1" x14ac:dyDescent="0.25">
      <c r="A186" s="25" t="s">
        <v>17</v>
      </c>
      <c r="B186" s="26" t="s">
        <v>16</v>
      </c>
      <c r="C186" s="2"/>
      <c r="D186" s="2"/>
      <c r="E186" s="2"/>
      <c r="F186" s="2"/>
      <c r="G186" s="2"/>
      <c r="H186" s="2"/>
      <c r="I186" s="2"/>
      <c r="J186" s="2"/>
      <c r="K186" s="2"/>
      <c r="L186" s="2"/>
      <c r="M186" s="2"/>
      <c r="O186" s="25" t="s">
        <v>17</v>
      </c>
      <c r="P186" s="26" t="s">
        <v>16</v>
      </c>
    </row>
    <row r="187" spans="1:16" x14ac:dyDescent="0.2">
      <c r="A187" s="39">
        <f t="shared" ref="A187:A194" si="78">A177*F$4/100</f>
        <v>0</v>
      </c>
      <c r="B187" s="40">
        <f t="shared" ref="B187:B194" si="79">B177</f>
        <v>0</v>
      </c>
      <c r="C187" s="2"/>
      <c r="D187" s="2"/>
      <c r="E187" s="2"/>
      <c r="F187" s="2"/>
      <c r="G187" s="2"/>
      <c r="H187" s="2"/>
      <c r="I187" s="2"/>
      <c r="J187" s="2"/>
      <c r="K187" s="2"/>
      <c r="L187" s="2"/>
      <c r="M187" s="2"/>
      <c r="O187" s="39">
        <f t="shared" ref="O187:O194" si="80">O177*F$5/100</f>
        <v>0</v>
      </c>
      <c r="P187" s="40">
        <f t="shared" ref="P187:P194" si="81">P177</f>
        <v>0</v>
      </c>
    </row>
    <row r="188" spans="1:16" x14ac:dyDescent="0.2">
      <c r="A188" s="41">
        <f t="shared" si="78"/>
        <v>0.13300000000000001</v>
      </c>
      <c r="B188" s="42">
        <f t="shared" si="79"/>
        <v>0</v>
      </c>
      <c r="C188" s="2"/>
      <c r="D188" s="2"/>
      <c r="E188" s="2"/>
      <c r="F188" s="2"/>
      <c r="G188" s="2"/>
      <c r="H188" s="2"/>
      <c r="I188" s="2"/>
      <c r="J188" s="2"/>
      <c r="K188" s="2"/>
      <c r="L188" s="2"/>
      <c r="M188" s="2"/>
      <c r="O188" s="41">
        <f t="shared" si="80"/>
        <v>0.15600000000000003</v>
      </c>
      <c r="P188" s="42">
        <f t="shared" si="81"/>
        <v>0</v>
      </c>
    </row>
    <row r="189" spans="1:16" x14ac:dyDescent="0.2">
      <c r="A189" s="41">
        <f t="shared" si="78"/>
        <v>0.23088799999999998</v>
      </c>
      <c r="B189" s="42">
        <f t="shared" si="79"/>
        <v>0</v>
      </c>
      <c r="C189" s="2"/>
      <c r="D189" s="2"/>
      <c r="E189" s="2"/>
      <c r="F189" s="2"/>
      <c r="G189" s="2"/>
      <c r="H189" s="2"/>
      <c r="I189" s="2"/>
      <c r="J189" s="2"/>
      <c r="K189" s="2"/>
      <c r="L189" s="2"/>
      <c r="M189" s="2"/>
      <c r="O189" s="131">
        <f t="shared" si="80"/>
        <v>0.78</v>
      </c>
      <c r="P189" s="135">
        <f t="shared" si="81"/>
        <v>0</v>
      </c>
    </row>
    <row r="190" spans="1:16" x14ac:dyDescent="0.2">
      <c r="A190" s="41">
        <f t="shared" si="78"/>
        <v>0.26320699999999997</v>
      </c>
      <c r="B190" s="42">
        <f t="shared" si="79"/>
        <v>60</v>
      </c>
      <c r="C190" s="2"/>
      <c r="D190" s="2"/>
      <c r="E190" s="2"/>
      <c r="F190" s="2"/>
      <c r="G190" s="2"/>
      <c r="H190" s="2"/>
      <c r="I190" s="2"/>
      <c r="J190" s="2"/>
      <c r="K190" s="2"/>
      <c r="L190" s="2"/>
      <c r="M190" s="2"/>
      <c r="O190" s="136">
        <f t="shared" si="80"/>
        <v>1.17</v>
      </c>
      <c r="P190" s="135">
        <f t="shared" si="81"/>
        <v>0</v>
      </c>
    </row>
    <row r="191" spans="1:16" x14ac:dyDescent="0.2">
      <c r="A191" s="41">
        <f t="shared" si="78"/>
        <v>0.92820700000000012</v>
      </c>
      <c r="B191" s="42">
        <f t="shared" si="79"/>
        <v>60</v>
      </c>
      <c r="C191" s="117"/>
      <c r="D191" s="117"/>
      <c r="E191" s="117"/>
      <c r="F191" s="117"/>
      <c r="G191" s="117"/>
      <c r="H191" s="117"/>
      <c r="I191" s="117"/>
      <c r="J191" s="117"/>
      <c r="K191" s="117"/>
      <c r="L191" s="117"/>
      <c r="M191" s="117"/>
      <c r="O191" s="136">
        <f t="shared" si="80"/>
        <v>1.3728</v>
      </c>
      <c r="P191" s="135">
        <f t="shared" si="81"/>
        <v>0</v>
      </c>
    </row>
    <row r="192" spans="1:16" x14ac:dyDescent="0.2">
      <c r="A192" s="131">
        <f t="shared" si="78"/>
        <v>1.2237330000000002</v>
      </c>
      <c r="B192" s="137">
        <f t="shared" si="79"/>
        <v>0</v>
      </c>
      <c r="C192" s="117"/>
      <c r="D192" s="117"/>
      <c r="E192" s="117"/>
      <c r="F192" s="117"/>
      <c r="G192" s="117"/>
      <c r="H192" s="117"/>
      <c r="I192" s="117"/>
      <c r="J192" s="117"/>
      <c r="K192" s="117"/>
      <c r="L192" s="117"/>
      <c r="M192" s="117"/>
      <c r="O192" s="131">
        <f t="shared" si="80"/>
        <v>1.4664000000000001</v>
      </c>
      <c r="P192" s="137">
        <f t="shared" si="81"/>
        <v>0</v>
      </c>
    </row>
    <row r="193" spans="1:16" x14ac:dyDescent="0.2">
      <c r="A193" s="131">
        <f t="shared" si="78"/>
        <v>1.2635000000000001</v>
      </c>
      <c r="B193" s="137">
        <f t="shared" si="79"/>
        <v>0</v>
      </c>
      <c r="C193" s="2"/>
      <c r="D193" s="2"/>
      <c r="E193" s="2"/>
      <c r="F193" s="2"/>
      <c r="G193" s="2"/>
      <c r="H193" s="2"/>
      <c r="I193" s="2"/>
      <c r="J193" s="2"/>
      <c r="K193" s="2"/>
      <c r="L193" s="2"/>
      <c r="M193" s="2"/>
      <c r="O193" s="131">
        <f t="shared" si="80"/>
        <v>1.4820000000000002</v>
      </c>
      <c r="P193" s="137">
        <f t="shared" si="81"/>
        <v>0</v>
      </c>
    </row>
    <row r="194" spans="1:16" ht="13.5" thickBot="1" x14ac:dyDescent="0.25">
      <c r="A194" s="138">
        <f t="shared" si="78"/>
        <v>1.33</v>
      </c>
      <c r="B194" s="139">
        <f t="shared" si="79"/>
        <v>0</v>
      </c>
      <c r="C194" s="1"/>
      <c r="D194" s="1"/>
      <c r="E194" s="1"/>
      <c r="F194" s="1"/>
      <c r="G194" s="1"/>
      <c r="H194" s="1"/>
      <c r="I194" s="1"/>
      <c r="J194" s="1"/>
      <c r="K194" s="1"/>
      <c r="L194" s="1"/>
      <c r="M194" s="1"/>
      <c r="O194" s="138">
        <f t="shared" si="80"/>
        <v>1.56</v>
      </c>
      <c r="P194" s="139">
        <f t="shared" si="81"/>
        <v>0</v>
      </c>
    </row>
    <row r="195" spans="1:16" x14ac:dyDescent="0.2">
      <c r="A195" s="140"/>
      <c r="B195" s="140"/>
      <c r="C195" s="1"/>
      <c r="D195" s="1"/>
      <c r="E195" s="1"/>
      <c r="F195" s="1"/>
      <c r="G195" s="1"/>
      <c r="H195" s="1"/>
      <c r="I195" s="1"/>
      <c r="J195" s="1"/>
      <c r="K195" s="1"/>
      <c r="L195" s="1"/>
      <c r="M195" s="1"/>
      <c r="O195" s="134"/>
      <c r="P195" s="134"/>
    </row>
    <row r="196" spans="1:16" ht="13.5" thickBot="1" x14ac:dyDescent="0.25">
      <c r="A196" s="140"/>
      <c r="B196" s="140"/>
      <c r="C196" s="1"/>
      <c r="D196" s="1"/>
      <c r="E196" s="1"/>
      <c r="F196" s="1"/>
      <c r="G196" s="1"/>
      <c r="H196" s="1"/>
      <c r="I196" s="1"/>
      <c r="J196" s="1"/>
      <c r="K196" s="1"/>
      <c r="L196" s="1"/>
      <c r="M196" s="1"/>
      <c r="O196" s="134"/>
      <c r="P196" s="134"/>
    </row>
    <row r="197" spans="1:16" ht="13.5" thickBot="1" x14ac:dyDescent="0.25">
      <c r="A197" s="141" t="s">
        <v>57</v>
      </c>
      <c r="B197" s="130" t="s">
        <v>48</v>
      </c>
      <c r="C197" s="1"/>
      <c r="D197" s="1"/>
      <c r="E197" s="1"/>
      <c r="F197" s="1"/>
      <c r="G197" s="1"/>
      <c r="H197" s="1"/>
      <c r="I197" s="1"/>
      <c r="J197" s="1"/>
      <c r="K197" s="1"/>
      <c r="L197" s="1"/>
      <c r="M197" s="1"/>
      <c r="O197" s="160"/>
      <c r="P197" s="26" t="s">
        <v>48</v>
      </c>
    </row>
    <row r="198" spans="1:16" ht="13.5" thickBot="1" x14ac:dyDescent="0.25">
      <c r="A198" s="13" t="s">
        <v>60</v>
      </c>
      <c r="B198" s="245">
        <v>60</v>
      </c>
      <c r="C198" s="1"/>
      <c r="D198" s="1"/>
      <c r="E198" s="1"/>
      <c r="F198" s="1"/>
      <c r="G198" s="1"/>
      <c r="H198" s="1"/>
      <c r="I198" s="1"/>
      <c r="J198" s="1"/>
      <c r="K198" s="1"/>
      <c r="L198" s="1"/>
      <c r="M198" s="1"/>
      <c r="O198" s="71"/>
      <c r="P198" s="245">
        <v>30</v>
      </c>
    </row>
    <row r="199" spans="1:16" ht="13.5" thickBot="1" x14ac:dyDescent="0.25"/>
    <row r="200" spans="1:16" ht="13.5" thickBot="1" x14ac:dyDescent="0.25">
      <c r="A200" s="25" t="s">
        <v>1</v>
      </c>
      <c r="B200" s="26" t="s">
        <v>16</v>
      </c>
      <c r="O200" s="25" t="s">
        <v>1</v>
      </c>
      <c r="P200" s="26" t="s">
        <v>16</v>
      </c>
    </row>
    <row r="201" spans="1:16" x14ac:dyDescent="0.2">
      <c r="A201" s="57">
        <v>0</v>
      </c>
      <c r="B201" s="54">
        <v>25</v>
      </c>
      <c r="O201" s="57">
        <v>0</v>
      </c>
      <c r="P201" s="54">
        <v>25</v>
      </c>
    </row>
    <row r="202" spans="1:16" x14ac:dyDescent="0.2">
      <c r="A202" s="52">
        <v>10</v>
      </c>
      <c r="B202" s="55">
        <v>25</v>
      </c>
      <c r="O202" s="52">
        <v>10</v>
      </c>
      <c r="P202" s="55">
        <v>25</v>
      </c>
    </row>
    <row r="203" spans="1:16" x14ac:dyDescent="0.2">
      <c r="A203" s="52">
        <v>17.36</v>
      </c>
      <c r="B203" s="55">
        <v>25</v>
      </c>
      <c r="O203" s="52">
        <v>20</v>
      </c>
      <c r="P203" s="55">
        <v>25</v>
      </c>
    </row>
    <row r="204" spans="1:16" x14ac:dyDescent="0.2">
      <c r="A204" s="52">
        <v>19.79</v>
      </c>
      <c r="B204" s="55">
        <v>0</v>
      </c>
      <c r="O204" s="52">
        <v>50</v>
      </c>
      <c r="P204" s="55">
        <v>25</v>
      </c>
    </row>
    <row r="205" spans="1:16" x14ac:dyDescent="0.2">
      <c r="A205" s="52">
        <v>67.010000000000005</v>
      </c>
      <c r="B205" s="55">
        <v>0</v>
      </c>
      <c r="O205" s="52">
        <v>93.06</v>
      </c>
      <c r="P205" s="55">
        <v>25</v>
      </c>
    </row>
    <row r="206" spans="1:16" x14ac:dyDescent="0.2">
      <c r="A206" s="52">
        <v>80.900000000000006</v>
      </c>
      <c r="B206" s="55">
        <v>25</v>
      </c>
      <c r="O206" s="52">
        <v>97</v>
      </c>
      <c r="P206" s="55">
        <v>25</v>
      </c>
    </row>
    <row r="207" spans="1:16" x14ac:dyDescent="0.2">
      <c r="A207" s="52">
        <v>90</v>
      </c>
      <c r="B207" s="55">
        <v>25</v>
      </c>
      <c r="O207" s="52">
        <v>99</v>
      </c>
      <c r="P207" s="55">
        <v>25</v>
      </c>
    </row>
    <row r="208" spans="1:16" ht="13.5" thickBot="1" x14ac:dyDescent="0.25">
      <c r="A208" s="53">
        <v>100</v>
      </c>
      <c r="B208" s="56">
        <v>25</v>
      </c>
      <c r="O208" s="53">
        <v>100</v>
      </c>
      <c r="P208" s="56">
        <v>25</v>
      </c>
    </row>
    <row r="209" spans="1:16" ht="13.5" thickBot="1" x14ac:dyDescent="0.25">
      <c r="O209" s="142"/>
    </row>
    <row r="210" spans="1:16" ht="13.5" thickBot="1" x14ac:dyDescent="0.25">
      <c r="A210" s="25" t="s">
        <v>17</v>
      </c>
      <c r="B210" s="26" t="s">
        <v>16</v>
      </c>
      <c r="O210" s="25" t="s">
        <v>17</v>
      </c>
      <c r="P210" s="26" t="s">
        <v>16</v>
      </c>
    </row>
    <row r="211" spans="1:16" x14ac:dyDescent="0.2">
      <c r="A211" s="39">
        <f t="shared" ref="A211:A218" si="82">A201*F$4/100</f>
        <v>0</v>
      </c>
      <c r="B211" s="40">
        <f t="shared" ref="B211:B218" si="83">B201</f>
        <v>25</v>
      </c>
      <c r="O211" s="39">
        <f t="shared" ref="O211:O218" si="84">O201*F$5/100</f>
        <v>0</v>
      </c>
      <c r="P211" s="40">
        <f t="shared" ref="P211:P218" si="85">P201</f>
        <v>25</v>
      </c>
    </row>
    <row r="212" spans="1:16" x14ac:dyDescent="0.2">
      <c r="A212" s="131">
        <f t="shared" si="82"/>
        <v>0.13300000000000001</v>
      </c>
      <c r="B212" s="137">
        <f t="shared" si="83"/>
        <v>25</v>
      </c>
      <c r="O212" s="131">
        <f t="shared" si="84"/>
        <v>0.15600000000000003</v>
      </c>
      <c r="P212" s="137">
        <f t="shared" si="85"/>
        <v>25</v>
      </c>
    </row>
    <row r="213" spans="1:16" x14ac:dyDescent="0.2">
      <c r="A213" s="131">
        <f t="shared" si="82"/>
        <v>0.23088799999999998</v>
      </c>
      <c r="B213" s="137">
        <f t="shared" si="83"/>
        <v>25</v>
      </c>
      <c r="O213" s="131">
        <f t="shared" si="84"/>
        <v>0.31200000000000006</v>
      </c>
      <c r="P213" s="137">
        <f t="shared" si="85"/>
        <v>25</v>
      </c>
    </row>
    <row r="214" spans="1:16" x14ac:dyDescent="0.2">
      <c r="A214" s="131">
        <f t="shared" si="82"/>
        <v>0.26320699999999997</v>
      </c>
      <c r="B214" s="137">
        <f t="shared" si="83"/>
        <v>0</v>
      </c>
      <c r="O214" s="131">
        <f t="shared" si="84"/>
        <v>0.78</v>
      </c>
      <c r="P214" s="137">
        <f t="shared" si="85"/>
        <v>25</v>
      </c>
    </row>
    <row r="215" spans="1:16" x14ac:dyDescent="0.2">
      <c r="A215" s="131">
        <f t="shared" si="82"/>
        <v>0.89123300000000016</v>
      </c>
      <c r="B215" s="137">
        <f t="shared" si="83"/>
        <v>0</v>
      </c>
      <c r="O215" s="131">
        <f t="shared" si="84"/>
        <v>1.4517360000000001</v>
      </c>
      <c r="P215" s="137">
        <f t="shared" si="85"/>
        <v>25</v>
      </c>
    </row>
    <row r="216" spans="1:16" x14ac:dyDescent="0.2">
      <c r="A216" s="131">
        <f t="shared" si="82"/>
        <v>1.0759700000000001</v>
      </c>
      <c r="B216" s="137">
        <f t="shared" si="83"/>
        <v>25</v>
      </c>
      <c r="O216" s="131">
        <f t="shared" si="84"/>
        <v>1.5131999999999999</v>
      </c>
      <c r="P216" s="137">
        <f t="shared" si="85"/>
        <v>25</v>
      </c>
    </row>
    <row r="217" spans="1:16" x14ac:dyDescent="0.2">
      <c r="A217" s="131">
        <f t="shared" si="82"/>
        <v>1.1970000000000001</v>
      </c>
      <c r="B217" s="137">
        <f t="shared" si="83"/>
        <v>25</v>
      </c>
      <c r="O217" s="131">
        <f t="shared" si="84"/>
        <v>1.5444</v>
      </c>
      <c r="P217" s="137">
        <f t="shared" si="85"/>
        <v>25</v>
      </c>
    </row>
    <row r="218" spans="1:16" ht="13.5" thickBot="1" x14ac:dyDescent="0.25">
      <c r="A218" s="43">
        <f t="shared" si="82"/>
        <v>1.33</v>
      </c>
      <c r="B218" s="44">
        <f t="shared" si="83"/>
        <v>25</v>
      </c>
      <c r="O218" s="43">
        <f t="shared" si="84"/>
        <v>1.56</v>
      </c>
      <c r="P218" s="44">
        <f t="shared" si="85"/>
        <v>25</v>
      </c>
    </row>
    <row r="220" spans="1:16" ht="13.5" thickBot="1" x14ac:dyDescent="0.25"/>
    <row r="221" spans="1:16" ht="13.5" thickBot="1" x14ac:dyDescent="0.25">
      <c r="A221" s="120" t="s">
        <v>57</v>
      </c>
      <c r="B221" s="26" t="s">
        <v>48</v>
      </c>
      <c r="O221" s="31"/>
      <c r="P221" s="26" t="s">
        <v>48</v>
      </c>
    </row>
    <row r="222" spans="1:16" ht="13.5" thickBot="1" x14ac:dyDescent="0.25">
      <c r="A222" s="13" t="s">
        <v>61</v>
      </c>
      <c r="B222" s="245">
        <v>60</v>
      </c>
      <c r="O222" s="71"/>
      <c r="P222" s="245">
        <v>30</v>
      </c>
    </row>
    <row r="223" spans="1:16" ht="13.5" thickBot="1" x14ac:dyDescent="0.25"/>
    <row r="224" spans="1:16" ht="13.5" thickBot="1" x14ac:dyDescent="0.25">
      <c r="A224" s="25" t="s">
        <v>1</v>
      </c>
      <c r="B224" s="26" t="s">
        <v>16</v>
      </c>
      <c r="O224" s="25" t="s">
        <v>1</v>
      </c>
      <c r="P224" s="26" t="s">
        <v>16</v>
      </c>
    </row>
    <row r="225" spans="1:16" x14ac:dyDescent="0.2">
      <c r="A225" s="57">
        <v>0</v>
      </c>
      <c r="B225" s="54">
        <v>150</v>
      </c>
      <c r="O225" s="57">
        <v>0</v>
      </c>
      <c r="P225" s="54">
        <v>150</v>
      </c>
    </row>
    <row r="226" spans="1:16" x14ac:dyDescent="0.2">
      <c r="A226" s="52">
        <v>17.36</v>
      </c>
      <c r="B226" s="55">
        <v>100</v>
      </c>
      <c r="O226" s="52">
        <v>10</v>
      </c>
      <c r="P226" s="55">
        <v>150</v>
      </c>
    </row>
    <row r="227" spans="1:16" x14ac:dyDescent="0.2">
      <c r="A227" s="52">
        <v>19.79</v>
      </c>
      <c r="B227" s="55">
        <v>0</v>
      </c>
      <c r="O227" s="52">
        <v>50</v>
      </c>
      <c r="P227" s="55">
        <v>150</v>
      </c>
    </row>
    <row r="228" spans="1:16" x14ac:dyDescent="0.2">
      <c r="A228" s="52">
        <v>89.24</v>
      </c>
      <c r="B228" s="55">
        <v>0</v>
      </c>
      <c r="O228" s="52">
        <v>89.93</v>
      </c>
      <c r="P228" s="55">
        <v>150</v>
      </c>
    </row>
    <row r="229" spans="1:16" x14ac:dyDescent="0.2">
      <c r="A229" s="52">
        <v>92.01</v>
      </c>
      <c r="B229" s="55">
        <v>150</v>
      </c>
      <c r="O229" s="52">
        <v>95</v>
      </c>
      <c r="P229" s="55">
        <v>150</v>
      </c>
    </row>
    <row r="230" spans="1:16" x14ac:dyDescent="0.2">
      <c r="A230" s="52">
        <v>94</v>
      </c>
      <c r="B230" s="55">
        <v>150</v>
      </c>
      <c r="O230" s="52">
        <v>98</v>
      </c>
      <c r="P230" s="55">
        <v>150</v>
      </c>
    </row>
    <row r="231" spans="1:16" x14ac:dyDescent="0.2">
      <c r="A231" s="52">
        <v>96</v>
      </c>
      <c r="B231" s="55">
        <v>150</v>
      </c>
      <c r="O231" s="52">
        <v>99</v>
      </c>
      <c r="P231" s="55">
        <v>150</v>
      </c>
    </row>
    <row r="232" spans="1:16" ht="13.5" thickBot="1" x14ac:dyDescent="0.25">
      <c r="A232" s="53">
        <v>100</v>
      </c>
      <c r="B232" s="56">
        <v>150</v>
      </c>
      <c r="O232" s="53">
        <v>100</v>
      </c>
      <c r="P232" s="56">
        <v>150</v>
      </c>
    </row>
    <row r="233" spans="1:16" ht="13.5" thickBot="1" x14ac:dyDescent="0.25">
      <c r="A233" s="134"/>
      <c r="B233" s="134"/>
      <c r="O233" s="134"/>
      <c r="P233" s="134"/>
    </row>
    <row r="234" spans="1:16" ht="13.5" thickBot="1" x14ac:dyDescent="0.25">
      <c r="A234" s="129" t="s">
        <v>17</v>
      </c>
      <c r="B234" s="130" t="s">
        <v>16</v>
      </c>
      <c r="O234" s="129" t="s">
        <v>17</v>
      </c>
      <c r="P234" s="130" t="s">
        <v>16</v>
      </c>
    </row>
    <row r="235" spans="1:16" x14ac:dyDescent="0.2">
      <c r="A235" s="143">
        <f t="shared" ref="A235:A242" si="86">A225*F$4/100</f>
        <v>0</v>
      </c>
      <c r="B235" s="144">
        <f t="shared" ref="B235:B242" si="87">B225</f>
        <v>150</v>
      </c>
      <c r="O235" s="143">
        <f t="shared" ref="O235:O242" si="88">O225*F$5/100</f>
        <v>0</v>
      </c>
      <c r="P235" s="144">
        <f t="shared" ref="P235:P242" si="89">P225</f>
        <v>150</v>
      </c>
    </row>
    <row r="236" spans="1:16" x14ac:dyDescent="0.2">
      <c r="A236" s="131">
        <f t="shared" si="86"/>
        <v>0.23088799999999998</v>
      </c>
      <c r="B236" s="137">
        <f t="shared" si="87"/>
        <v>100</v>
      </c>
      <c r="O236" s="131">
        <f t="shared" si="88"/>
        <v>0.15600000000000003</v>
      </c>
      <c r="P236" s="137">
        <f t="shared" si="89"/>
        <v>150</v>
      </c>
    </row>
    <row r="237" spans="1:16" x14ac:dyDescent="0.2">
      <c r="A237" s="131">
        <f t="shared" si="86"/>
        <v>0.26320699999999997</v>
      </c>
      <c r="B237" s="137">
        <f t="shared" si="87"/>
        <v>0</v>
      </c>
      <c r="O237" s="131">
        <f t="shared" si="88"/>
        <v>0.78</v>
      </c>
      <c r="P237" s="137">
        <f t="shared" si="89"/>
        <v>150</v>
      </c>
    </row>
    <row r="238" spans="1:16" x14ac:dyDescent="0.2">
      <c r="A238" s="41">
        <f t="shared" si="86"/>
        <v>1.1868920000000001</v>
      </c>
      <c r="B238" s="42">
        <f t="shared" si="87"/>
        <v>0</v>
      </c>
      <c r="O238" s="41">
        <f t="shared" si="88"/>
        <v>1.4029080000000003</v>
      </c>
      <c r="P238" s="42">
        <f t="shared" si="89"/>
        <v>150</v>
      </c>
    </row>
    <row r="239" spans="1:16" x14ac:dyDescent="0.2">
      <c r="A239" s="41">
        <f t="shared" si="86"/>
        <v>1.2237330000000002</v>
      </c>
      <c r="B239" s="42">
        <f t="shared" si="87"/>
        <v>150</v>
      </c>
      <c r="O239" s="41">
        <f t="shared" si="88"/>
        <v>1.4820000000000002</v>
      </c>
      <c r="P239" s="42">
        <f t="shared" si="89"/>
        <v>150</v>
      </c>
    </row>
    <row r="240" spans="1:16" x14ac:dyDescent="0.2">
      <c r="A240" s="41">
        <f t="shared" si="86"/>
        <v>1.2502000000000002</v>
      </c>
      <c r="B240" s="42">
        <f t="shared" si="87"/>
        <v>150</v>
      </c>
      <c r="O240" s="41">
        <f t="shared" si="88"/>
        <v>1.5287999999999999</v>
      </c>
      <c r="P240" s="42">
        <f t="shared" si="89"/>
        <v>150</v>
      </c>
    </row>
    <row r="241" spans="1:16" x14ac:dyDescent="0.2">
      <c r="A241" s="41">
        <f t="shared" si="86"/>
        <v>1.2768000000000002</v>
      </c>
      <c r="B241" s="42">
        <f t="shared" si="87"/>
        <v>150</v>
      </c>
      <c r="O241" s="41">
        <f t="shared" si="88"/>
        <v>1.5444</v>
      </c>
      <c r="P241" s="42">
        <f t="shared" si="89"/>
        <v>150</v>
      </c>
    </row>
    <row r="242" spans="1:16" ht="13.5" thickBot="1" x14ac:dyDescent="0.25">
      <c r="A242" s="43">
        <f t="shared" si="86"/>
        <v>1.33</v>
      </c>
      <c r="B242" s="44">
        <f t="shared" si="87"/>
        <v>150</v>
      </c>
      <c r="O242" s="43">
        <f t="shared" si="88"/>
        <v>1.56</v>
      </c>
      <c r="P242" s="44">
        <f t="shared" si="89"/>
        <v>150</v>
      </c>
    </row>
    <row r="244" spans="1:16" ht="13.5" thickBot="1" x14ac:dyDescent="0.25"/>
    <row r="245" spans="1:16" ht="13.5" thickBot="1" x14ac:dyDescent="0.25">
      <c r="A245" s="120" t="s">
        <v>57</v>
      </c>
      <c r="B245" s="26" t="s">
        <v>48</v>
      </c>
      <c r="O245" s="31"/>
      <c r="P245" s="26" t="s">
        <v>48</v>
      </c>
    </row>
    <row r="246" spans="1:16" ht="13.5" thickBot="1" x14ac:dyDescent="0.25">
      <c r="A246" s="13" t="s">
        <v>62</v>
      </c>
      <c r="B246" s="245">
        <v>60</v>
      </c>
      <c r="O246" s="71"/>
      <c r="P246" s="245">
        <v>30</v>
      </c>
    </row>
    <row r="247" spans="1:16" ht="13.5" thickBot="1" x14ac:dyDescent="0.25"/>
    <row r="248" spans="1:16" ht="13.5" thickBot="1" x14ac:dyDescent="0.25">
      <c r="A248" s="25" t="s">
        <v>1</v>
      </c>
      <c r="B248" s="26" t="s">
        <v>16</v>
      </c>
      <c r="O248" s="25" t="s">
        <v>1</v>
      </c>
      <c r="P248" s="26" t="s">
        <v>16</v>
      </c>
    </row>
    <row r="249" spans="1:16" x14ac:dyDescent="0.2">
      <c r="A249" s="57">
        <v>0</v>
      </c>
      <c r="B249" s="54">
        <v>150</v>
      </c>
      <c r="O249" s="57">
        <v>0</v>
      </c>
      <c r="P249" s="54">
        <v>150</v>
      </c>
    </row>
    <row r="250" spans="1:16" x14ac:dyDescent="0.2">
      <c r="A250" s="52">
        <v>17.36</v>
      </c>
      <c r="B250" s="55">
        <v>100</v>
      </c>
      <c r="O250" s="52">
        <v>10</v>
      </c>
      <c r="P250" s="55">
        <v>150</v>
      </c>
    </row>
    <row r="251" spans="1:16" x14ac:dyDescent="0.2">
      <c r="A251" s="52">
        <v>19.79</v>
      </c>
      <c r="B251" s="55">
        <v>0</v>
      </c>
      <c r="O251" s="52">
        <v>50</v>
      </c>
      <c r="P251" s="55">
        <v>150</v>
      </c>
    </row>
    <row r="252" spans="1:16" x14ac:dyDescent="0.2">
      <c r="A252" s="52">
        <v>86.46</v>
      </c>
      <c r="B252" s="55">
        <v>0</v>
      </c>
      <c r="O252" s="52">
        <v>93.06</v>
      </c>
      <c r="P252" s="55">
        <v>150</v>
      </c>
    </row>
    <row r="253" spans="1:16" x14ac:dyDescent="0.2">
      <c r="A253" s="52">
        <v>92.01</v>
      </c>
      <c r="B253" s="55">
        <v>150</v>
      </c>
      <c r="O253" s="52">
        <v>96.53</v>
      </c>
      <c r="P253" s="55">
        <v>150</v>
      </c>
    </row>
    <row r="254" spans="1:16" x14ac:dyDescent="0.2">
      <c r="A254" s="52">
        <v>96</v>
      </c>
      <c r="B254" s="55">
        <v>150</v>
      </c>
      <c r="L254" s="121"/>
      <c r="O254" s="52">
        <v>98</v>
      </c>
      <c r="P254" s="55">
        <v>150</v>
      </c>
    </row>
    <row r="255" spans="1:16" x14ac:dyDescent="0.2">
      <c r="A255" s="52">
        <v>98</v>
      </c>
      <c r="B255" s="55">
        <v>150</v>
      </c>
      <c r="L255" s="121"/>
      <c r="O255" s="52">
        <v>99</v>
      </c>
      <c r="P255" s="55">
        <v>150</v>
      </c>
    </row>
    <row r="256" spans="1:16" ht="13.5" thickBot="1" x14ac:dyDescent="0.25">
      <c r="A256" s="53">
        <v>100</v>
      </c>
      <c r="B256" s="56">
        <v>150</v>
      </c>
      <c r="L256" s="121"/>
      <c r="O256" s="53">
        <v>100</v>
      </c>
      <c r="P256" s="56">
        <v>150</v>
      </c>
    </row>
    <row r="257" spans="1:16" ht="13.5" thickBot="1" x14ac:dyDescent="0.25">
      <c r="L257" s="121"/>
    </row>
    <row r="258" spans="1:16" ht="13.5" thickBot="1" x14ac:dyDescent="0.25">
      <c r="A258" s="25" t="s">
        <v>17</v>
      </c>
      <c r="B258" s="26" t="s">
        <v>16</v>
      </c>
      <c r="L258" s="121"/>
      <c r="O258" s="25" t="s">
        <v>17</v>
      </c>
      <c r="P258" s="26" t="s">
        <v>16</v>
      </c>
    </row>
    <row r="259" spans="1:16" x14ac:dyDescent="0.2">
      <c r="A259" s="39">
        <f t="shared" ref="A259:A266" si="90">A249*F$4/100</f>
        <v>0</v>
      </c>
      <c r="B259" s="40">
        <f t="shared" ref="B259:B266" si="91">B249</f>
        <v>150</v>
      </c>
      <c r="L259" s="121"/>
      <c r="O259" s="39">
        <f t="shared" ref="O259:O266" si="92">O249*F$5/100</f>
        <v>0</v>
      </c>
      <c r="P259" s="40">
        <f t="shared" ref="P259:P266" si="93">P249</f>
        <v>150</v>
      </c>
    </row>
    <row r="260" spans="1:16" x14ac:dyDescent="0.2">
      <c r="A260" s="41">
        <f t="shared" si="90"/>
        <v>0.23088799999999998</v>
      </c>
      <c r="B260" s="42">
        <f t="shared" si="91"/>
        <v>100</v>
      </c>
      <c r="L260" s="121"/>
      <c r="O260" s="41">
        <f t="shared" si="92"/>
        <v>0.15600000000000003</v>
      </c>
      <c r="P260" s="42">
        <f t="shared" si="93"/>
        <v>150</v>
      </c>
    </row>
    <row r="261" spans="1:16" x14ac:dyDescent="0.2">
      <c r="A261" s="41">
        <f t="shared" si="90"/>
        <v>0.26320699999999997</v>
      </c>
      <c r="B261" s="42">
        <f t="shared" si="91"/>
        <v>0</v>
      </c>
      <c r="L261" s="121"/>
      <c r="O261" s="41">
        <f t="shared" si="92"/>
        <v>0.78</v>
      </c>
      <c r="P261" s="42">
        <f t="shared" si="93"/>
        <v>150</v>
      </c>
    </row>
    <row r="262" spans="1:16" x14ac:dyDescent="0.2">
      <c r="A262" s="41">
        <f t="shared" si="90"/>
        <v>1.149918</v>
      </c>
      <c r="B262" s="42">
        <f t="shared" si="91"/>
        <v>0</v>
      </c>
      <c r="O262" s="41">
        <f t="shared" si="92"/>
        <v>1.4517360000000001</v>
      </c>
      <c r="P262" s="42">
        <f t="shared" si="93"/>
        <v>150</v>
      </c>
    </row>
    <row r="263" spans="1:16" x14ac:dyDescent="0.2">
      <c r="A263" s="41">
        <f t="shared" si="90"/>
        <v>1.2237330000000002</v>
      </c>
      <c r="B263" s="42">
        <f t="shared" si="91"/>
        <v>150</v>
      </c>
      <c r="O263" s="41">
        <f t="shared" si="92"/>
        <v>1.5058680000000002</v>
      </c>
      <c r="P263" s="42">
        <f t="shared" si="93"/>
        <v>150</v>
      </c>
    </row>
    <row r="264" spans="1:16" x14ac:dyDescent="0.2">
      <c r="A264" s="41">
        <f t="shared" si="90"/>
        <v>1.2768000000000002</v>
      </c>
      <c r="B264" s="42">
        <f t="shared" si="91"/>
        <v>150</v>
      </c>
      <c r="O264" s="41">
        <f t="shared" si="92"/>
        <v>1.5287999999999999</v>
      </c>
      <c r="P264" s="42">
        <f t="shared" si="93"/>
        <v>150</v>
      </c>
    </row>
    <row r="265" spans="1:16" x14ac:dyDescent="0.2">
      <c r="A265" s="41">
        <f t="shared" si="90"/>
        <v>1.3034000000000001</v>
      </c>
      <c r="B265" s="42">
        <f t="shared" si="91"/>
        <v>150</v>
      </c>
      <c r="O265" s="41">
        <f t="shared" si="92"/>
        <v>1.5444</v>
      </c>
      <c r="P265" s="42">
        <f t="shared" si="93"/>
        <v>150</v>
      </c>
    </row>
    <row r="266" spans="1:16" ht="13.5" thickBot="1" x14ac:dyDescent="0.25">
      <c r="A266" s="43">
        <f t="shared" si="90"/>
        <v>1.33</v>
      </c>
      <c r="B266" s="145">
        <f t="shared" si="91"/>
        <v>150</v>
      </c>
      <c r="O266" s="138">
        <f t="shared" si="92"/>
        <v>1.56</v>
      </c>
      <c r="P266" s="44">
        <f t="shared" si="93"/>
        <v>150</v>
      </c>
    </row>
    <row r="268" spans="1:16" ht="13.5" thickBot="1" x14ac:dyDescent="0.25"/>
    <row r="269" spans="1:16" ht="13.5" thickBot="1" x14ac:dyDescent="0.25">
      <c r="A269" s="129" t="s">
        <v>57</v>
      </c>
      <c r="B269" s="130" t="s">
        <v>48</v>
      </c>
      <c r="O269" s="31"/>
      <c r="P269" s="26" t="s">
        <v>48</v>
      </c>
    </row>
    <row r="270" spans="1:16" ht="13.5" thickBot="1" x14ac:dyDescent="0.25">
      <c r="A270" s="133" t="s">
        <v>63</v>
      </c>
      <c r="B270" s="246">
        <v>30</v>
      </c>
      <c r="O270" s="147"/>
      <c r="P270" s="245">
        <v>60</v>
      </c>
    </row>
    <row r="271" spans="1:16" ht="13.5" thickBot="1" x14ac:dyDescent="0.25">
      <c r="A271" s="146"/>
      <c r="B271" s="146"/>
      <c r="O271" s="146"/>
      <c r="P271" s="146"/>
    </row>
    <row r="272" spans="1:16" ht="13.5" thickBot="1" x14ac:dyDescent="0.25">
      <c r="A272" s="129" t="s">
        <v>1</v>
      </c>
      <c r="B272" s="130" t="s">
        <v>16</v>
      </c>
      <c r="O272" s="129" t="s">
        <v>1</v>
      </c>
      <c r="P272" s="130" t="s">
        <v>16</v>
      </c>
    </row>
    <row r="273" spans="1:16" x14ac:dyDescent="0.2">
      <c r="A273" s="57">
        <v>0</v>
      </c>
      <c r="B273" s="54">
        <v>0</v>
      </c>
      <c r="O273" s="57">
        <v>0</v>
      </c>
      <c r="P273" s="54">
        <v>0</v>
      </c>
    </row>
    <row r="274" spans="1:16" x14ac:dyDescent="0.2">
      <c r="A274" s="52">
        <v>10</v>
      </c>
      <c r="B274" s="55">
        <v>0</v>
      </c>
      <c r="O274" s="52">
        <v>10</v>
      </c>
      <c r="P274" s="55">
        <v>0</v>
      </c>
    </row>
    <row r="275" spans="1:16" x14ac:dyDescent="0.2">
      <c r="A275" s="52">
        <v>17.36</v>
      </c>
      <c r="B275" s="55">
        <v>0</v>
      </c>
      <c r="O275" s="52">
        <v>50</v>
      </c>
      <c r="P275" s="55">
        <v>0</v>
      </c>
    </row>
    <row r="276" spans="1:16" x14ac:dyDescent="0.2">
      <c r="A276" s="52">
        <v>19.79</v>
      </c>
      <c r="B276" s="55">
        <v>150</v>
      </c>
      <c r="O276" s="52">
        <v>75</v>
      </c>
      <c r="P276" s="55">
        <v>0</v>
      </c>
    </row>
    <row r="277" spans="1:16" x14ac:dyDescent="0.2">
      <c r="A277" s="52">
        <v>69.790000000000006</v>
      </c>
      <c r="B277" s="55">
        <v>150</v>
      </c>
      <c r="O277" s="52">
        <v>88</v>
      </c>
      <c r="P277" s="55">
        <v>0</v>
      </c>
    </row>
    <row r="278" spans="1:16" x14ac:dyDescent="0.2">
      <c r="A278" s="52">
        <v>92.01</v>
      </c>
      <c r="B278" s="55">
        <v>0</v>
      </c>
      <c r="O278" s="52">
        <v>94</v>
      </c>
      <c r="P278" s="55">
        <v>0</v>
      </c>
    </row>
    <row r="279" spans="1:16" x14ac:dyDescent="0.2">
      <c r="A279" s="52">
        <v>95</v>
      </c>
      <c r="B279" s="55">
        <v>0</v>
      </c>
      <c r="O279" s="52">
        <v>95</v>
      </c>
      <c r="P279" s="55">
        <v>0</v>
      </c>
    </row>
    <row r="280" spans="1:16" ht="13.5" thickBot="1" x14ac:dyDescent="0.25">
      <c r="A280" s="53">
        <v>100</v>
      </c>
      <c r="B280" s="56">
        <v>0</v>
      </c>
      <c r="O280" s="53">
        <v>100</v>
      </c>
      <c r="P280" s="56">
        <v>0</v>
      </c>
    </row>
    <row r="281" spans="1:16" ht="13.5" thickBot="1" x14ac:dyDescent="0.25"/>
    <row r="282" spans="1:16" ht="13.5" thickBot="1" x14ac:dyDescent="0.25">
      <c r="A282" s="25" t="s">
        <v>17</v>
      </c>
      <c r="B282" s="26" t="s">
        <v>16</v>
      </c>
      <c r="O282" s="25" t="s">
        <v>17</v>
      </c>
      <c r="P282" s="26" t="s">
        <v>16</v>
      </c>
    </row>
    <row r="283" spans="1:16" x14ac:dyDescent="0.2">
      <c r="A283" s="39">
        <f t="shared" ref="A283:A290" si="94">A273*F$4/100</f>
        <v>0</v>
      </c>
      <c r="B283" s="40">
        <f t="shared" ref="B283:B290" si="95">B273</f>
        <v>0</v>
      </c>
      <c r="O283" s="39">
        <f t="shared" ref="O283:O290" si="96">O273*F$5/100</f>
        <v>0</v>
      </c>
      <c r="P283" s="40">
        <f t="shared" ref="P283:P290" si="97">P273</f>
        <v>0</v>
      </c>
    </row>
    <row r="284" spans="1:16" x14ac:dyDescent="0.2">
      <c r="A284" s="41">
        <f t="shared" si="94"/>
        <v>0.13300000000000001</v>
      </c>
      <c r="B284" s="42">
        <f t="shared" si="95"/>
        <v>0</v>
      </c>
      <c r="O284" s="41">
        <f t="shared" si="96"/>
        <v>0.15600000000000003</v>
      </c>
      <c r="P284" s="42">
        <f t="shared" si="97"/>
        <v>0</v>
      </c>
    </row>
    <row r="285" spans="1:16" x14ac:dyDescent="0.2">
      <c r="A285" s="41">
        <f t="shared" si="94"/>
        <v>0.23088799999999998</v>
      </c>
      <c r="B285" s="42">
        <f t="shared" si="95"/>
        <v>0</v>
      </c>
      <c r="O285" s="41">
        <f t="shared" si="96"/>
        <v>0.78</v>
      </c>
      <c r="P285" s="42">
        <f t="shared" si="97"/>
        <v>0</v>
      </c>
    </row>
    <row r="286" spans="1:16" x14ac:dyDescent="0.2">
      <c r="A286" s="41">
        <f t="shared" si="94"/>
        <v>0.26320699999999997</v>
      </c>
      <c r="B286" s="135">
        <f t="shared" si="95"/>
        <v>150</v>
      </c>
      <c r="O286" s="131">
        <f t="shared" si="96"/>
        <v>1.17</v>
      </c>
      <c r="P286" s="42">
        <f t="shared" si="97"/>
        <v>0</v>
      </c>
    </row>
    <row r="287" spans="1:16" x14ac:dyDescent="0.2">
      <c r="A287" s="41">
        <f t="shared" si="94"/>
        <v>0.92820700000000012</v>
      </c>
      <c r="B287" s="42">
        <f t="shared" si="95"/>
        <v>150</v>
      </c>
      <c r="O287" s="41">
        <f t="shared" si="96"/>
        <v>1.3728</v>
      </c>
      <c r="P287" s="42">
        <f t="shared" si="97"/>
        <v>0</v>
      </c>
    </row>
    <row r="288" spans="1:16" x14ac:dyDescent="0.2">
      <c r="A288" s="41">
        <f t="shared" si="94"/>
        <v>1.2237330000000002</v>
      </c>
      <c r="B288" s="42">
        <f t="shared" si="95"/>
        <v>0</v>
      </c>
      <c r="O288" s="41">
        <f t="shared" si="96"/>
        <v>1.4664000000000001</v>
      </c>
      <c r="P288" s="42">
        <f t="shared" si="97"/>
        <v>0</v>
      </c>
    </row>
    <row r="289" spans="1:16" x14ac:dyDescent="0.2">
      <c r="A289" s="148">
        <f t="shared" si="94"/>
        <v>1.2635000000000001</v>
      </c>
      <c r="B289" s="149">
        <f t="shared" si="95"/>
        <v>0</v>
      </c>
      <c r="O289" s="131">
        <f t="shared" si="96"/>
        <v>1.4820000000000002</v>
      </c>
      <c r="P289" s="137">
        <f t="shared" si="97"/>
        <v>0</v>
      </c>
    </row>
    <row r="290" spans="1:16" ht="13.5" thickBot="1" x14ac:dyDescent="0.25">
      <c r="A290" s="150">
        <f t="shared" si="94"/>
        <v>1.33</v>
      </c>
      <c r="B290" s="151">
        <f t="shared" si="95"/>
        <v>0</v>
      </c>
      <c r="O290" s="138">
        <f t="shared" si="96"/>
        <v>1.56</v>
      </c>
      <c r="P290" s="139">
        <f t="shared" si="97"/>
        <v>0</v>
      </c>
    </row>
    <row r="291" spans="1:16" x14ac:dyDescent="0.2">
      <c r="A291" s="146"/>
      <c r="B291" s="146"/>
      <c r="O291" s="134"/>
      <c r="P291" s="134"/>
    </row>
    <row r="292" spans="1:16" ht="13.5" thickBot="1" x14ac:dyDescent="0.25">
      <c r="A292" s="146"/>
      <c r="B292" s="146"/>
      <c r="O292" s="134"/>
      <c r="P292" s="134"/>
    </row>
    <row r="293" spans="1:16" ht="13.5" thickBot="1" x14ac:dyDescent="0.25">
      <c r="A293" s="129" t="s">
        <v>57</v>
      </c>
      <c r="B293" s="130" t="s">
        <v>48</v>
      </c>
      <c r="O293" s="159"/>
      <c r="P293" s="26" t="s">
        <v>48</v>
      </c>
    </row>
    <row r="294" spans="1:16" ht="13.5" thickBot="1" x14ac:dyDescent="0.25">
      <c r="A294" s="133" t="s">
        <v>64</v>
      </c>
      <c r="B294" s="246">
        <v>30</v>
      </c>
      <c r="O294" s="71"/>
      <c r="P294" s="245">
        <v>60</v>
      </c>
    </row>
    <row r="295" spans="1:16" ht="13.5" thickBot="1" x14ac:dyDescent="0.25"/>
    <row r="296" spans="1:16" ht="13.5" thickBot="1" x14ac:dyDescent="0.25">
      <c r="A296" s="25" t="s">
        <v>1</v>
      </c>
      <c r="B296" s="26" t="s">
        <v>16</v>
      </c>
      <c r="O296" s="25" t="s">
        <v>1</v>
      </c>
      <c r="P296" s="26" t="s">
        <v>16</v>
      </c>
    </row>
    <row r="297" spans="1:16" x14ac:dyDescent="0.2">
      <c r="A297" s="57">
        <v>0</v>
      </c>
      <c r="B297" s="54">
        <v>0</v>
      </c>
      <c r="O297" s="57">
        <v>0</v>
      </c>
      <c r="P297" s="54">
        <v>0</v>
      </c>
    </row>
    <row r="298" spans="1:16" x14ac:dyDescent="0.2">
      <c r="A298" s="52">
        <v>10</v>
      </c>
      <c r="B298" s="55">
        <v>0</v>
      </c>
      <c r="O298" s="52">
        <v>10</v>
      </c>
      <c r="P298" s="55">
        <v>0</v>
      </c>
    </row>
    <row r="299" spans="1:16" x14ac:dyDescent="0.2">
      <c r="A299" s="52">
        <v>17.36</v>
      </c>
      <c r="B299" s="55">
        <v>0</v>
      </c>
      <c r="O299" s="52">
        <v>50</v>
      </c>
      <c r="P299" s="55">
        <v>0</v>
      </c>
    </row>
    <row r="300" spans="1:16" x14ac:dyDescent="0.2">
      <c r="A300" s="52">
        <v>19.79</v>
      </c>
      <c r="B300" s="55">
        <v>60</v>
      </c>
      <c r="O300" s="52">
        <v>75</v>
      </c>
      <c r="P300" s="55">
        <v>0</v>
      </c>
    </row>
    <row r="301" spans="1:16" x14ac:dyDescent="0.2">
      <c r="A301" s="52">
        <v>69.790000000000006</v>
      </c>
      <c r="B301" s="55">
        <v>60</v>
      </c>
      <c r="O301" s="52">
        <v>88</v>
      </c>
      <c r="P301" s="55">
        <v>0</v>
      </c>
    </row>
    <row r="302" spans="1:16" x14ac:dyDescent="0.2">
      <c r="A302" s="52">
        <v>92.01</v>
      </c>
      <c r="B302" s="55">
        <v>0</v>
      </c>
      <c r="O302" s="52">
        <v>94</v>
      </c>
      <c r="P302" s="55">
        <v>0</v>
      </c>
    </row>
    <row r="303" spans="1:16" x14ac:dyDescent="0.2">
      <c r="A303" s="52">
        <v>95</v>
      </c>
      <c r="B303" s="55">
        <v>0</v>
      </c>
      <c r="O303" s="52">
        <v>95</v>
      </c>
      <c r="P303" s="55">
        <v>0</v>
      </c>
    </row>
    <row r="304" spans="1:16" ht="13.5" thickBot="1" x14ac:dyDescent="0.25">
      <c r="A304" s="53">
        <v>100</v>
      </c>
      <c r="B304" s="56">
        <v>0</v>
      </c>
      <c r="O304" s="53">
        <v>100</v>
      </c>
      <c r="P304" s="56">
        <v>0</v>
      </c>
    </row>
    <row r="305" spans="1:16" ht="13.5" thickBot="1" x14ac:dyDescent="0.25"/>
    <row r="306" spans="1:16" ht="13.5" thickBot="1" x14ac:dyDescent="0.25">
      <c r="A306" s="129" t="s">
        <v>17</v>
      </c>
      <c r="B306" s="130" t="s">
        <v>16</v>
      </c>
      <c r="O306" s="25" t="s">
        <v>17</v>
      </c>
      <c r="P306" s="26" t="s">
        <v>16</v>
      </c>
    </row>
    <row r="307" spans="1:16" x14ac:dyDescent="0.2">
      <c r="A307" s="234">
        <f t="shared" ref="A307:A314" si="98">A297*F$4/100</f>
        <v>0</v>
      </c>
      <c r="B307" s="235">
        <f t="shared" ref="B307:B314" si="99">B297</f>
        <v>0</v>
      </c>
      <c r="O307" s="39">
        <f t="shared" ref="O307:O314" si="100">O297*F$5/100</f>
        <v>0</v>
      </c>
      <c r="P307" s="40">
        <f t="shared" ref="P307:P314" si="101">P297</f>
        <v>0</v>
      </c>
    </row>
    <row r="308" spans="1:16" x14ac:dyDescent="0.2">
      <c r="A308" s="136">
        <f t="shared" si="98"/>
        <v>0.13300000000000001</v>
      </c>
      <c r="B308" s="135">
        <f t="shared" si="99"/>
        <v>0</v>
      </c>
      <c r="O308" s="41">
        <f t="shared" si="100"/>
        <v>0.15600000000000003</v>
      </c>
      <c r="P308" s="42">
        <f t="shared" si="101"/>
        <v>0</v>
      </c>
    </row>
    <row r="309" spans="1:16" x14ac:dyDescent="0.2">
      <c r="A309" s="131">
        <f t="shared" si="98"/>
        <v>0.23088799999999998</v>
      </c>
      <c r="B309" s="137">
        <f t="shared" si="99"/>
        <v>0</v>
      </c>
      <c r="O309" s="131">
        <f t="shared" si="100"/>
        <v>0.78</v>
      </c>
      <c r="P309" s="137">
        <f t="shared" si="101"/>
        <v>0</v>
      </c>
    </row>
    <row r="310" spans="1:16" x14ac:dyDescent="0.2">
      <c r="A310" s="131">
        <f t="shared" si="98"/>
        <v>0.26320699999999997</v>
      </c>
      <c r="B310" s="137">
        <f t="shared" si="99"/>
        <v>60</v>
      </c>
      <c r="O310" s="131">
        <f t="shared" si="100"/>
        <v>1.17</v>
      </c>
      <c r="P310" s="137">
        <f t="shared" si="101"/>
        <v>0</v>
      </c>
    </row>
    <row r="311" spans="1:16" x14ac:dyDescent="0.2">
      <c r="A311" s="131">
        <f t="shared" si="98"/>
        <v>0.92820700000000012</v>
      </c>
      <c r="B311" s="137">
        <f t="shared" si="99"/>
        <v>60</v>
      </c>
      <c r="O311" s="131">
        <f t="shared" si="100"/>
        <v>1.3728</v>
      </c>
      <c r="P311" s="137">
        <f t="shared" si="101"/>
        <v>0</v>
      </c>
    </row>
    <row r="312" spans="1:16" x14ac:dyDescent="0.2">
      <c r="A312" s="131">
        <f t="shared" si="98"/>
        <v>1.2237330000000002</v>
      </c>
      <c r="B312" s="137">
        <f t="shared" si="99"/>
        <v>0</v>
      </c>
      <c r="O312" s="131">
        <f t="shared" si="100"/>
        <v>1.4664000000000001</v>
      </c>
      <c r="P312" s="137">
        <f t="shared" si="101"/>
        <v>0</v>
      </c>
    </row>
    <row r="313" spans="1:16" x14ac:dyDescent="0.2">
      <c r="A313" s="131">
        <f t="shared" si="98"/>
        <v>1.2635000000000001</v>
      </c>
      <c r="B313" s="137">
        <f t="shared" si="99"/>
        <v>0</v>
      </c>
      <c r="O313" s="131">
        <f t="shared" si="100"/>
        <v>1.4820000000000002</v>
      </c>
      <c r="P313" s="137">
        <f t="shared" si="101"/>
        <v>0</v>
      </c>
    </row>
    <row r="314" spans="1:16" ht="13.5" thickBot="1" x14ac:dyDescent="0.25">
      <c r="A314" s="138">
        <f t="shared" si="98"/>
        <v>1.33</v>
      </c>
      <c r="B314" s="139">
        <f t="shared" si="99"/>
        <v>0</v>
      </c>
      <c r="O314" s="138">
        <f t="shared" si="100"/>
        <v>1.56</v>
      </c>
      <c r="P314" s="139">
        <f t="shared" si="101"/>
        <v>0</v>
      </c>
    </row>
    <row r="316" spans="1:16" ht="13.5" thickBot="1" x14ac:dyDescent="0.25"/>
    <row r="317" spans="1:16" ht="13.5" thickBot="1" x14ac:dyDescent="0.25">
      <c r="A317" s="120" t="s">
        <v>57</v>
      </c>
      <c r="B317" s="26" t="s">
        <v>48</v>
      </c>
      <c r="O317" s="31"/>
      <c r="P317" s="26" t="s">
        <v>48</v>
      </c>
    </row>
    <row r="318" spans="1:16" ht="13.5" thickBot="1" x14ac:dyDescent="0.25">
      <c r="A318" s="13" t="s">
        <v>65</v>
      </c>
      <c r="B318" s="245">
        <v>30</v>
      </c>
      <c r="O318" s="71"/>
      <c r="P318" s="245">
        <v>60</v>
      </c>
    </row>
    <row r="319" spans="1:16" ht="13.5" thickBot="1" x14ac:dyDescent="0.25"/>
    <row r="320" spans="1:16" ht="13.5" thickBot="1" x14ac:dyDescent="0.25">
      <c r="A320" s="25" t="s">
        <v>1</v>
      </c>
      <c r="B320" s="26" t="s">
        <v>16</v>
      </c>
      <c r="O320" s="25" t="s">
        <v>1</v>
      </c>
      <c r="P320" s="26" t="s">
        <v>16</v>
      </c>
    </row>
    <row r="321" spans="1:16" x14ac:dyDescent="0.2">
      <c r="A321" s="57">
        <v>0</v>
      </c>
      <c r="B321" s="54">
        <v>0</v>
      </c>
      <c r="O321" s="57">
        <v>0</v>
      </c>
      <c r="P321" s="54">
        <v>0</v>
      </c>
    </row>
    <row r="322" spans="1:16" x14ac:dyDescent="0.2">
      <c r="A322" s="52">
        <v>10</v>
      </c>
      <c r="B322" s="55">
        <v>0</v>
      </c>
      <c r="O322" s="52">
        <v>10</v>
      </c>
      <c r="P322" s="55">
        <v>0</v>
      </c>
    </row>
    <row r="323" spans="1:16" x14ac:dyDescent="0.2">
      <c r="A323" s="52">
        <v>17.36</v>
      </c>
      <c r="B323" s="55">
        <v>0</v>
      </c>
      <c r="O323" s="52">
        <v>50</v>
      </c>
      <c r="P323" s="55">
        <v>0</v>
      </c>
    </row>
    <row r="324" spans="1:16" x14ac:dyDescent="0.2">
      <c r="A324" s="52">
        <v>19.79</v>
      </c>
      <c r="B324" s="55">
        <v>150</v>
      </c>
      <c r="O324" s="52">
        <v>75</v>
      </c>
      <c r="P324" s="55">
        <v>0</v>
      </c>
    </row>
    <row r="325" spans="1:16" x14ac:dyDescent="0.2">
      <c r="A325" s="52">
        <v>75.349999999999994</v>
      </c>
      <c r="B325" s="55">
        <v>150</v>
      </c>
      <c r="O325" s="52">
        <v>88</v>
      </c>
      <c r="P325" s="55">
        <v>0</v>
      </c>
    </row>
    <row r="326" spans="1:16" x14ac:dyDescent="0.2">
      <c r="A326" s="52">
        <v>86.46</v>
      </c>
      <c r="B326" s="55">
        <v>0</v>
      </c>
      <c r="O326" s="52">
        <v>94</v>
      </c>
      <c r="P326" s="55">
        <v>0</v>
      </c>
    </row>
    <row r="327" spans="1:16" x14ac:dyDescent="0.2">
      <c r="A327" s="52">
        <v>95</v>
      </c>
      <c r="B327" s="55">
        <v>0</v>
      </c>
      <c r="O327" s="52">
        <v>95</v>
      </c>
      <c r="P327" s="55">
        <v>0</v>
      </c>
    </row>
    <row r="328" spans="1:16" ht="13.5" thickBot="1" x14ac:dyDescent="0.25">
      <c r="A328" s="53">
        <v>100</v>
      </c>
      <c r="B328" s="56">
        <v>0</v>
      </c>
      <c r="O328" s="53">
        <v>100</v>
      </c>
      <c r="P328" s="56">
        <v>0</v>
      </c>
    </row>
    <row r="329" spans="1:16" ht="13.5" thickBot="1" x14ac:dyDescent="0.25">
      <c r="A329" s="146"/>
      <c r="B329" s="146"/>
      <c r="O329" s="146"/>
      <c r="P329" s="146"/>
    </row>
    <row r="330" spans="1:16" ht="13.5" thickBot="1" x14ac:dyDescent="0.25">
      <c r="A330" s="129" t="s">
        <v>17</v>
      </c>
      <c r="B330" s="130" t="s">
        <v>16</v>
      </c>
      <c r="O330" s="129" t="s">
        <v>17</v>
      </c>
      <c r="P330" s="130" t="s">
        <v>16</v>
      </c>
    </row>
    <row r="331" spans="1:16" x14ac:dyDescent="0.2">
      <c r="A331" s="143">
        <f t="shared" ref="A331:A338" si="102">A321*F$4/100</f>
        <v>0</v>
      </c>
      <c r="B331" s="144">
        <f t="shared" ref="B331:B338" si="103">B321</f>
        <v>0</v>
      </c>
      <c r="O331" s="143">
        <f t="shared" ref="O331:O338" si="104">O321*F$5/100</f>
        <v>0</v>
      </c>
      <c r="P331" s="144">
        <f t="shared" ref="P331:P338" si="105">P321</f>
        <v>0</v>
      </c>
    </row>
    <row r="332" spans="1:16" x14ac:dyDescent="0.2">
      <c r="A332" s="148">
        <f t="shared" si="102"/>
        <v>0.13300000000000001</v>
      </c>
      <c r="B332" s="149">
        <f t="shared" si="103"/>
        <v>0</v>
      </c>
      <c r="O332" s="148">
        <f t="shared" si="104"/>
        <v>0.15600000000000003</v>
      </c>
      <c r="P332" s="149">
        <f t="shared" si="105"/>
        <v>0</v>
      </c>
    </row>
    <row r="333" spans="1:16" x14ac:dyDescent="0.2">
      <c r="A333" s="148">
        <f t="shared" si="102"/>
        <v>0.23088799999999998</v>
      </c>
      <c r="B333" s="149">
        <f t="shared" si="103"/>
        <v>0</v>
      </c>
      <c r="O333" s="148">
        <f t="shared" si="104"/>
        <v>0.78</v>
      </c>
      <c r="P333" s="149">
        <f t="shared" si="105"/>
        <v>0</v>
      </c>
    </row>
    <row r="334" spans="1:16" x14ac:dyDescent="0.2">
      <c r="A334" s="148">
        <f t="shared" si="102"/>
        <v>0.26320699999999997</v>
      </c>
      <c r="B334" s="149">
        <f t="shared" si="103"/>
        <v>150</v>
      </c>
      <c r="O334" s="148">
        <f t="shared" si="104"/>
        <v>1.17</v>
      </c>
      <c r="P334" s="149">
        <f t="shared" si="105"/>
        <v>0</v>
      </c>
    </row>
    <row r="335" spans="1:16" x14ac:dyDescent="0.2">
      <c r="A335" s="41">
        <f t="shared" si="102"/>
        <v>1.0021549999999999</v>
      </c>
      <c r="B335" s="42">
        <f t="shared" si="103"/>
        <v>150</v>
      </c>
      <c r="O335" s="41">
        <f t="shared" si="104"/>
        <v>1.3728</v>
      </c>
      <c r="P335" s="42">
        <f t="shared" si="105"/>
        <v>0</v>
      </c>
    </row>
    <row r="336" spans="1:16" x14ac:dyDescent="0.2">
      <c r="A336" s="41">
        <f t="shared" si="102"/>
        <v>1.149918</v>
      </c>
      <c r="B336" s="42">
        <f t="shared" si="103"/>
        <v>0</v>
      </c>
      <c r="O336" s="41">
        <f t="shared" si="104"/>
        <v>1.4664000000000001</v>
      </c>
      <c r="P336" s="42">
        <f t="shared" si="105"/>
        <v>0</v>
      </c>
    </row>
    <row r="337" spans="1:17" x14ac:dyDescent="0.2">
      <c r="A337" s="41">
        <f t="shared" si="102"/>
        <v>1.2635000000000001</v>
      </c>
      <c r="B337" s="42">
        <f t="shared" si="103"/>
        <v>0</v>
      </c>
      <c r="O337" s="41">
        <f t="shared" si="104"/>
        <v>1.4820000000000002</v>
      </c>
      <c r="P337" s="42">
        <f t="shared" si="105"/>
        <v>0</v>
      </c>
    </row>
    <row r="338" spans="1:17" ht="13.5" thickBot="1" x14ac:dyDescent="0.25">
      <c r="A338" s="43">
        <f t="shared" si="102"/>
        <v>1.33</v>
      </c>
      <c r="B338" s="44">
        <f t="shared" si="103"/>
        <v>0</v>
      </c>
      <c r="O338" s="43">
        <f t="shared" si="104"/>
        <v>1.56</v>
      </c>
      <c r="P338" s="44">
        <f t="shared" si="105"/>
        <v>0</v>
      </c>
    </row>
    <row r="340" spans="1:17" ht="13.5" thickBot="1" x14ac:dyDescent="0.25"/>
    <row r="341" spans="1:17" ht="13.5" thickBot="1" x14ac:dyDescent="0.25">
      <c r="A341" s="120" t="s">
        <v>57</v>
      </c>
      <c r="B341" s="26" t="s">
        <v>48</v>
      </c>
      <c r="P341" s="26" t="s">
        <v>48</v>
      </c>
    </row>
    <row r="342" spans="1:17" ht="13.5" thickBot="1" x14ac:dyDescent="0.25">
      <c r="A342" s="13" t="s">
        <v>67</v>
      </c>
      <c r="B342" s="245">
        <v>60</v>
      </c>
      <c r="C342" s="62"/>
      <c r="D342" s="62"/>
      <c r="E342" s="62"/>
      <c r="F342" s="62"/>
      <c r="G342" s="62"/>
      <c r="P342" s="245">
        <v>60</v>
      </c>
    </row>
    <row r="343" spans="1:17" ht="13.5" thickBot="1" x14ac:dyDescent="0.25">
      <c r="C343" s="77"/>
      <c r="D343" s="77"/>
      <c r="E343" s="77"/>
      <c r="F343" s="77"/>
      <c r="G343" s="77"/>
      <c r="H343" s="77"/>
      <c r="I343" s="77"/>
      <c r="J343" s="77"/>
      <c r="K343" s="77"/>
      <c r="L343" s="77"/>
      <c r="M343" s="77"/>
      <c r="N343" s="77"/>
      <c r="O343" s="77"/>
      <c r="P343" s="77"/>
      <c r="Q343" s="77"/>
    </row>
    <row r="344" spans="1:17" ht="13.5" thickBot="1" x14ac:dyDescent="0.25">
      <c r="A344" s="120" t="s">
        <v>1</v>
      </c>
      <c r="B344" s="26" t="s">
        <v>16</v>
      </c>
      <c r="C344" s="9"/>
      <c r="D344" s="9"/>
      <c r="E344" s="9"/>
      <c r="F344" s="9"/>
      <c r="G344" s="9"/>
      <c r="H344" s="9"/>
      <c r="I344" s="9"/>
      <c r="J344" s="9"/>
      <c r="K344" s="9"/>
      <c r="L344" s="9"/>
      <c r="M344" s="9"/>
      <c r="N344" s="9"/>
      <c r="O344" s="120" t="s">
        <v>1</v>
      </c>
      <c r="P344" s="26" t="s">
        <v>16</v>
      </c>
    </row>
    <row r="345" spans="1:17" x14ac:dyDescent="0.2">
      <c r="A345" s="57">
        <v>0</v>
      </c>
      <c r="B345" s="54">
        <v>0</v>
      </c>
      <c r="O345" s="57">
        <v>0</v>
      </c>
      <c r="P345" s="54">
        <v>0</v>
      </c>
    </row>
    <row r="346" spans="1:17" x14ac:dyDescent="0.2">
      <c r="A346" s="52">
        <v>7.89</v>
      </c>
      <c r="B346" s="55">
        <v>0</v>
      </c>
      <c r="C346" s="63"/>
      <c r="D346" s="63"/>
      <c r="F346" s="63"/>
      <c r="G346" s="63"/>
      <c r="H346" s="63"/>
      <c r="I346" s="63"/>
      <c r="K346" s="357"/>
      <c r="L346" s="357"/>
      <c r="M346" s="357"/>
      <c r="N346" s="357"/>
      <c r="O346" s="52">
        <v>10</v>
      </c>
      <c r="P346" s="55">
        <v>0</v>
      </c>
    </row>
    <row r="347" spans="1:17" x14ac:dyDescent="0.2">
      <c r="A347" s="52">
        <v>20</v>
      </c>
      <c r="B347" s="55">
        <v>0</v>
      </c>
      <c r="C347" s="20"/>
      <c r="D347" s="76"/>
      <c r="F347" s="61"/>
      <c r="G347" s="76"/>
      <c r="H347" s="20"/>
      <c r="I347" s="76"/>
      <c r="K347" s="29"/>
      <c r="L347" s="75"/>
      <c r="M347" s="29"/>
      <c r="N347" s="29"/>
      <c r="O347" s="52">
        <v>20</v>
      </c>
      <c r="P347" s="55">
        <v>0</v>
      </c>
    </row>
    <row r="348" spans="1:17" x14ac:dyDescent="0.2">
      <c r="A348" s="52">
        <v>55.26</v>
      </c>
      <c r="B348" s="55">
        <v>0</v>
      </c>
      <c r="C348" s="20"/>
      <c r="D348" s="76"/>
      <c r="F348" s="61"/>
      <c r="G348" s="76"/>
      <c r="H348" s="20"/>
      <c r="I348" s="76"/>
      <c r="K348" s="29"/>
      <c r="L348" s="75"/>
      <c r="M348" s="29"/>
      <c r="N348" s="29"/>
      <c r="O348" s="52">
        <v>30</v>
      </c>
      <c r="P348" s="55">
        <v>0</v>
      </c>
    </row>
    <row r="349" spans="1:17" x14ac:dyDescent="0.2">
      <c r="A349" s="52">
        <v>60</v>
      </c>
      <c r="B349" s="55">
        <v>0</v>
      </c>
      <c r="C349" s="20"/>
      <c r="D349" s="76"/>
      <c r="F349" s="61"/>
      <c r="G349" s="76"/>
      <c r="H349" s="20"/>
      <c r="I349" s="76"/>
      <c r="K349" s="29"/>
      <c r="L349" s="75"/>
      <c r="M349" s="29"/>
      <c r="N349" s="29"/>
      <c r="O349" s="52">
        <v>40</v>
      </c>
      <c r="P349" s="55">
        <v>0</v>
      </c>
    </row>
    <row r="350" spans="1:17" x14ac:dyDescent="0.2">
      <c r="A350" s="52">
        <v>65</v>
      </c>
      <c r="B350" s="55">
        <v>0</v>
      </c>
      <c r="C350" s="20"/>
      <c r="D350" s="76"/>
      <c r="F350" s="61"/>
      <c r="G350" s="76"/>
      <c r="H350" s="20"/>
      <c r="I350" s="76"/>
      <c r="K350" s="29"/>
      <c r="L350" s="75"/>
      <c r="M350" s="29"/>
      <c r="N350" s="29"/>
      <c r="O350" s="52">
        <v>50</v>
      </c>
      <c r="P350" s="55">
        <v>0</v>
      </c>
    </row>
    <row r="351" spans="1:17" x14ac:dyDescent="0.2">
      <c r="A351" s="52">
        <v>71.05</v>
      </c>
      <c r="B351" s="55">
        <v>0</v>
      </c>
      <c r="C351" s="20"/>
      <c r="D351" s="76"/>
      <c r="F351" s="61"/>
      <c r="G351" s="76"/>
      <c r="H351" s="20"/>
      <c r="I351" s="76"/>
      <c r="K351" s="29"/>
      <c r="L351" s="75"/>
      <c r="M351" s="29"/>
      <c r="N351" s="29"/>
      <c r="O351" s="52">
        <v>66.7</v>
      </c>
      <c r="P351" s="55">
        <v>0</v>
      </c>
    </row>
    <row r="352" spans="1:17" ht="13.5" thickBot="1" x14ac:dyDescent="0.25">
      <c r="A352" s="53">
        <v>100</v>
      </c>
      <c r="B352" s="56">
        <v>0</v>
      </c>
      <c r="C352" s="20"/>
      <c r="D352" s="76"/>
      <c r="F352" s="61"/>
      <c r="G352" s="76"/>
      <c r="H352" s="20"/>
      <c r="I352" s="76"/>
      <c r="K352" s="29"/>
      <c r="L352" s="75"/>
      <c r="M352" s="29"/>
      <c r="N352" s="29"/>
      <c r="O352" s="53">
        <v>100</v>
      </c>
      <c r="P352" s="56">
        <v>0</v>
      </c>
    </row>
    <row r="353" spans="1:16" ht="13.5" thickBot="1" x14ac:dyDescent="0.25">
      <c r="A353" s="146"/>
      <c r="B353" s="146"/>
      <c r="C353" s="20"/>
      <c r="D353" s="76"/>
      <c r="F353" s="61"/>
      <c r="G353" s="76"/>
      <c r="H353" s="20"/>
      <c r="I353" s="76"/>
      <c r="K353" s="29"/>
      <c r="L353" s="75"/>
      <c r="M353" s="29"/>
      <c r="N353" s="29"/>
      <c r="O353" s="146"/>
      <c r="P353" s="146"/>
    </row>
    <row r="354" spans="1:16" ht="13.5" thickBot="1" x14ac:dyDescent="0.25">
      <c r="A354" s="129" t="s">
        <v>17</v>
      </c>
      <c r="B354" s="130" t="s">
        <v>16</v>
      </c>
      <c r="C354" s="20"/>
      <c r="D354" s="76"/>
      <c r="F354" s="2"/>
      <c r="G354" s="8"/>
      <c r="H354" s="20"/>
      <c r="I354" s="8"/>
      <c r="K354" s="29"/>
      <c r="L354" s="75"/>
      <c r="M354" s="29"/>
      <c r="N354" s="29"/>
      <c r="O354" s="129" t="s">
        <v>17</v>
      </c>
      <c r="P354" s="130" t="s">
        <v>16</v>
      </c>
    </row>
    <row r="355" spans="1:16" x14ac:dyDescent="0.2">
      <c r="A355" s="39">
        <f t="shared" ref="A355:A362" si="106">A345*F$4/100</f>
        <v>0</v>
      </c>
      <c r="B355" s="40">
        <f t="shared" ref="B355:B362" si="107">B345</f>
        <v>0</v>
      </c>
      <c r="O355" s="39">
        <f t="shared" ref="O355:O362" si="108">O345*F$5/100</f>
        <v>0</v>
      </c>
      <c r="P355" s="40">
        <f t="shared" ref="P355:P362" si="109">P345</f>
        <v>0</v>
      </c>
    </row>
    <row r="356" spans="1:16" x14ac:dyDescent="0.2">
      <c r="A356" s="41">
        <f t="shared" si="106"/>
        <v>0.104937</v>
      </c>
      <c r="B356" s="42">
        <f t="shared" si="107"/>
        <v>0</v>
      </c>
      <c r="C356" s="29"/>
      <c r="D356" s="29"/>
      <c r="E356" s="29"/>
      <c r="F356" s="29"/>
      <c r="G356" s="29"/>
      <c r="H356" s="29"/>
      <c r="I356" s="29"/>
      <c r="J356" s="29"/>
      <c r="K356" s="29"/>
      <c r="L356" s="29"/>
      <c r="M356" s="29"/>
      <c r="N356" s="29"/>
      <c r="O356" s="41">
        <f t="shared" si="108"/>
        <v>0.15600000000000003</v>
      </c>
      <c r="P356" s="42">
        <f t="shared" si="109"/>
        <v>0</v>
      </c>
    </row>
    <row r="357" spans="1:16" x14ac:dyDescent="0.2">
      <c r="A357" s="41">
        <f t="shared" si="106"/>
        <v>0.26600000000000001</v>
      </c>
      <c r="B357" s="42">
        <f t="shared" si="107"/>
        <v>0</v>
      </c>
      <c r="C357" s="29"/>
      <c r="D357" s="29"/>
      <c r="E357" s="29"/>
      <c r="F357" s="29"/>
      <c r="G357" s="29"/>
      <c r="H357" s="29"/>
      <c r="I357" s="29"/>
      <c r="J357" s="29"/>
      <c r="K357" s="29"/>
      <c r="L357" s="29"/>
      <c r="M357" s="29"/>
      <c r="N357" s="29"/>
      <c r="O357" s="41">
        <f t="shared" si="108"/>
        <v>0.31200000000000006</v>
      </c>
      <c r="P357" s="42">
        <f t="shared" si="109"/>
        <v>0</v>
      </c>
    </row>
    <row r="358" spans="1:16" x14ac:dyDescent="0.2">
      <c r="A358" s="41">
        <f t="shared" si="106"/>
        <v>0.734958</v>
      </c>
      <c r="B358" s="42">
        <f t="shared" si="107"/>
        <v>0</v>
      </c>
      <c r="C358" s="29"/>
      <c r="D358" s="29"/>
      <c r="E358" s="29"/>
      <c r="F358" s="29"/>
      <c r="G358" s="29"/>
      <c r="H358" s="29"/>
      <c r="I358" s="29"/>
      <c r="J358" s="29"/>
      <c r="K358" s="29"/>
      <c r="L358" s="29"/>
      <c r="M358" s="29"/>
      <c r="N358" s="29"/>
      <c r="O358" s="41">
        <f t="shared" si="108"/>
        <v>0.46800000000000003</v>
      </c>
      <c r="P358" s="42">
        <f t="shared" si="109"/>
        <v>0</v>
      </c>
    </row>
    <row r="359" spans="1:16" x14ac:dyDescent="0.2">
      <c r="A359" s="41">
        <f t="shared" si="106"/>
        <v>0.79800000000000015</v>
      </c>
      <c r="B359" s="42">
        <f t="shared" si="107"/>
        <v>0</v>
      </c>
      <c r="C359" s="29"/>
      <c r="D359" s="29"/>
      <c r="E359" s="29"/>
      <c r="F359" s="29"/>
      <c r="G359" s="29"/>
      <c r="H359" s="29"/>
      <c r="I359" s="29"/>
      <c r="J359" s="29"/>
      <c r="K359" s="29"/>
      <c r="L359" s="29"/>
      <c r="M359" s="29"/>
      <c r="N359" s="29"/>
      <c r="O359" s="41">
        <f t="shared" si="108"/>
        <v>0.62400000000000011</v>
      </c>
      <c r="P359" s="42">
        <f t="shared" si="109"/>
        <v>0</v>
      </c>
    </row>
    <row r="360" spans="1:16" x14ac:dyDescent="0.2">
      <c r="A360" s="41">
        <f t="shared" si="106"/>
        <v>0.86450000000000005</v>
      </c>
      <c r="B360" s="42">
        <f t="shared" si="107"/>
        <v>0</v>
      </c>
      <c r="C360" s="29"/>
      <c r="D360" s="29"/>
      <c r="E360" s="29"/>
      <c r="F360" s="29"/>
      <c r="G360" s="29"/>
      <c r="H360" s="29"/>
      <c r="I360" s="29"/>
      <c r="J360" s="29"/>
      <c r="K360" s="29"/>
      <c r="L360" s="29"/>
      <c r="M360" s="29"/>
      <c r="N360" s="29"/>
      <c r="O360" s="41">
        <f t="shared" si="108"/>
        <v>0.78</v>
      </c>
      <c r="P360" s="42">
        <f t="shared" si="109"/>
        <v>0</v>
      </c>
    </row>
    <row r="361" spans="1:16" x14ac:dyDescent="0.2">
      <c r="A361" s="41">
        <f t="shared" si="106"/>
        <v>0.94496499999999994</v>
      </c>
      <c r="B361" s="42">
        <f t="shared" si="107"/>
        <v>0</v>
      </c>
      <c r="C361" s="29"/>
      <c r="D361" s="29"/>
      <c r="E361" s="29"/>
      <c r="F361" s="29"/>
      <c r="G361" s="29"/>
      <c r="H361" s="29"/>
      <c r="I361" s="29"/>
      <c r="J361" s="29"/>
      <c r="K361" s="29"/>
      <c r="L361" s="29"/>
      <c r="M361" s="29"/>
      <c r="N361" s="29"/>
      <c r="O361" s="41">
        <f t="shared" si="108"/>
        <v>1.0405200000000001</v>
      </c>
      <c r="P361" s="42">
        <f t="shared" si="109"/>
        <v>0</v>
      </c>
    </row>
    <row r="362" spans="1:16" ht="13.5" thickBot="1" x14ac:dyDescent="0.25">
      <c r="A362" s="43">
        <f t="shared" si="106"/>
        <v>1.33</v>
      </c>
      <c r="B362" s="44">
        <f t="shared" si="107"/>
        <v>0</v>
      </c>
      <c r="C362" s="29"/>
      <c r="D362" s="29"/>
      <c r="E362" s="29"/>
      <c r="F362" s="29"/>
      <c r="G362" s="29"/>
      <c r="H362" s="29"/>
      <c r="I362" s="29"/>
      <c r="J362" s="29"/>
      <c r="K362" s="29"/>
      <c r="L362" s="29"/>
      <c r="M362" s="29"/>
      <c r="N362" s="29"/>
      <c r="O362" s="43">
        <f t="shared" si="108"/>
        <v>1.56</v>
      </c>
      <c r="P362" s="44">
        <f t="shared" si="109"/>
        <v>0</v>
      </c>
    </row>
    <row r="363" spans="1:16" x14ac:dyDescent="0.2">
      <c r="A363" s="74"/>
      <c r="B363" s="72"/>
      <c r="C363" s="29"/>
      <c r="D363" s="29"/>
      <c r="E363" s="29"/>
      <c r="F363" s="29"/>
      <c r="G363" s="29"/>
      <c r="H363" s="29"/>
      <c r="I363" s="29"/>
      <c r="J363" s="29"/>
      <c r="K363" s="29"/>
      <c r="L363" s="29"/>
      <c r="M363" s="29"/>
      <c r="N363" s="29"/>
      <c r="O363" s="74"/>
      <c r="P363" s="72"/>
    </row>
    <row r="364" spans="1:16" ht="13.5" thickBot="1" x14ac:dyDescent="0.25">
      <c r="A364" s="74"/>
      <c r="B364" s="72"/>
      <c r="C364" s="29"/>
      <c r="D364" s="29"/>
      <c r="E364" s="29"/>
      <c r="F364" s="29"/>
      <c r="G364" s="29"/>
      <c r="H364" s="29"/>
      <c r="I364" s="29"/>
      <c r="J364" s="29"/>
      <c r="K364" s="29"/>
      <c r="L364" s="29"/>
      <c r="M364" s="29"/>
      <c r="N364" s="29"/>
      <c r="O364" s="74"/>
      <c r="P364" s="72"/>
    </row>
    <row r="365" spans="1:16" ht="13.5" thickBot="1" x14ac:dyDescent="0.25">
      <c r="A365" s="120" t="s">
        <v>57</v>
      </c>
      <c r="B365" s="26" t="s">
        <v>48</v>
      </c>
      <c r="C365" s="29"/>
      <c r="D365" s="29"/>
      <c r="E365" s="29"/>
      <c r="F365" s="29"/>
      <c r="G365" s="29"/>
      <c r="H365" s="29"/>
      <c r="I365" s="29"/>
      <c r="J365" s="29"/>
      <c r="K365" s="29"/>
      <c r="L365" s="29"/>
      <c r="M365" s="29"/>
      <c r="N365" s="29"/>
      <c r="O365" s="74"/>
      <c r="P365" s="26" t="s">
        <v>48</v>
      </c>
    </row>
    <row r="366" spans="1:16" ht="13.5" thickBot="1" x14ac:dyDescent="0.25">
      <c r="A366" s="13" t="s">
        <v>69</v>
      </c>
      <c r="B366" s="245">
        <v>60</v>
      </c>
      <c r="C366" s="29"/>
      <c r="D366" s="29"/>
      <c r="E366" s="29"/>
      <c r="F366" s="29"/>
      <c r="G366" s="29"/>
      <c r="H366" s="29"/>
      <c r="I366" s="29"/>
      <c r="J366" s="29"/>
      <c r="K366" s="29"/>
      <c r="L366" s="29"/>
      <c r="M366" s="29"/>
      <c r="N366" s="29"/>
      <c r="O366" s="74"/>
      <c r="P366" s="245">
        <v>60</v>
      </c>
    </row>
    <row r="367" spans="1:16" ht="13.5" thickBot="1" x14ac:dyDescent="0.25">
      <c r="C367" s="29"/>
      <c r="D367" s="29"/>
      <c r="E367" s="29"/>
      <c r="F367" s="29"/>
      <c r="G367" s="29"/>
      <c r="H367" s="29"/>
      <c r="I367" s="29"/>
      <c r="J367" s="29"/>
      <c r="K367" s="29"/>
      <c r="L367" s="29"/>
      <c r="M367" s="29"/>
      <c r="N367" s="29"/>
      <c r="O367" s="73"/>
      <c r="P367" s="72"/>
    </row>
    <row r="368" spans="1:16" ht="13.5" thickBot="1" x14ac:dyDescent="0.25">
      <c r="A368" s="120" t="s">
        <v>1</v>
      </c>
      <c r="B368" s="26" t="s">
        <v>16</v>
      </c>
      <c r="C368" s="29"/>
      <c r="D368" s="29"/>
      <c r="E368" s="29"/>
      <c r="F368" s="29"/>
      <c r="G368" s="29"/>
      <c r="H368" s="29"/>
      <c r="I368" s="29"/>
      <c r="J368" s="29"/>
      <c r="K368" s="29"/>
      <c r="L368" s="29"/>
      <c r="M368" s="29"/>
      <c r="N368" s="29"/>
      <c r="O368" s="120" t="s">
        <v>1</v>
      </c>
      <c r="P368" s="26" t="s">
        <v>16</v>
      </c>
    </row>
    <row r="369" spans="1:16" x14ac:dyDescent="0.2">
      <c r="A369" s="57">
        <v>0</v>
      </c>
      <c r="B369" s="54">
        <v>0</v>
      </c>
      <c r="C369" s="29"/>
      <c r="D369" s="29"/>
      <c r="E369" s="29"/>
      <c r="F369" s="29"/>
      <c r="G369" s="29"/>
      <c r="H369" s="29"/>
      <c r="I369" s="29"/>
      <c r="J369" s="29"/>
      <c r="K369" s="29"/>
      <c r="L369" s="29"/>
      <c r="M369" s="29"/>
      <c r="N369" s="29"/>
      <c r="O369" s="57">
        <v>0</v>
      </c>
      <c r="P369" s="54">
        <v>0</v>
      </c>
    </row>
    <row r="370" spans="1:16" x14ac:dyDescent="0.2">
      <c r="A370" s="52">
        <v>7.89</v>
      </c>
      <c r="B370" s="55">
        <v>0</v>
      </c>
      <c r="C370" s="29"/>
      <c r="D370" s="29"/>
      <c r="E370" s="29"/>
      <c r="F370" s="29"/>
      <c r="G370" s="29"/>
      <c r="H370" s="29"/>
      <c r="I370" s="29"/>
      <c r="J370" s="29"/>
      <c r="K370" s="29"/>
      <c r="L370" s="29"/>
      <c r="M370" s="29"/>
      <c r="N370" s="29"/>
      <c r="O370" s="52">
        <v>10</v>
      </c>
      <c r="P370" s="55">
        <v>0</v>
      </c>
    </row>
    <row r="371" spans="1:16" x14ac:dyDescent="0.2">
      <c r="A371" s="52">
        <v>20</v>
      </c>
      <c r="B371" s="55">
        <v>0</v>
      </c>
      <c r="C371" s="29"/>
      <c r="D371" s="29"/>
      <c r="E371" s="29"/>
      <c r="F371" s="29"/>
      <c r="G371" s="29"/>
      <c r="H371" s="29"/>
      <c r="I371" s="29"/>
      <c r="J371" s="29"/>
      <c r="K371" s="29"/>
      <c r="L371" s="29"/>
      <c r="M371" s="29"/>
      <c r="N371" s="29"/>
      <c r="O371" s="52">
        <v>20</v>
      </c>
      <c r="P371" s="55">
        <v>0</v>
      </c>
    </row>
    <row r="372" spans="1:16" x14ac:dyDescent="0.2">
      <c r="A372" s="52">
        <v>55.26</v>
      </c>
      <c r="B372" s="55">
        <v>0</v>
      </c>
      <c r="C372" s="29"/>
      <c r="D372" s="29"/>
      <c r="E372" s="29"/>
      <c r="F372" s="29"/>
      <c r="G372" s="29"/>
      <c r="H372" s="29"/>
      <c r="I372" s="29"/>
      <c r="J372" s="29"/>
      <c r="K372" s="29"/>
      <c r="L372" s="29"/>
      <c r="M372" s="29"/>
      <c r="N372" s="29"/>
      <c r="O372" s="52">
        <v>30</v>
      </c>
      <c r="P372" s="55">
        <v>0</v>
      </c>
    </row>
    <row r="373" spans="1:16" x14ac:dyDescent="0.2">
      <c r="A373" s="52">
        <v>60</v>
      </c>
      <c r="B373" s="55">
        <v>0</v>
      </c>
      <c r="C373" s="29"/>
      <c r="D373" s="29"/>
      <c r="E373" s="29"/>
      <c r="F373" s="29"/>
      <c r="G373" s="29"/>
      <c r="H373" s="29"/>
      <c r="I373" s="29"/>
      <c r="J373" s="29"/>
      <c r="K373" s="29"/>
      <c r="L373" s="29"/>
      <c r="M373" s="29"/>
      <c r="N373" s="29"/>
      <c r="O373" s="52">
        <v>40</v>
      </c>
      <c r="P373" s="55">
        <v>0</v>
      </c>
    </row>
    <row r="374" spans="1:16" x14ac:dyDescent="0.2">
      <c r="A374" s="52">
        <v>65</v>
      </c>
      <c r="B374" s="55">
        <v>0</v>
      </c>
      <c r="C374" s="29"/>
      <c r="D374" s="29"/>
      <c r="E374" s="29"/>
      <c r="F374" s="29"/>
      <c r="G374" s="29"/>
      <c r="H374" s="29"/>
      <c r="I374" s="29"/>
      <c r="J374" s="29"/>
      <c r="K374" s="29"/>
      <c r="L374" s="29"/>
      <c r="M374" s="29"/>
      <c r="N374" s="29"/>
      <c r="O374" s="52">
        <v>50</v>
      </c>
      <c r="P374" s="55">
        <v>0</v>
      </c>
    </row>
    <row r="375" spans="1:16" x14ac:dyDescent="0.2">
      <c r="A375" s="52">
        <v>71.05</v>
      </c>
      <c r="B375" s="55">
        <v>0</v>
      </c>
      <c r="C375" s="29"/>
      <c r="D375" s="29"/>
      <c r="E375" s="29"/>
      <c r="F375" s="29"/>
      <c r="G375" s="29"/>
      <c r="H375" s="29"/>
      <c r="I375" s="29"/>
      <c r="J375" s="29"/>
      <c r="K375" s="29"/>
      <c r="L375" s="29"/>
      <c r="M375" s="29"/>
      <c r="N375" s="29"/>
      <c r="O375" s="52">
        <v>66.7</v>
      </c>
      <c r="P375" s="55">
        <v>0</v>
      </c>
    </row>
    <row r="376" spans="1:16" ht="13.5" thickBot="1" x14ac:dyDescent="0.25">
      <c r="A376" s="53">
        <v>100</v>
      </c>
      <c r="B376" s="56">
        <v>0</v>
      </c>
      <c r="C376" s="29"/>
      <c r="D376" s="29"/>
      <c r="E376" s="29"/>
      <c r="F376" s="29"/>
      <c r="G376" s="29"/>
      <c r="H376" s="29"/>
      <c r="I376" s="29"/>
      <c r="J376" s="29"/>
      <c r="K376" s="29"/>
      <c r="L376" s="29"/>
      <c r="M376" s="29"/>
      <c r="N376" s="29"/>
      <c r="O376" s="53">
        <v>100</v>
      </c>
      <c r="P376" s="56">
        <v>0</v>
      </c>
    </row>
    <row r="377" spans="1:16" ht="13.5" thickBot="1" x14ac:dyDescent="0.25">
      <c r="C377" s="29"/>
      <c r="D377" s="29"/>
      <c r="E377" s="29"/>
      <c r="F377" s="29"/>
      <c r="G377" s="29"/>
      <c r="H377" s="29"/>
      <c r="I377" s="29"/>
      <c r="J377" s="29"/>
      <c r="K377" s="29"/>
      <c r="L377" s="29"/>
      <c r="M377" s="29"/>
      <c r="N377" s="29"/>
    </row>
    <row r="378" spans="1:16" ht="13.5" thickBot="1" x14ac:dyDescent="0.25">
      <c r="A378" s="120" t="s">
        <v>17</v>
      </c>
      <c r="B378" s="26" t="s">
        <v>16</v>
      </c>
      <c r="C378" s="29"/>
      <c r="D378" s="29"/>
      <c r="E378" s="29"/>
      <c r="F378" s="29"/>
      <c r="G378" s="29"/>
      <c r="H378" s="29"/>
      <c r="I378" s="29"/>
      <c r="J378" s="29"/>
      <c r="K378" s="29"/>
      <c r="L378" s="29"/>
      <c r="M378" s="29"/>
      <c r="N378" s="29"/>
      <c r="O378" s="120" t="s">
        <v>17</v>
      </c>
      <c r="P378" s="26" t="s">
        <v>16</v>
      </c>
    </row>
    <row r="379" spans="1:16" x14ac:dyDescent="0.2">
      <c r="A379" s="39">
        <f t="shared" ref="A379:A386" si="110">A369*F$4/100</f>
        <v>0</v>
      </c>
      <c r="B379" s="40">
        <f t="shared" ref="B379:B386" si="111">B369</f>
        <v>0</v>
      </c>
      <c r="C379" s="29"/>
      <c r="D379" s="29"/>
      <c r="E379" s="29"/>
      <c r="F379" s="29"/>
      <c r="G379" s="29"/>
      <c r="H379" s="29"/>
      <c r="I379" s="29"/>
      <c r="J379" s="29"/>
      <c r="K379" s="29"/>
      <c r="L379" s="29"/>
      <c r="M379" s="29"/>
      <c r="N379" s="29"/>
      <c r="O379" s="39">
        <f t="shared" ref="O379:O386" si="112">O369*F$5/100</f>
        <v>0</v>
      </c>
      <c r="P379" s="40">
        <f t="shared" ref="P379:P386" si="113">P369</f>
        <v>0</v>
      </c>
    </row>
    <row r="380" spans="1:16" x14ac:dyDescent="0.2">
      <c r="A380" s="41">
        <f t="shared" si="110"/>
        <v>0.104937</v>
      </c>
      <c r="B380" s="42">
        <f t="shared" si="111"/>
        <v>0</v>
      </c>
      <c r="C380" s="29"/>
      <c r="D380" s="29"/>
      <c r="E380" s="29"/>
      <c r="F380" s="29"/>
      <c r="G380" s="29"/>
      <c r="H380" s="29"/>
      <c r="I380" s="29"/>
      <c r="J380" s="29"/>
      <c r="K380" s="29"/>
      <c r="L380" s="29"/>
      <c r="M380" s="29"/>
      <c r="N380" s="29"/>
      <c r="O380" s="41">
        <f t="shared" si="112"/>
        <v>0.15600000000000003</v>
      </c>
      <c r="P380" s="42">
        <f t="shared" si="113"/>
        <v>0</v>
      </c>
    </row>
    <row r="381" spans="1:16" x14ac:dyDescent="0.2">
      <c r="A381" s="41">
        <f t="shared" si="110"/>
        <v>0.26600000000000001</v>
      </c>
      <c r="B381" s="42">
        <f t="shared" si="111"/>
        <v>0</v>
      </c>
      <c r="C381" s="29"/>
      <c r="D381" s="29"/>
      <c r="E381" s="29"/>
      <c r="F381" s="29"/>
      <c r="G381" s="29"/>
      <c r="H381" s="29"/>
      <c r="I381" s="29"/>
      <c r="J381" s="29"/>
      <c r="K381" s="29"/>
      <c r="L381" s="29"/>
      <c r="M381" s="29"/>
      <c r="N381" s="29"/>
      <c r="O381" s="41">
        <f t="shared" si="112"/>
        <v>0.31200000000000006</v>
      </c>
      <c r="P381" s="42">
        <f t="shared" si="113"/>
        <v>0</v>
      </c>
    </row>
    <row r="382" spans="1:16" x14ac:dyDescent="0.2">
      <c r="A382" s="41">
        <f t="shared" si="110"/>
        <v>0.734958</v>
      </c>
      <c r="B382" s="42">
        <f t="shared" si="111"/>
        <v>0</v>
      </c>
      <c r="C382" s="29"/>
      <c r="D382" s="29"/>
      <c r="E382" s="29"/>
      <c r="F382" s="29"/>
      <c r="G382" s="29"/>
      <c r="H382" s="29"/>
      <c r="I382" s="29"/>
      <c r="J382" s="29"/>
      <c r="K382" s="29"/>
      <c r="L382" s="29"/>
      <c r="M382" s="29"/>
      <c r="N382" s="29"/>
      <c r="O382" s="41">
        <f t="shared" si="112"/>
        <v>0.46800000000000003</v>
      </c>
      <c r="P382" s="42">
        <f t="shared" si="113"/>
        <v>0</v>
      </c>
    </row>
    <row r="383" spans="1:16" x14ac:dyDescent="0.2">
      <c r="A383" s="41">
        <f t="shared" si="110"/>
        <v>0.79800000000000015</v>
      </c>
      <c r="B383" s="42">
        <f t="shared" si="111"/>
        <v>0</v>
      </c>
      <c r="C383" s="29"/>
      <c r="D383" s="29"/>
      <c r="E383" s="29"/>
      <c r="F383" s="29"/>
      <c r="G383" s="29"/>
      <c r="H383" s="29"/>
      <c r="I383" s="29"/>
      <c r="J383" s="29"/>
      <c r="K383" s="29"/>
      <c r="L383" s="29"/>
      <c r="M383" s="29"/>
      <c r="N383" s="29"/>
      <c r="O383" s="41">
        <f t="shared" si="112"/>
        <v>0.62400000000000011</v>
      </c>
      <c r="P383" s="42">
        <f t="shared" si="113"/>
        <v>0</v>
      </c>
    </row>
    <row r="384" spans="1:16" x14ac:dyDescent="0.2">
      <c r="A384" s="41">
        <f t="shared" si="110"/>
        <v>0.86450000000000005</v>
      </c>
      <c r="B384" s="42">
        <f t="shared" si="111"/>
        <v>0</v>
      </c>
      <c r="C384" s="29"/>
      <c r="D384" s="29"/>
      <c r="E384" s="29"/>
      <c r="F384" s="29"/>
      <c r="G384" s="29"/>
      <c r="H384" s="29"/>
      <c r="I384" s="29"/>
      <c r="J384" s="29"/>
      <c r="K384" s="29"/>
      <c r="L384" s="29"/>
      <c r="M384" s="29"/>
      <c r="N384" s="29"/>
      <c r="O384" s="41">
        <f t="shared" si="112"/>
        <v>0.78</v>
      </c>
      <c r="P384" s="42">
        <f t="shared" si="113"/>
        <v>0</v>
      </c>
    </row>
    <row r="385" spans="1:16" x14ac:dyDescent="0.2">
      <c r="A385" s="41">
        <f t="shared" si="110"/>
        <v>0.94496499999999994</v>
      </c>
      <c r="B385" s="42">
        <f t="shared" si="111"/>
        <v>0</v>
      </c>
      <c r="C385" s="29"/>
      <c r="D385" s="29"/>
      <c r="E385" s="29"/>
      <c r="F385" s="29"/>
      <c r="G385" s="29"/>
      <c r="H385" s="29"/>
      <c r="I385" s="29"/>
      <c r="J385" s="29"/>
      <c r="K385" s="29"/>
      <c r="L385" s="29"/>
      <c r="M385" s="29"/>
      <c r="N385" s="29"/>
      <c r="O385" s="41">
        <f t="shared" si="112"/>
        <v>1.0405200000000001</v>
      </c>
      <c r="P385" s="42">
        <f t="shared" si="113"/>
        <v>0</v>
      </c>
    </row>
    <row r="386" spans="1:16" ht="13.5" thickBot="1" x14ac:dyDescent="0.25">
      <c r="A386" s="43">
        <f t="shared" si="110"/>
        <v>1.33</v>
      </c>
      <c r="B386" s="151">
        <f t="shared" si="111"/>
        <v>0</v>
      </c>
      <c r="C386" s="29"/>
      <c r="D386" s="29"/>
      <c r="E386" s="29"/>
      <c r="F386" s="29"/>
      <c r="G386" s="29"/>
      <c r="H386" s="29"/>
      <c r="I386" s="29"/>
      <c r="J386" s="29"/>
      <c r="K386" s="29"/>
      <c r="L386" s="29"/>
      <c r="M386" s="29"/>
      <c r="N386" s="29"/>
      <c r="O386" s="43">
        <f t="shared" si="112"/>
        <v>1.56</v>
      </c>
      <c r="P386" s="44">
        <f t="shared" si="113"/>
        <v>0</v>
      </c>
    </row>
    <row r="387" spans="1:16" x14ac:dyDescent="0.2">
      <c r="A387" s="73"/>
      <c r="B387" s="72"/>
      <c r="C387" s="29"/>
      <c r="D387" s="29"/>
      <c r="E387" s="29"/>
      <c r="F387" s="29"/>
      <c r="G387" s="29"/>
      <c r="H387" s="29"/>
      <c r="I387" s="29"/>
      <c r="J387" s="29"/>
      <c r="K387" s="29"/>
      <c r="L387" s="29"/>
      <c r="M387" s="29"/>
      <c r="N387" s="29"/>
      <c r="O387" s="73"/>
      <c r="P387" s="72"/>
    </row>
    <row r="388" spans="1:16" ht="13.5" thickBot="1" x14ac:dyDescent="0.25">
      <c r="A388" s="69"/>
      <c r="B388" s="69"/>
      <c r="C388" s="29"/>
      <c r="D388" s="29"/>
      <c r="E388" s="29"/>
      <c r="F388" s="29"/>
      <c r="G388" s="29"/>
      <c r="H388" s="29"/>
      <c r="I388" s="29"/>
      <c r="J388" s="29"/>
      <c r="K388" s="29"/>
      <c r="L388" s="29"/>
      <c r="M388" s="29"/>
      <c r="N388" s="29"/>
      <c r="O388" s="29"/>
      <c r="P388" s="29"/>
    </row>
    <row r="389" spans="1:16" ht="13.5" thickBot="1" x14ac:dyDescent="0.25">
      <c r="A389" s="129" t="s">
        <v>57</v>
      </c>
      <c r="B389" s="130" t="s">
        <v>48</v>
      </c>
      <c r="C389" s="29"/>
      <c r="D389" s="29"/>
      <c r="E389" s="29"/>
      <c r="F389" s="29"/>
      <c r="G389" s="29"/>
      <c r="H389" s="29"/>
      <c r="I389" s="29"/>
      <c r="J389" s="29"/>
      <c r="K389" s="29"/>
      <c r="L389" s="29"/>
      <c r="M389" s="29"/>
      <c r="N389" s="29"/>
      <c r="O389" s="122"/>
      <c r="P389" s="26" t="s">
        <v>48</v>
      </c>
    </row>
    <row r="390" spans="1:16" ht="13.5" thickBot="1" x14ac:dyDescent="0.25">
      <c r="A390" s="133" t="s">
        <v>70</v>
      </c>
      <c r="B390" s="246">
        <v>60</v>
      </c>
      <c r="C390" s="29"/>
      <c r="D390" s="29"/>
      <c r="E390" s="29"/>
      <c r="F390" s="29"/>
      <c r="G390" s="29"/>
      <c r="H390" s="29"/>
      <c r="I390" s="29"/>
      <c r="J390" s="29"/>
      <c r="K390" s="29"/>
      <c r="L390" s="29"/>
      <c r="M390" s="29"/>
      <c r="N390" s="29"/>
      <c r="O390" s="152"/>
      <c r="P390" s="245">
        <v>60</v>
      </c>
    </row>
    <row r="391" spans="1:16" ht="13.5" thickBot="1" x14ac:dyDescent="0.25">
      <c r="A391" s="146"/>
      <c r="B391" s="146"/>
      <c r="C391" s="29"/>
      <c r="D391" s="29"/>
      <c r="E391" s="29"/>
      <c r="F391" s="29"/>
      <c r="G391" s="29"/>
      <c r="H391" s="29"/>
      <c r="I391" s="29"/>
      <c r="J391" s="29"/>
      <c r="K391" s="29"/>
      <c r="L391" s="29"/>
      <c r="M391" s="29"/>
      <c r="N391" s="29"/>
      <c r="O391" s="152"/>
      <c r="P391" s="153"/>
    </row>
    <row r="392" spans="1:16" ht="13.5" thickBot="1" x14ac:dyDescent="0.25">
      <c r="A392" s="129" t="s">
        <v>1</v>
      </c>
      <c r="B392" s="130" t="s">
        <v>16</v>
      </c>
      <c r="C392" s="29"/>
      <c r="D392" s="29"/>
      <c r="E392" s="29"/>
      <c r="F392" s="29"/>
      <c r="G392" s="29"/>
      <c r="H392" s="29"/>
      <c r="I392" s="29"/>
      <c r="J392" s="29"/>
      <c r="K392" s="29"/>
      <c r="L392" s="29"/>
      <c r="M392" s="29"/>
      <c r="N392" s="29"/>
      <c r="O392" s="129" t="s">
        <v>1</v>
      </c>
      <c r="P392" s="130" t="s">
        <v>16</v>
      </c>
    </row>
    <row r="393" spans="1:16" x14ac:dyDescent="0.2">
      <c r="A393" s="57">
        <v>0</v>
      </c>
      <c r="B393" s="54">
        <v>0</v>
      </c>
      <c r="C393" s="29"/>
      <c r="D393" s="29"/>
      <c r="E393" s="29"/>
      <c r="F393" s="29"/>
      <c r="G393" s="29"/>
      <c r="H393" s="29"/>
      <c r="I393" s="29"/>
      <c r="J393" s="29"/>
      <c r="K393" s="29"/>
      <c r="L393" s="29"/>
      <c r="M393" s="29"/>
      <c r="N393" s="29"/>
      <c r="O393" s="57">
        <v>0</v>
      </c>
      <c r="P393" s="54">
        <v>0</v>
      </c>
    </row>
    <row r="394" spans="1:16" x14ac:dyDescent="0.2">
      <c r="A394" s="52">
        <v>7.89</v>
      </c>
      <c r="B394" s="55">
        <v>0</v>
      </c>
      <c r="C394" s="29"/>
      <c r="D394" s="29"/>
      <c r="E394" s="29"/>
      <c r="F394" s="29"/>
      <c r="G394" s="29"/>
      <c r="H394" s="29"/>
      <c r="I394" s="29"/>
      <c r="J394" s="29"/>
      <c r="K394" s="29"/>
      <c r="L394" s="29"/>
      <c r="M394" s="29"/>
      <c r="N394" s="29"/>
      <c r="O394" s="52">
        <v>10</v>
      </c>
      <c r="P394" s="55">
        <v>0</v>
      </c>
    </row>
    <row r="395" spans="1:16" x14ac:dyDescent="0.2">
      <c r="A395" s="52">
        <v>20</v>
      </c>
      <c r="B395" s="55">
        <v>0</v>
      </c>
      <c r="C395" s="29"/>
      <c r="D395" s="29"/>
      <c r="E395" s="29"/>
      <c r="F395" s="29"/>
      <c r="G395" s="29"/>
      <c r="H395" s="29"/>
      <c r="I395" s="29"/>
      <c r="J395" s="29"/>
      <c r="K395" s="29"/>
      <c r="L395" s="29"/>
      <c r="M395" s="29"/>
      <c r="N395" s="29"/>
      <c r="O395" s="52">
        <v>20</v>
      </c>
      <c r="P395" s="55">
        <v>0</v>
      </c>
    </row>
    <row r="396" spans="1:16" x14ac:dyDescent="0.2">
      <c r="A396" s="52">
        <v>55.26</v>
      </c>
      <c r="B396" s="55">
        <v>0</v>
      </c>
      <c r="C396" s="29"/>
      <c r="D396" s="29"/>
      <c r="E396" s="29"/>
      <c r="F396" s="29"/>
      <c r="G396" s="29"/>
      <c r="H396" s="29"/>
      <c r="I396" s="29"/>
      <c r="J396" s="29"/>
      <c r="K396" s="29"/>
      <c r="L396" s="29"/>
      <c r="M396" s="29"/>
      <c r="N396" s="29"/>
      <c r="O396" s="52">
        <v>30</v>
      </c>
      <c r="P396" s="55">
        <v>0</v>
      </c>
    </row>
    <row r="397" spans="1:16" x14ac:dyDescent="0.2">
      <c r="A397" s="52">
        <v>60</v>
      </c>
      <c r="B397" s="55">
        <v>0</v>
      </c>
      <c r="C397" s="29"/>
      <c r="D397" s="29"/>
      <c r="E397" s="29"/>
      <c r="F397" s="29"/>
      <c r="G397" s="29"/>
      <c r="H397" s="29"/>
      <c r="I397" s="29"/>
      <c r="J397" s="29"/>
      <c r="K397" s="29"/>
      <c r="L397" s="29"/>
      <c r="M397" s="29"/>
      <c r="N397" s="29"/>
      <c r="O397" s="52">
        <v>40</v>
      </c>
      <c r="P397" s="55">
        <v>0</v>
      </c>
    </row>
    <row r="398" spans="1:16" x14ac:dyDescent="0.2">
      <c r="A398" s="52">
        <v>65</v>
      </c>
      <c r="B398" s="55">
        <v>0</v>
      </c>
      <c r="C398" s="29"/>
      <c r="D398" s="29"/>
      <c r="E398" s="29"/>
      <c r="F398" s="29"/>
      <c r="G398" s="29"/>
      <c r="H398" s="29"/>
      <c r="I398" s="29"/>
      <c r="J398" s="29"/>
      <c r="K398" s="29"/>
      <c r="L398" s="29"/>
      <c r="M398" s="29"/>
      <c r="N398" s="29"/>
      <c r="O398" s="52">
        <v>50</v>
      </c>
      <c r="P398" s="55">
        <v>0</v>
      </c>
    </row>
    <row r="399" spans="1:16" x14ac:dyDescent="0.2">
      <c r="A399" s="52">
        <v>71.05</v>
      </c>
      <c r="B399" s="55">
        <v>0</v>
      </c>
      <c r="C399" s="29"/>
      <c r="D399" s="29"/>
      <c r="E399" s="29"/>
      <c r="F399" s="29"/>
      <c r="G399" s="29"/>
      <c r="H399" s="29"/>
      <c r="I399" s="29"/>
      <c r="J399" s="29"/>
      <c r="K399" s="29"/>
      <c r="L399" s="29"/>
      <c r="M399" s="29"/>
      <c r="N399" s="29"/>
      <c r="O399" s="52">
        <v>66.7</v>
      </c>
      <c r="P399" s="55">
        <v>0</v>
      </c>
    </row>
    <row r="400" spans="1:16" ht="13.5" thickBot="1" x14ac:dyDescent="0.25">
      <c r="A400" s="53">
        <v>100</v>
      </c>
      <c r="B400" s="56">
        <v>0</v>
      </c>
      <c r="C400" s="29"/>
      <c r="D400" s="29"/>
      <c r="E400" s="29"/>
      <c r="F400" s="29"/>
      <c r="G400" s="29"/>
      <c r="H400" s="29"/>
      <c r="I400" s="29"/>
      <c r="J400" s="29"/>
      <c r="K400" s="29"/>
      <c r="L400" s="29"/>
      <c r="M400" s="29"/>
      <c r="N400" s="29"/>
      <c r="O400" s="53">
        <v>100</v>
      </c>
      <c r="P400" s="56">
        <v>0</v>
      </c>
    </row>
    <row r="401" spans="1:16" ht="13.5" thickBot="1" x14ac:dyDescent="0.25">
      <c r="C401" s="29"/>
      <c r="D401" s="29"/>
      <c r="E401" s="29"/>
      <c r="F401" s="29"/>
      <c r="G401" s="29"/>
      <c r="H401" s="29"/>
      <c r="I401" s="29"/>
      <c r="J401" s="29"/>
      <c r="K401" s="29"/>
      <c r="L401" s="29"/>
      <c r="M401" s="29"/>
      <c r="N401" s="29"/>
    </row>
    <row r="402" spans="1:16" ht="13.5" thickBot="1" x14ac:dyDescent="0.25">
      <c r="A402" s="120" t="s">
        <v>17</v>
      </c>
      <c r="B402" s="26" t="s">
        <v>16</v>
      </c>
      <c r="C402" s="29"/>
      <c r="D402" s="29"/>
      <c r="E402" s="29"/>
      <c r="F402" s="29"/>
      <c r="G402" s="29"/>
      <c r="H402" s="29"/>
      <c r="I402" s="29"/>
      <c r="J402" s="29"/>
      <c r="K402" s="29"/>
      <c r="L402" s="29"/>
      <c r="M402" s="29"/>
      <c r="N402" s="29"/>
      <c r="O402" s="120" t="s">
        <v>17</v>
      </c>
      <c r="P402" s="26" t="s">
        <v>16</v>
      </c>
    </row>
    <row r="403" spans="1:16" x14ac:dyDescent="0.2">
      <c r="A403" s="39">
        <f t="shared" ref="A403:A410" si="114">A393*F$4/100</f>
        <v>0</v>
      </c>
      <c r="B403" s="40">
        <f t="shared" ref="B403:B410" si="115">B393</f>
        <v>0</v>
      </c>
      <c r="C403" s="29"/>
      <c r="D403" s="29"/>
      <c r="E403" s="29"/>
      <c r="F403" s="29"/>
      <c r="G403" s="29"/>
      <c r="H403" s="29"/>
      <c r="I403" s="29"/>
      <c r="J403" s="29"/>
      <c r="K403" s="29"/>
      <c r="L403" s="29"/>
      <c r="M403" s="29"/>
      <c r="N403" s="29"/>
      <c r="O403" s="39">
        <f t="shared" ref="O403:O410" si="116">O393*F$5/100</f>
        <v>0</v>
      </c>
      <c r="P403" s="40">
        <f t="shared" ref="P403:P410" si="117">P393</f>
        <v>0</v>
      </c>
    </row>
    <row r="404" spans="1:16" x14ac:dyDescent="0.2">
      <c r="A404" s="41">
        <f t="shared" si="114"/>
        <v>0.104937</v>
      </c>
      <c r="B404" s="42">
        <f t="shared" si="115"/>
        <v>0</v>
      </c>
      <c r="C404" s="29"/>
      <c r="D404" s="29"/>
      <c r="E404" s="29"/>
      <c r="F404" s="29"/>
      <c r="G404" s="29"/>
      <c r="H404" s="29"/>
      <c r="I404" s="29"/>
      <c r="J404" s="29"/>
      <c r="K404" s="29"/>
      <c r="L404" s="29"/>
      <c r="M404" s="29"/>
      <c r="N404" s="29"/>
      <c r="O404" s="41">
        <f t="shared" si="116"/>
        <v>0.15600000000000003</v>
      </c>
      <c r="P404" s="42">
        <f t="shared" si="117"/>
        <v>0</v>
      </c>
    </row>
    <row r="405" spans="1:16" x14ac:dyDescent="0.2">
      <c r="A405" s="41">
        <f t="shared" si="114"/>
        <v>0.26600000000000001</v>
      </c>
      <c r="B405" s="42">
        <f t="shared" si="115"/>
        <v>0</v>
      </c>
      <c r="C405" s="29"/>
      <c r="D405" s="29"/>
      <c r="E405" s="29"/>
      <c r="F405" s="29"/>
      <c r="G405" s="29"/>
      <c r="H405" s="29"/>
      <c r="I405" s="29"/>
      <c r="J405" s="29"/>
      <c r="K405" s="29"/>
      <c r="L405" s="29"/>
      <c r="M405" s="29"/>
      <c r="N405" s="29"/>
      <c r="O405" s="41">
        <f t="shared" si="116"/>
        <v>0.31200000000000006</v>
      </c>
      <c r="P405" s="42">
        <f t="shared" si="117"/>
        <v>0</v>
      </c>
    </row>
    <row r="406" spans="1:16" x14ac:dyDescent="0.2">
      <c r="A406" s="41">
        <f t="shared" si="114"/>
        <v>0.734958</v>
      </c>
      <c r="B406" s="42">
        <f t="shared" si="115"/>
        <v>0</v>
      </c>
      <c r="C406" s="29"/>
      <c r="D406" s="29"/>
      <c r="E406" s="29"/>
      <c r="F406" s="29"/>
      <c r="G406" s="29"/>
      <c r="H406" s="29"/>
      <c r="I406" s="29"/>
      <c r="J406" s="29"/>
      <c r="K406" s="29"/>
      <c r="L406" s="29"/>
      <c r="M406" s="29"/>
      <c r="N406" s="29"/>
      <c r="O406" s="41">
        <f t="shared" si="116"/>
        <v>0.46800000000000003</v>
      </c>
      <c r="P406" s="42">
        <f t="shared" si="117"/>
        <v>0</v>
      </c>
    </row>
    <row r="407" spans="1:16" x14ac:dyDescent="0.2">
      <c r="A407" s="41">
        <f t="shared" si="114"/>
        <v>0.79800000000000015</v>
      </c>
      <c r="B407" s="42">
        <f t="shared" si="115"/>
        <v>0</v>
      </c>
      <c r="C407" s="29"/>
      <c r="D407" s="29"/>
      <c r="E407" s="29"/>
      <c r="F407" s="29"/>
      <c r="G407" s="29"/>
      <c r="H407" s="29"/>
      <c r="I407" s="29"/>
      <c r="J407" s="29"/>
      <c r="K407" s="29"/>
      <c r="L407" s="29"/>
      <c r="M407" s="29"/>
      <c r="N407" s="29"/>
      <c r="O407" s="41">
        <f t="shared" si="116"/>
        <v>0.62400000000000011</v>
      </c>
      <c r="P407" s="42">
        <f t="shared" si="117"/>
        <v>0</v>
      </c>
    </row>
    <row r="408" spans="1:16" x14ac:dyDescent="0.2">
      <c r="A408" s="41">
        <f t="shared" si="114"/>
        <v>0.86450000000000005</v>
      </c>
      <c r="B408" s="42">
        <f t="shared" si="115"/>
        <v>0</v>
      </c>
      <c r="C408" s="29"/>
      <c r="D408" s="29"/>
      <c r="E408" s="29"/>
      <c r="F408" s="29"/>
      <c r="G408" s="29"/>
      <c r="H408" s="29"/>
      <c r="I408" s="29"/>
      <c r="J408" s="29"/>
      <c r="K408" s="29"/>
      <c r="L408" s="29"/>
      <c r="M408" s="29"/>
      <c r="N408" s="29"/>
      <c r="O408" s="41">
        <f t="shared" si="116"/>
        <v>0.78</v>
      </c>
      <c r="P408" s="42">
        <f t="shared" si="117"/>
        <v>0</v>
      </c>
    </row>
    <row r="409" spans="1:16" x14ac:dyDescent="0.2">
      <c r="A409" s="41">
        <f t="shared" si="114"/>
        <v>0.94496499999999994</v>
      </c>
      <c r="B409" s="42">
        <f t="shared" si="115"/>
        <v>0</v>
      </c>
      <c r="C409" s="29"/>
      <c r="D409" s="29"/>
      <c r="E409" s="29"/>
      <c r="F409" s="29"/>
      <c r="G409" s="29"/>
      <c r="H409" s="29"/>
      <c r="I409" s="29"/>
      <c r="J409" s="29"/>
      <c r="K409" s="29"/>
      <c r="L409" s="29"/>
      <c r="M409" s="29"/>
      <c r="N409" s="29"/>
      <c r="O409" s="41">
        <f t="shared" si="116"/>
        <v>1.0405200000000001</v>
      </c>
      <c r="P409" s="42">
        <f t="shared" si="117"/>
        <v>0</v>
      </c>
    </row>
    <row r="410" spans="1:16" ht="13.5" thickBot="1" x14ac:dyDescent="0.25">
      <c r="A410" s="43">
        <f t="shared" si="114"/>
        <v>1.33</v>
      </c>
      <c r="B410" s="44">
        <f t="shared" si="115"/>
        <v>0</v>
      </c>
      <c r="C410" s="29"/>
      <c r="D410" s="29"/>
      <c r="E410" s="29"/>
      <c r="F410" s="29"/>
      <c r="G410" s="29"/>
      <c r="H410" s="29"/>
      <c r="I410" s="29"/>
      <c r="J410" s="29"/>
      <c r="K410" s="29"/>
      <c r="L410" s="29"/>
      <c r="M410" s="29"/>
      <c r="N410" s="29"/>
      <c r="O410" s="43">
        <f t="shared" si="116"/>
        <v>1.56</v>
      </c>
      <c r="P410" s="44">
        <f t="shared" si="117"/>
        <v>0</v>
      </c>
    </row>
    <row r="411" spans="1:16" x14ac:dyDescent="0.2">
      <c r="A411" s="21"/>
      <c r="B411" s="22"/>
      <c r="C411" s="29"/>
      <c r="D411" s="29"/>
      <c r="E411" s="29"/>
      <c r="F411" s="29"/>
      <c r="G411" s="29"/>
      <c r="H411" s="29"/>
      <c r="I411" s="29"/>
      <c r="J411" s="29"/>
      <c r="K411" s="29"/>
      <c r="L411" s="29"/>
      <c r="M411" s="29"/>
      <c r="N411" s="29"/>
      <c r="O411" s="21"/>
      <c r="P411" s="22"/>
    </row>
    <row r="412" spans="1:16" ht="13.5" thickBot="1" x14ac:dyDescent="0.25">
      <c r="A412" s="21"/>
      <c r="B412" s="22"/>
      <c r="C412" s="29"/>
      <c r="D412" s="29"/>
      <c r="E412" s="29"/>
      <c r="F412" s="29"/>
      <c r="G412" s="29"/>
      <c r="H412" s="29"/>
      <c r="I412" s="29"/>
      <c r="J412" s="29"/>
      <c r="K412" s="29"/>
      <c r="L412" s="29"/>
      <c r="M412" s="29"/>
      <c r="N412" s="29"/>
      <c r="O412" s="21"/>
      <c r="P412" s="22"/>
    </row>
    <row r="413" spans="1:16" ht="13.5" thickBot="1" x14ac:dyDescent="0.25">
      <c r="A413" s="120" t="s">
        <v>57</v>
      </c>
      <c r="B413" s="26" t="s">
        <v>48</v>
      </c>
      <c r="C413" s="29"/>
      <c r="D413" s="29"/>
      <c r="E413" s="29"/>
      <c r="F413" s="29"/>
      <c r="G413" s="29"/>
      <c r="H413" s="29"/>
      <c r="I413" s="29"/>
      <c r="J413" s="29"/>
      <c r="K413" s="29"/>
      <c r="L413" s="29"/>
      <c r="M413" s="29"/>
      <c r="N413" s="29"/>
      <c r="O413" s="21"/>
      <c r="P413" s="26" t="s">
        <v>48</v>
      </c>
    </row>
    <row r="414" spans="1:16" ht="13.5" thickBot="1" x14ac:dyDescent="0.25">
      <c r="A414" s="13" t="s">
        <v>72</v>
      </c>
      <c r="B414" s="245">
        <v>60</v>
      </c>
      <c r="C414" s="29"/>
      <c r="D414" s="29"/>
      <c r="E414" s="29"/>
      <c r="F414" s="29"/>
      <c r="G414" s="29"/>
      <c r="H414" s="29"/>
      <c r="I414" s="29"/>
      <c r="J414" s="29"/>
      <c r="K414" s="29"/>
      <c r="L414" s="29"/>
      <c r="M414" s="29"/>
      <c r="N414" s="29"/>
      <c r="O414" s="21"/>
      <c r="P414" s="245">
        <v>60</v>
      </c>
    </row>
    <row r="415" spans="1:16" ht="13.5" thickBot="1" x14ac:dyDescent="0.25">
      <c r="C415" s="29"/>
      <c r="D415" s="29"/>
      <c r="E415" s="29"/>
      <c r="F415" s="29"/>
      <c r="G415" s="29"/>
      <c r="H415" s="29"/>
      <c r="I415" s="29"/>
      <c r="J415" s="29"/>
      <c r="K415" s="29"/>
      <c r="L415" s="29"/>
      <c r="M415" s="29"/>
      <c r="N415" s="29"/>
      <c r="O415" s="21"/>
      <c r="P415" s="22"/>
    </row>
    <row r="416" spans="1:16" ht="13.5" thickBot="1" x14ac:dyDescent="0.25">
      <c r="A416" s="120" t="s">
        <v>1</v>
      </c>
      <c r="B416" s="26" t="s">
        <v>16</v>
      </c>
      <c r="C416" s="29"/>
      <c r="D416" s="29"/>
      <c r="E416" s="29"/>
      <c r="F416" s="29"/>
      <c r="G416" s="29"/>
      <c r="H416" s="29"/>
      <c r="I416" s="29"/>
      <c r="J416" s="29"/>
      <c r="K416" s="29"/>
      <c r="L416" s="29"/>
      <c r="M416" s="29"/>
      <c r="N416" s="29"/>
      <c r="O416" s="120" t="s">
        <v>1</v>
      </c>
      <c r="P416" s="26" t="s">
        <v>16</v>
      </c>
    </row>
    <row r="417" spans="1:16" x14ac:dyDescent="0.2">
      <c r="A417" s="57">
        <v>0</v>
      </c>
      <c r="B417" s="54">
        <v>0</v>
      </c>
      <c r="C417" s="29"/>
      <c r="D417" s="29"/>
      <c r="E417" s="29"/>
      <c r="F417" s="29"/>
      <c r="G417" s="29"/>
      <c r="H417" s="29"/>
      <c r="I417" s="29"/>
      <c r="J417" s="29"/>
      <c r="K417" s="29"/>
      <c r="L417" s="29"/>
      <c r="M417" s="29"/>
      <c r="N417" s="29"/>
      <c r="O417" s="57">
        <v>0</v>
      </c>
      <c r="P417" s="54">
        <v>0</v>
      </c>
    </row>
    <row r="418" spans="1:16" x14ac:dyDescent="0.2">
      <c r="A418" s="52">
        <v>7.89</v>
      </c>
      <c r="B418" s="55">
        <v>0</v>
      </c>
      <c r="C418" s="29"/>
      <c r="D418" s="29"/>
      <c r="E418" s="29"/>
      <c r="F418" s="29"/>
      <c r="G418" s="29"/>
      <c r="H418" s="29"/>
      <c r="I418" s="29"/>
      <c r="J418" s="29"/>
      <c r="K418" s="29"/>
      <c r="L418" s="29"/>
      <c r="M418" s="29"/>
      <c r="N418" s="29"/>
      <c r="O418" s="52">
        <v>10</v>
      </c>
      <c r="P418" s="55">
        <v>0</v>
      </c>
    </row>
    <row r="419" spans="1:16" x14ac:dyDescent="0.2">
      <c r="A419" s="52">
        <v>20</v>
      </c>
      <c r="B419" s="55">
        <v>0</v>
      </c>
      <c r="C419" s="29"/>
      <c r="D419" s="29"/>
      <c r="E419" s="29"/>
      <c r="F419" s="29"/>
      <c r="G419" s="29"/>
      <c r="H419" s="29"/>
      <c r="I419" s="29"/>
      <c r="J419" s="29"/>
      <c r="K419" s="29"/>
      <c r="L419" s="29"/>
      <c r="M419" s="29"/>
      <c r="N419" s="29"/>
      <c r="O419" s="52">
        <v>20</v>
      </c>
      <c r="P419" s="55">
        <v>0</v>
      </c>
    </row>
    <row r="420" spans="1:16" x14ac:dyDescent="0.2">
      <c r="A420" s="52">
        <v>55.26</v>
      </c>
      <c r="B420" s="55">
        <v>0</v>
      </c>
      <c r="C420" s="29"/>
      <c r="D420" s="29"/>
      <c r="E420" s="29"/>
      <c r="F420" s="29"/>
      <c r="G420" s="29"/>
      <c r="H420" s="29"/>
      <c r="I420" s="29"/>
      <c r="J420" s="29"/>
      <c r="K420" s="29"/>
      <c r="L420" s="29"/>
      <c r="M420" s="29"/>
      <c r="N420" s="29"/>
      <c r="O420" s="52">
        <v>30</v>
      </c>
      <c r="P420" s="55">
        <v>0</v>
      </c>
    </row>
    <row r="421" spans="1:16" x14ac:dyDescent="0.2">
      <c r="A421" s="52">
        <v>60</v>
      </c>
      <c r="B421" s="55">
        <v>0</v>
      </c>
      <c r="C421" s="29"/>
      <c r="D421" s="29"/>
      <c r="E421" s="29"/>
      <c r="F421" s="29"/>
      <c r="G421" s="29"/>
      <c r="H421" s="29"/>
      <c r="I421" s="29"/>
      <c r="J421" s="29"/>
      <c r="K421" s="29"/>
      <c r="L421" s="29"/>
      <c r="M421" s="29"/>
      <c r="N421" s="29"/>
      <c r="O421" s="52">
        <v>40</v>
      </c>
      <c r="P421" s="55">
        <v>0</v>
      </c>
    </row>
    <row r="422" spans="1:16" x14ac:dyDescent="0.2">
      <c r="A422" s="52">
        <v>65</v>
      </c>
      <c r="B422" s="55">
        <v>0</v>
      </c>
      <c r="C422" s="29"/>
      <c r="D422" s="29"/>
      <c r="E422" s="29"/>
      <c r="F422" s="29"/>
      <c r="G422" s="29"/>
      <c r="H422" s="29"/>
      <c r="I422" s="29"/>
      <c r="J422" s="29"/>
      <c r="K422" s="29"/>
      <c r="L422" s="29"/>
      <c r="M422" s="29"/>
      <c r="N422" s="29"/>
      <c r="O422" s="52">
        <v>50</v>
      </c>
      <c r="P422" s="55">
        <v>0</v>
      </c>
    </row>
    <row r="423" spans="1:16" x14ac:dyDescent="0.2">
      <c r="A423" s="52">
        <v>71.05</v>
      </c>
      <c r="B423" s="55">
        <v>0</v>
      </c>
      <c r="C423" s="29"/>
      <c r="D423" s="29"/>
      <c r="E423" s="29"/>
      <c r="F423" s="29"/>
      <c r="G423" s="29"/>
      <c r="H423" s="29"/>
      <c r="I423" s="29"/>
      <c r="J423" s="29"/>
      <c r="K423" s="29"/>
      <c r="L423" s="29"/>
      <c r="M423" s="29"/>
      <c r="N423" s="29"/>
      <c r="O423" s="52">
        <v>66.7</v>
      </c>
      <c r="P423" s="55">
        <v>0</v>
      </c>
    </row>
    <row r="424" spans="1:16" ht="13.5" thickBot="1" x14ac:dyDescent="0.25">
      <c r="A424" s="53">
        <v>100</v>
      </c>
      <c r="B424" s="56">
        <v>0</v>
      </c>
      <c r="C424" s="29"/>
      <c r="D424" s="29"/>
      <c r="E424" s="29"/>
      <c r="F424" s="29"/>
      <c r="G424" s="29"/>
      <c r="H424" s="29"/>
      <c r="I424" s="29"/>
      <c r="J424" s="29"/>
      <c r="K424" s="29"/>
      <c r="L424" s="29"/>
      <c r="M424" s="29"/>
      <c r="N424" s="29"/>
      <c r="O424" s="53">
        <v>100</v>
      </c>
      <c r="P424" s="56">
        <v>0</v>
      </c>
    </row>
    <row r="425" spans="1:16" ht="13.5" thickBot="1" x14ac:dyDescent="0.25">
      <c r="C425" s="29"/>
      <c r="D425" s="29"/>
      <c r="E425" s="29"/>
      <c r="F425" s="29"/>
      <c r="G425" s="29"/>
      <c r="H425" s="29"/>
      <c r="I425" s="29"/>
      <c r="J425" s="29"/>
      <c r="K425" s="29"/>
      <c r="L425" s="29"/>
      <c r="M425" s="29"/>
      <c r="N425" s="29"/>
    </row>
    <row r="426" spans="1:16" ht="13.5" thickBot="1" x14ac:dyDescent="0.25">
      <c r="A426" s="120" t="s">
        <v>17</v>
      </c>
      <c r="B426" s="26" t="s">
        <v>16</v>
      </c>
      <c r="C426" s="29"/>
      <c r="D426" s="29"/>
      <c r="E426" s="29"/>
      <c r="F426" s="29"/>
      <c r="G426" s="29"/>
      <c r="H426" s="29"/>
      <c r="I426" s="29"/>
      <c r="J426" s="29"/>
      <c r="K426" s="29"/>
      <c r="L426" s="29"/>
      <c r="M426" s="29"/>
      <c r="N426" s="29"/>
      <c r="O426" s="120" t="s">
        <v>17</v>
      </c>
      <c r="P426" s="26" t="s">
        <v>16</v>
      </c>
    </row>
    <row r="427" spans="1:16" x14ac:dyDescent="0.2">
      <c r="A427" s="39">
        <f t="shared" ref="A427:A434" si="118">A417*F$4/100</f>
        <v>0</v>
      </c>
      <c r="B427" s="40">
        <f t="shared" ref="B427:B434" si="119">B417</f>
        <v>0</v>
      </c>
      <c r="C427" s="29"/>
      <c r="D427" s="29"/>
      <c r="E427" s="29"/>
      <c r="F427" s="29"/>
      <c r="G427" s="29"/>
      <c r="H427" s="29"/>
      <c r="I427" s="29"/>
      <c r="J427" s="29"/>
      <c r="K427" s="29"/>
      <c r="L427" s="29"/>
      <c r="M427" s="29"/>
      <c r="N427" s="29"/>
      <c r="O427" s="39">
        <f t="shared" ref="O427:O434" si="120">O417*F$5/100</f>
        <v>0</v>
      </c>
      <c r="P427" s="40">
        <f t="shared" ref="P427:P434" si="121">P417</f>
        <v>0</v>
      </c>
    </row>
    <row r="428" spans="1:16" x14ac:dyDescent="0.2">
      <c r="A428" s="41">
        <f t="shared" si="118"/>
        <v>0.104937</v>
      </c>
      <c r="B428" s="42">
        <f t="shared" si="119"/>
        <v>0</v>
      </c>
      <c r="C428" s="29"/>
      <c r="D428" s="29"/>
      <c r="E428" s="29"/>
      <c r="F428" s="29"/>
      <c r="G428" s="29"/>
      <c r="H428" s="29"/>
      <c r="I428" s="29"/>
      <c r="J428" s="29"/>
      <c r="K428" s="29"/>
      <c r="L428" s="29"/>
      <c r="M428" s="29"/>
      <c r="N428" s="29"/>
      <c r="O428" s="41">
        <f t="shared" si="120"/>
        <v>0.15600000000000003</v>
      </c>
      <c r="P428" s="42">
        <f t="shared" si="121"/>
        <v>0</v>
      </c>
    </row>
    <row r="429" spans="1:16" x14ac:dyDescent="0.2">
      <c r="A429" s="41">
        <f t="shared" si="118"/>
        <v>0.26600000000000001</v>
      </c>
      <c r="B429" s="42">
        <f t="shared" si="119"/>
        <v>0</v>
      </c>
      <c r="C429" s="29"/>
      <c r="D429" s="29"/>
      <c r="E429" s="29"/>
      <c r="F429" s="29"/>
      <c r="G429" s="29"/>
      <c r="H429" s="29"/>
      <c r="I429" s="29"/>
      <c r="J429" s="29"/>
      <c r="K429" s="29"/>
      <c r="L429" s="29"/>
      <c r="M429" s="29"/>
      <c r="N429" s="29"/>
      <c r="O429" s="41">
        <f t="shared" si="120"/>
        <v>0.31200000000000006</v>
      </c>
      <c r="P429" s="42">
        <f t="shared" si="121"/>
        <v>0</v>
      </c>
    </row>
    <row r="430" spans="1:16" x14ac:dyDescent="0.2">
      <c r="A430" s="41">
        <f t="shared" si="118"/>
        <v>0.734958</v>
      </c>
      <c r="B430" s="42">
        <f t="shared" si="119"/>
        <v>0</v>
      </c>
      <c r="C430" s="29"/>
      <c r="D430" s="29"/>
      <c r="E430" s="29"/>
      <c r="F430" s="29"/>
      <c r="G430" s="29"/>
      <c r="H430" s="29"/>
      <c r="I430" s="29"/>
      <c r="J430" s="29"/>
      <c r="K430" s="29"/>
      <c r="L430" s="29"/>
      <c r="M430" s="29"/>
      <c r="N430" s="29"/>
      <c r="O430" s="41">
        <f t="shared" si="120"/>
        <v>0.46800000000000003</v>
      </c>
      <c r="P430" s="42">
        <f t="shared" si="121"/>
        <v>0</v>
      </c>
    </row>
    <row r="431" spans="1:16" x14ac:dyDescent="0.2">
      <c r="A431" s="41">
        <f t="shared" si="118"/>
        <v>0.79800000000000015</v>
      </c>
      <c r="B431" s="42">
        <f t="shared" si="119"/>
        <v>0</v>
      </c>
      <c r="C431" s="29"/>
      <c r="D431" s="29"/>
      <c r="E431" s="29"/>
      <c r="F431" s="29"/>
      <c r="G431" s="29"/>
      <c r="H431" s="29"/>
      <c r="I431" s="29"/>
      <c r="J431" s="29"/>
      <c r="K431" s="29"/>
      <c r="L431" s="29"/>
      <c r="M431" s="29"/>
      <c r="N431" s="29"/>
      <c r="O431" s="41">
        <f t="shared" si="120"/>
        <v>0.62400000000000011</v>
      </c>
      <c r="P431" s="42">
        <f t="shared" si="121"/>
        <v>0</v>
      </c>
    </row>
    <row r="432" spans="1:16" x14ac:dyDescent="0.2">
      <c r="A432" s="41">
        <f t="shared" si="118"/>
        <v>0.86450000000000005</v>
      </c>
      <c r="B432" s="42">
        <f t="shared" si="119"/>
        <v>0</v>
      </c>
      <c r="C432" s="29"/>
      <c r="D432" s="29"/>
      <c r="E432" s="29"/>
      <c r="F432" s="29"/>
      <c r="G432" s="29"/>
      <c r="H432" s="29"/>
      <c r="I432" s="29"/>
      <c r="J432" s="29"/>
      <c r="K432" s="29"/>
      <c r="L432" s="29"/>
      <c r="M432" s="29"/>
      <c r="N432" s="29"/>
      <c r="O432" s="41">
        <f t="shared" si="120"/>
        <v>0.78</v>
      </c>
      <c r="P432" s="42">
        <f t="shared" si="121"/>
        <v>0</v>
      </c>
    </row>
    <row r="433" spans="1:16" x14ac:dyDescent="0.2">
      <c r="A433" s="41">
        <f t="shared" si="118"/>
        <v>0.94496499999999994</v>
      </c>
      <c r="B433" s="42">
        <f t="shared" si="119"/>
        <v>0</v>
      </c>
      <c r="C433" s="29"/>
      <c r="D433" s="29"/>
      <c r="E433" s="29"/>
      <c r="F433" s="29"/>
      <c r="G433" s="29"/>
      <c r="H433" s="29"/>
      <c r="I433" s="29"/>
      <c r="J433" s="29"/>
      <c r="K433" s="29"/>
      <c r="L433" s="29"/>
      <c r="M433" s="29"/>
      <c r="N433" s="29"/>
      <c r="O433" s="41">
        <f t="shared" si="120"/>
        <v>1.0405200000000001</v>
      </c>
      <c r="P433" s="42">
        <f t="shared" si="121"/>
        <v>0</v>
      </c>
    </row>
    <row r="434" spans="1:16" ht="13.5" thickBot="1" x14ac:dyDescent="0.25">
      <c r="A434" s="43">
        <f t="shared" si="118"/>
        <v>1.33</v>
      </c>
      <c r="B434" s="44">
        <f t="shared" si="119"/>
        <v>0</v>
      </c>
      <c r="C434" s="29"/>
      <c r="D434" s="29"/>
      <c r="E434" s="29"/>
      <c r="F434" s="29"/>
      <c r="G434" s="29"/>
      <c r="H434" s="29"/>
      <c r="I434" s="29"/>
      <c r="J434" s="29"/>
      <c r="K434" s="29"/>
      <c r="L434" s="29"/>
      <c r="M434" s="29"/>
      <c r="N434" s="29"/>
      <c r="O434" s="43">
        <f t="shared" si="120"/>
        <v>1.56</v>
      </c>
      <c r="P434" s="44">
        <f t="shared" si="121"/>
        <v>0</v>
      </c>
    </row>
    <row r="435" spans="1:16" x14ac:dyDescent="0.2">
      <c r="A435" s="21"/>
      <c r="B435" s="22"/>
      <c r="C435" s="29"/>
      <c r="D435" s="29"/>
      <c r="E435" s="29"/>
      <c r="F435" s="29"/>
      <c r="G435" s="29"/>
      <c r="H435" s="29"/>
      <c r="I435" s="29"/>
      <c r="J435" s="29"/>
      <c r="K435" s="29"/>
      <c r="L435" s="29"/>
      <c r="M435" s="29"/>
      <c r="N435" s="29"/>
      <c r="O435" s="21"/>
      <c r="P435" s="22"/>
    </row>
    <row r="436" spans="1:16" x14ac:dyDescent="0.2">
      <c r="A436" s="29"/>
      <c r="B436" s="29"/>
      <c r="C436" s="29"/>
      <c r="D436" s="29"/>
      <c r="E436" s="29"/>
      <c r="F436" s="29"/>
      <c r="G436" s="29"/>
      <c r="H436" s="29"/>
      <c r="I436" s="29"/>
      <c r="J436" s="29"/>
      <c r="K436" s="29"/>
      <c r="L436" s="29"/>
      <c r="M436" s="29"/>
      <c r="N436" s="29"/>
      <c r="O436" s="29"/>
      <c r="P436" s="29"/>
    </row>
    <row r="437" spans="1:16" ht="13.5" thickBot="1" x14ac:dyDescent="0.25">
      <c r="A437" s="29"/>
      <c r="B437" s="29"/>
      <c r="C437" s="29"/>
      <c r="D437" s="29"/>
      <c r="E437" s="29"/>
      <c r="F437" s="29"/>
      <c r="G437" s="29"/>
      <c r="H437" s="29"/>
      <c r="I437" s="29"/>
      <c r="J437" s="29"/>
      <c r="K437" s="29"/>
      <c r="L437" s="29"/>
      <c r="M437" s="29"/>
      <c r="N437" s="29"/>
      <c r="O437" s="29"/>
      <c r="P437" s="29"/>
    </row>
    <row r="438" spans="1:16" ht="13.5" thickBot="1" x14ac:dyDescent="0.25">
      <c r="A438" s="120" t="s">
        <v>57</v>
      </c>
      <c r="B438" s="26" t="s">
        <v>48</v>
      </c>
      <c r="C438" s="117"/>
      <c r="D438" s="117"/>
      <c r="E438" s="117"/>
      <c r="F438" s="117"/>
      <c r="G438" s="117"/>
      <c r="H438" s="117"/>
      <c r="I438" s="117"/>
      <c r="J438" s="117"/>
      <c r="K438" s="117"/>
      <c r="L438" s="117"/>
      <c r="M438" s="117"/>
      <c r="O438" s="31"/>
      <c r="P438" s="26" t="s">
        <v>48</v>
      </c>
    </row>
    <row r="439" spans="1:16" ht="13.5" thickBot="1" x14ac:dyDescent="0.25">
      <c r="A439" s="13" t="s">
        <v>74</v>
      </c>
      <c r="B439" s="245">
        <v>60</v>
      </c>
      <c r="C439" s="117"/>
      <c r="D439" s="117"/>
      <c r="E439" s="117"/>
      <c r="F439" s="117"/>
      <c r="G439" s="117"/>
      <c r="H439" s="117"/>
      <c r="I439" s="117"/>
      <c r="J439" s="117"/>
      <c r="K439" s="117"/>
      <c r="L439" s="117"/>
      <c r="M439" s="117"/>
      <c r="O439" s="87"/>
      <c r="P439" s="245">
        <v>60</v>
      </c>
    </row>
    <row r="440" spans="1:16" ht="13.5" thickBot="1" x14ac:dyDescent="0.25">
      <c r="A440" s="1"/>
      <c r="B440" s="24"/>
      <c r="C440" s="117"/>
      <c r="D440" s="117"/>
      <c r="E440" s="117"/>
      <c r="F440" s="117"/>
      <c r="G440" s="117"/>
      <c r="H440" s="117"/>
      <c r="I440" s="117"/>
      <c r="J440" s="117"/>
      <c r="K440" s="117"/>
      <c r="L440" s="117"/>
      <c r="M440" s="117"/>
    </row>
    <row r="441" spans="1:16" ht="13.5" thickBot="1" x14ac:dyDescent="0.25">
      <c r="A441" s="120" t="s">
        <v>1</v>
      </c>
      <c r="B441" s="26" t="s">
        <v>16</v>
      </c>
      <c r="C441" s="117"/>
      <c r="D441" s="117"/>
      <c r="E441" s="117"/>
      <c r="F441" s="117"/>
      <c r="G441" s="117"/>
      <c r="H441" s="117"/>
      <c r="K441" s="117"/>
      <c r="L441" s="117"/>
      <c r="M441" s="117"/>
      <c r="O441" s="120" t="s">
        <v>1</v>
      </c>
      <c r="P441" s="26" t="s">
        <v>16</v>
      </c>
    </row>
    <row r="442" spans="1:16" x14ac:dyDescent="0.2">
      <c r="A442" s="51">
        <v>0</v>
      </c>
      <c r="B442" s="54">
        <v>150</v>
      </c>
      <c r="C442" s="117"/>
      <c r="D442" s="117"/>
      <c r="E442" s="117"/>
      <c r="F442" s="117"/>
      <c r="G442" s="117"/>
      <c r="H442" s="117"/>
      <c r="I442" s="117"/>
      <c r="J442" s="117"/>
      <c r="K442" s="117"/>
      <c r="L442" s="117"/>
      <c r="M442" s="117"/>
      <c r="O442" s="57">
        <v>0</v>
      </c>
      <c r="P442" s="54">
        <v>150</v>
      </c>
    </row>
    <row r="443" spans="1:16" x14ac:dyDescent="0.2">
      <c r="A443" s="52">
        <v>25</v>
      </c>
      <c r="B443" s="55">
        <v>150</v>
      </c>
      <c r="C443" s="117"/>
      <c r="D443" s="117"/>
      <c r="E443" s="117"/>
      <c r="F443" s="117"/>
      <c r="G443" s="117"/>
      <c r="H443" s="117"/>
      <c r="I443" s="117"/>
      <c r="J443" s="117"/>
      <c r="K443" s="117"/>
      <c r="L443" s="117"/>
      <c r="M443" s="117"/>
      <c r="O443" s="52">
        <v>5</v>
      </c>
      <c r="P443" s="55">
        <v>150</v>
      </c>
    </row>
    <row r="444" spans="1:16" x14ac:dyDescent="0.2">
      <c r="A444" s="52">
        <v>50</v>
      </c>
      <c r="B444" s="55">
        <v>150</v>
      </c>
      <c r="C444" s="117"/>
      <c r="D444" s="117"/>
      <c r="E444" s="117"/>
      <c r="F444" s="117"/>
      <c r="G444" s="117"/>
      <c r="H444" s="117"/>
      <c r="I444" s="117"/>
      <c r="J444" s="117"/>
      <c r="K444" s="117"/>
      <c r="L444" s="117"/>
      <c r="M444" s="117"/>
      <c r="O444" s="52">
        <v>9.3800000000000008</v>
      </c>
      <c r="P444" s="55">
        <v>150</v>
      </c>
    </row>
    <row r="445" spans="1:16" x14ac:dyDescent="0.2">
      <c r="A445" s="52">
        <v>75</v>
      </c>
      <c r="B445" s="55">
        <v>150</v>
      </c>
      <c r="C445" s="117"/>
      <c r="D445" s="117"/>
      <c r="E445" s="117"/>
      <c r="F445" s="117"/>
      <c r="G445" s="117"/>
      <c r="H445" s="117"/>
      <c r="I445" s="117"/>
      <c r="J445" s="117"/>
      <c r="K445" s="117"/>
      <c r="L445" s="117"/>
      <c r="M445" s="117"/>
      <c r="O445" s="52">
        <v>11.81</v>
      </c>
      <c r="P445" s="55">
        <v>0</v>
      </c>
    </row>
    <row r="446" spans="1:16" x14ac:dyDescent="0.2">
      <c r="A446" s="52">
        <v>88</v>
      </c>
      <c r="B446" s="55">
        <v>150</v>
      </c>
      <c r="C446" s="117"/>
      <c r="D446" s="117"/>
      <c r="E446" s="117"/>
      <c r="F446" s="117"/>
      <c r="G446" s="117"/>
      <c r="H446" s="117"/>
      <c r="I446" s="117"/>
      <c r="J446" s="117"/>
      <c r="K446" s="117"/>
      <c r="L446" s="117"/>
      <c r="M446" s="117"/>
      <c r="O446" s="52">
        <v>61.81</v>
      </c>
      <c r="P446" s="55">
        <v>0</v>
      </c>
    </row>
    <row r="447" spans="1:16" x14ac:dyDescent="0.2">
      <c r="A447" s="52">
        <v>94</v>
      </c>
      <c r="B447" s="55">
        <v>150</v>
      </c>
      <c r="C447" s="117"/>
      <c r="D447" s="117"/>
      <c r="E447" s="117"/>
      <c r="F447" s="117"/>
      <c r="G447" s="117"/>
      <c r="H447" s="117"/>
      <c r="I447" s="117"/>
      <c r="J447" s="117"/>
      <c r="K447" s="117"/>
      <c r="L447" s="117"/>
      <c r="M447" s="117"/>
      <c r="O447" s="52">
        <v>93.06</v>
      </c>
      <c r="P447" s="55">
        <v>150</v>
      </c>
    </row>
    <row r="448" spans="1:16" x14ac:dyDescent="0.2">
      <c r="A448" s="52">
        <v>95</v>
      </c>
      <c r="B448" s="55">
        <v>150</v>
      </c>
      <c r="C448" s="117"/>
      <c r="D448" s="117"/>
      <c r="E448" s="117"/>
      <c r="F448" s="117"/>
      <c r="G448" s="117"/>
      <c r="H448" s="117"/>
      <c r="I448" s="117"/>
      <c r="J448" s="117"/>
      <c r="K448" s="117"/>
      <c r="L448" s="117"/>
      <c r="M448" s="117"/>
      <c r="O448" s="52">
        <v>95</v>
      </c>
      <c r="P448" s="55">
        <v>150</v>
      </c>
    </row>
    <row r="449" spans="1:16" ht="13.5" thickBot="1" x14ac:dyDescent="0.25">
      <c r="A449" s="53">
        <v>100</v>
      </c>
      <c r="B449" s="56">
        <v>150</v>
      </c>
      <c r="C449" s="117"/>
      <c r="D449" s="117"/>
      <c r="E449" s="117"/>
      <c r="F449" s="117"/>
      <c r="G449" s="117"/>
      <c r="H449" s="117"/>
      <c r="I449" s="117"/>
      <c r="J449" s="117"/>
      <c r="K449" s="117"/>
      <c r="L449" s="117"/>
      <c r="M449" s="117"/>
      <c r="O449" s="53">
        <v>100</v>
      </c>
      <c r="P449" s="56">
        <v>150</v>
      </c>
    </row>
    <row r="450" spans="1:16" ht="13.5" thickBot="1" x14ac:dyDescent="0.25">
      <c r="A450" s="117"/>
      <c r="B450" s="117"/>
      <c r="C450" s="117"/>
      <c r="D450" s="117"/>
      <c r="E450" s="117"/>
      <c r="F450" s="117"/>
      <c r="G450" s="117"/>
      <c r="H450" s="117"/>
      <c r="I450" s="117"/>
      <c r="J450" s="117"/>
      <c r="K450" s="117"/>
      <c r="L450" s="117"/>
      <c r="M450" s="117"/>
    </row>
    <row r="451" spans="1:16" ht="13.5" thickBot="1" x14ac:dyDescent="0.25">
      <c r="A451" s="120" t="s">
        <v>17</v>
      </c>
      <c r="B451" s="26" t="s">
        <v>16</v>
      </c>
      <c r="C451" s="117"/>
      <c r="D451" s="117"/>
      <c r="E451" s="117"/>
      <c r="F451" s="117"/>
      <c r="G451" s="117"/>
      <c r="H451" s="117"/>
      <c r="I451" s="117"/>
      <c r="J451" s="117"/>
      <c r="K451" s="117"/>
      <c r="L451" s="117"/>
      <c r="M451" s="117"/>
      <c r="O451" s="120" t="s">
        <v>17</v>
      </c>
      <c r="P451" s="26" t="s">
        <v>16</v>
      </c>
    </row>
    <row r="452" spans="1:16" x14ac:dyDescent="0.2">
      <c r="A452" s="39">
        <f t="shared" ref="A452:A459" si="122">A442*F$4/100</f>
        <v>0</v>
      </c>
      <c r="B452" s="40">
        <f t="shared" ref="B452:B459" si="123">B442</f>
        <v>150</v>
      </c>
      <c r="C452" s="117"/>
      <c r="D452" s="117"/>
      <c r="E452" s="117"/>
      <c r="F452" s="117"/>
      <c r="G452" s="117"/>
      <c r="H452" s="117"/>
      <c r="I452" s="117"/>
      <c r="J452" s="117"/>
      <c r="K452" s="117"/>
      <c r="L452" s="117"/>
      <c r="M452" s="117"/>
      <c r="O452" s="39">
        <f t="shared" ref="O452:O459" si="124">O442*F$5/100</f>
        <v>0</v>
      </c>
      <c r="P452" s="40">
        <f t="shared" ref="P452:P459" si="125">P442</f>
        <v>150</v>
      </c>
    </row>
    <row r="453" spans="1:16" x14ac:dyDescent="0.2">
      <c r="A453" s="41">
        <f t="shared" si="122"/>
        <v>0.33250000000000002</v>
      </c>
      <c r="B453" s="42">
        <f t="shared" si="123"/>
        <v>150</v>
      </c>
      <c r="C453" s="117"/>
      <c r="D453" s="117"/>
      <c r="E453" s="117"/>
      <c r="F453" s="117"/>
      <c r="G453" s="117"/>
      <c r="H453" s="117"/>
      <c r="I453" s="117"/>
      <c r="J453" s="117"/>
      <c r="K453" s="117"/>
      <c r="L453" s="117"/>
      <c r="M453" s="117"/>
      <c r="O453" s="41">
        <f t="shared" si="124"/>
        <v>7.8000000000000014E-2</v>
      </c>
      <c r="P453" s="42">
        <f t="shared" si="125"/>
        <v>150</v>
      </c>
    </row>
    <row r="454" spans="1:16" x14ac:dyDescent="0.2">
      <c r="A454" s="41">
        <f t="shared" si="122"/>
        <v>0.66500000000000004</v>
      </c>
      <c r="B454" s="42">
        <f t="shared" si="123"/>
        <v>150</v>
      </c>
      <c r="C454" s="117"/>
      <c r="D454" s="117"/>
      <c r="E454" s="117"/>
      <c r="F454" s="117"/>
      <c r="G454" s="117"/>
      <c r="H454" s="117"/>
      <c r="I454" s="117"/>
      <c r="J454" s="117"/>
      <c r="K454" s="117"/>
      <c r="L454" s="117"/>
      <c r="M454" s="117"/>
      <c r="O454" s="41">
        <f t="shared" si="124"/>
        <v>0.14632800000000001</v>
      </c>
      <c r="P454" s="42">
        <f t="shared" si="125"/>
        <v>150</v>
      </c>
    </row>
    <row r="455" spans="1:16" x14ac:dyDescent="0.2">
      <c r="A455" s="41">
        <f t="shared" si="122"/>
        <v>0.99750000000000005</v>
      </c>
      <c r="B455" s="42">
        <f t="shared" si="123"/>
        <v>150</v>
      </c>
      <c r="C455" s="117"/>
      <c r="D455" s="117"/>
      <c r="E455" s="117"/>
      <c r="F455" s="117"/>
      <c r="G455" s="117"/>
      <c r="H455" s="117"/>
      <c r="I455" s="117"/>
      <c r="J455" s="117"/>
      <c r="K455" s="117"/>
      <c r="L455" s="117"/>
      <c r="M455" s="117"/>
      <c r="O455" s="41">
        <f t="shared" si="124"/>
        <v>0.18423600000000001</v>
      </c>
      <c r="P455" s="42">
        <f t="shared" si="125"/>
        <v>0</v>
      </c>
    </row>
    <row r="456" spans="1:16" x14ac:dyDescent="0.2">
      <c r="A456" s="41">
        <f t="shared" si="122"/>
        <v>1.1704000000000001</v>
      </c>
      <c r="B456" s="42">
        <f t="shared" si="123"/>
        <v>150</v>
      </c>
      <c r="C456" s="117"/>
      <c r="D456" s="117"/>
      <c r="E456" s="117"/>
      <c r="F456" s="117"/>
      <c r="G456" s="117"/>
      <c r="H456" s="117"/>
      <c r="I456" s="117"/>
      <c r="J456" s="117"/>
      <c r="K456" s="117"/>
      <c r="L456" s="117"/>
      <c r="M456" s="117"/>
      <c r="O456" s="41">
        <f t="shared" si="124"/>
        <v>0.96423600000000009</v>
      </c>
      <c r="P456" s="42">
        <f t="shared" si="125"/>
        <v>0</v>
      </c>
    </row>
    <row r="457" spans="1:16" x14ac:dyDescent="0.2">
      <c r="A457" s="41">
        <f t="shared" si="122"/>
        <v>1.2502000000000002</v>
      </c>
      <c r="B457" s="42">
        <f t="shared" si="123"/>
        <v>150</v>
      </c>
      <c r="C457" s="117"/>
      <c r="D457" s="117"/>
      <c r="E457" s="117"/>
      <c r="F457" s="117"/>
      <c r="G457" s="117"/>
      <c r="H457" s="117"/>
      <c r="I457" s="117"/>
      <c r="J457" s="117"/>
      <c r="K457" s="117"/>
      <c r="L457" s="117"/>
      <c r="M457" s="117"/>
      <c r="O457" s="41">
        <f t="shared" si="124"/>
        <v>1.4517360000000001</v>
      </c>
      <c r="P457" s="42">
        <f t="shared" si="125"/>
        <v>150</v>
      </c>
    </row>
    <row r="458" spans="1:16" x14ac:dyDescent="0.2">
      <c r="A458" s="41">
        <f t="shared" si="122"/>
        <v>1.2635000000000001</v>
      </c>
      <c r="B458" s="42">
        <f t="shared" si="123"/>
        <v>150</v>
      </c>
      <c r="C458" s="117"/>
      <c r="D458" s="117"/>
      <c r="E458" s="117"/>
      <c r="F458" s="117"/>
      <c r="G458" s="117"/>
      <c r="H458" s="117"/>
      <c r="I458" s="117"/>
      <c r="J458" s="117"/>
      <c r="K458" s="117"/>
      <c r="L458" s="117"/>
      <c r="M458" s="117"/>
      <c r="O458" s="41">
        <f t="shared" si="124"/>
        <v>1.4820000000000002</v>
      </c>
      <c r="P458" s="42">
        <f t="shared" si="125"/>
        <v>150</v>
      </c>
    </row>
    <row r="459" spans="1:16" ht="13.5" thickBot="1" x14ac:dyDescent="0.25">
      <c r="A459" s="43">
        <f t="shared" si="122"/>
        <v>1.33</v>
      </c>
      <c r="B459" s="44">
        <f t="shared" si="123"/>
        <v>150</v>
      </c>
      <c r="C459" s="117"/>
      <c r="D459" s="117"/>
      <c r="E459" s="117"/>
      <c r="F459" s="117"/>
      <c r="G459" s="117"/>
      <c r="H459" s="117"/>
      <c r="I459" s="117"/>
      <c r="J459" s="117"/>
      <c r="K459" s="117"/>
      <c r="L459" s="117"/>
      <c r="M459" s="117"/>
      <c r="O459" s="43">
        <f t="shared" si="124"/>
        <v>1.56</v>
      </c>
      <c r="P459" s="44">
        <f t="shared" si="125"/>
        <v>150</v>
      </c>
    </row>
    <row r="460" spans="1:16" x14ac:dyDescent="0.2">
      <c r="A460" s="117"/>
      <c r="B460" s="117"/>
      <c r="C460" s="117"/>
      <c r="D460" s="117"/>
      <c r="E460" s="117"/>
      <c r="F460" s="117"/>
      <c r="G460" s="117"/>
      <c r="H460" s="117"/>
      <c r="I460" s="117"/>
      <c r="J460" s="117"/>
      <c r="K460" s="117"/>
      <c r="L460" s="117"/>
      <c r="M460" s="117"/>
    </row>
    <row r="461" spans="1:16" ht="13.5" thickBot="1" x14ac:dyDescent="0.25">
      <c r="A461" s="117"/>
      <c r="B461" s="117"/>
      <c r="C461" s="117"/>
      <c r="D461" s="117"/>
      <c r="E461" s="117"/>
      <c r="F461" s="117"/>
      <c r="G461" s="117"/>
      <c r="H461" s="117"/>
      <c r="I461" s="117"/>
      <c r="J461" s="117"/>
      <c r="K461" s="117"/>
      <c r="L461" s="117"/>
      <c r="M461" s="117"/>
    </row>
    <row r="462" spans="1:16" ht="13.5" thickBot="1" x14ac:dyDescent="0.25">
      <c r="A462" s="120" t="s">
        <v>57</v>
      </c>
      <c r="B462" s="26" t="s">
        <v>48</v>
      </c>
      <c r="C462" s="117"/>
      <c r="D462" s="117"/>
      <c r="E462" s="117"/>
      <c r="F462" s="117"/>
      <c r="G462" s="117"/>
      <c r="H462" s="117"/>
      <c r="I462" s="117"/>
      <c r="J462" s="117"/>
      <c r="K462" s="117"/>
      <c r="L462" s="117"/>
      <c r="M462" s="117"/>
      <c r="O462" s="31"/>
      <c r="P462" s="26" t="s">
        <v>48</v>
      </c>
    </row>
    <row r="463" spans="1:16" ht="13.5" thickBot="1" x14ac:dyDescent="0.25">
      <c r="A463" s="13" t="s">
        <v>75</v>
      </c>
      <c r="B463" s="245">
        <v>60</v>
      </c>
      <c r="C463" s="117"/>
      <c r="D463" s="117"/>
      <c r="E463" s="117"/>
      <c r="F463" s="117"/>
      <c r="G463" s="117"/>
      <c r="H463" s="117"/>
      <c r="I463" s="117"/>
      <c r="J463" s="117"/>
      <c r="K463" s="117"/>
      <c r="L463" s="117"/>
      <c r="M463" s="117"/>
      <c r="O463" s="71"/>
      <c r="P463" s="245">
        <v>30</v>
      </c>
    </row>
    <row r="464" spans="1:16" ht="13.5" thickBot="1" x14ac:dyDescent="0.25">
      <c r="A464" s="117"/>
      <c r="B464" s="117"/>
      <c r="C464" s="117"/>
      <c r="D464" s="117"/>
      <c r="E464" s="117"/>
      <c r="F464" s="117"/>
      <c r="G464" s="117"/>
      <c r="H464" s="117"/>
      <c r="I464" s="117"/>
      <c r="J464" s="117"/>
      <c r="K464" s="117"/>
      <c r="L464" s="117"/>
      <c r="M464" s="117"/>
    </row>
    <row r="465" spans="1:16" ht="13.5" thickBot="1" x14ac:dyDescent="0.25">
      <c r="A465" s="120" t="s">
        <v>1</v>
      </c>
      <c r="B465" s="26" t="s">
        <v>16</v>
      </c>
      <c r="C465" s="117"/>
      <c r="D465" s="117"/>
      <c r="E465" s="117"/>
      <c r="F465" s="117"/>
      <c r="G465" s="117"/>
      <c r="H465" s="117"/>
      <c r="I465" s="117"/>
      <c r="J465" s="117"/>
      <c r="K465" s="117"/>
      <c r="L465" s="117"/>
      <c r="M465" s="117"/>
      <c r="O465" s="120" t="s">
        <v>1</v>
      </c>
      <c r="P465" s="26" t="s">
        <v>16</v>
      </c>
    </row>
    <row r="466" spans="1:16" x14ac:dyDescent="0.2">
      <c r="A466" s="57">
        <v>0</v>
      </c>
      <c r="B466" s="54">
        <v>0</v>
      </c>
      <c r="C466" s="117"/>
      <c r="D466" s="117"/>
      <c r="E466" s="117"/>
      <c r="F466" s="117"/>
      <c r="G466" s="117"/>
      <c r="H466" s="117"/>
      <c r="I466" s="117"/>
      <c r="J466" s="117"/>
      <c r="K466" s="117"/>
      <c r="L466" s="117"/>
      <c r="M466" s="117"/>
      <c r="O466" s="57">
        <v>0</v>
      </c>
      <c r="P466" s="54">
        <v>0</v>
      </c>
    </row>
    <row r="467" spans="1:16" x14ac:dyDescent="0.2">
      <c r="A467" s="52">
        <v>10</v>
      </c>
      <c r="B467" s="55">
        <v>0</v>
      </c>
      <c r="C467" s="117"/>
      <c r="D467" s="117"/>
      <c r="E467" s="117"/>
      <c r="F467" s="117"/>
      <c r="G467" s="117"/>
      <c r="H467" s="117"/>
      <c r="I467" s="117"/>
      <c r="J467" s="117"/>
      <c r="K467" s="117"/>
      <c r="L467" s="117"/>
      <c r="M467" s="117"/>
      <c r="O467" s="52">
        <v>5</v>
      </c>
      <c r="P467" s="55">
        <v>0</v>
      </c>
    </row>
    <row r="468" spans="1:16" x14ac:dyDescent="0.2">
      <c r="A468" s="52">
        <v>50</v>
      </c>
      <c r="B468" s="55">
        <v>0</v>
      </c>
      <c r="C468" s="117"/>
      <c r="D468" s="117"/>
      <c r="E468" s="117"/>
      <c r="F468" s="117"/>
      <c r="G468" s="117"/>
      <c r="H468" s="117"/>
      <c r="I468" s="117"/>
      <c r="J468" s="117"/>
      <c r="K468" s="117"/>
      <c r="L468" s="117"/>
      <c r="M468" s="117"/>
      <c r="O468" s="52">
        <v>9.3800000000000008</v>
      </c>
      <c r="P468" s="55">
        <v>0</v>
      </c>
    </row>
    <row r="469" spans="1:16" x14ac:dyDescent="0.2">
      <c r="A469" s="52">
        <v>75</v>
      </c>
      <c r="B469" s="55">
        <v>0</v>
      </c>
      <c r="C469" s="117"/>
      <c r="D469" s="117"/>
      <c r="E469" s="117"/>
      <c r="F469" s="117"/>
      <c r="G469" s="117"/>
      <c r="H469" s="117"/>
      <c r="I469" s="117"/>
      <c r="J469" s="117"/>
      <c r="K469" s="117"/>
      <c r="L469" s="117"/>
      <c r="M469" s="117"/>
      <c r="O469" s="52">
        <v>11.81</v>
      </c>
      <c r="P469" s="55">
        <v>150</v>
      </c>
    </row>
    <row r="470" spans="1:16" x14ac:dyDescent="0.2">
      <c r="A470" s="52">
        <v>88</v>
      </c>
      <c r="B470" s="55">
        <v>0</v>
      </c>
      <c r="C470" s="117"/>
      <c r="D470" s="117"/>
      <c r="E470" s="117"/>
      <c r="F470" s="117"/>
      <c r="G470" s="117"/>
      <c r="H470" s="117"/>
      <c r="I470" s="117"/>
      <c r="J470" s="117"/>
      <c r="K470" s="117"/>
      <c r="L470" s="117"/>
      <c r="M470" s="117"/>
      <c r="O470" s="52">
        <v>77.430000000000007</v>
      </c>
      <c r="P470" s="55">
        <v>150</v>
      </c>
    </row>
    <row r="471" spans="1:16" x14ac:dyDescent="0.2">
      <c r="A471" s="52">
        <v>94</v>
      </c>
      <c r="B471" s="55">
        <v>0</v>
      </c>
      <c r="C471" s="117"/>
      <c r="D471" s="117"/>
      <c r="E471" s="117"/>
      <c r="F471" s="117"/>
      <c r="G471" s="117"/>
      <c r="H471" s="117"/>
      <c r="I471" s="117"/>
      <c r="J471" s="117"/>
      <c r="K471" s="117"/>
      <c r="L471" s="117"/>
      <c r="M471" s="117"/>
      <c r="O471" s="52">
        <v>93.06</v>
      </c>
      <c r="P471" s="55">
        <v>0</v>
      </c>
    </row>
    <row r="472" spans="1:16" x14ac:dyDescent="0.2">
      <c r="A472" s="52">
        <v>95</v>
      </c>
      <c r="B472" s="55">
        <v>0</v>
      </c>
      <c r="C472" s="117"/>
      <c r="D472" s="117"/>
      <c r="E472" s="117"/>
      <c r="F472" s="117"/>
      <c r="G472" s="117"/>
      <c r="H472" s="117"/>
      <c r="I472" s="117"/>
      <c r="J472" s="117"/>
      <c r="K472" s="117"/>
      <c r="L472" s="117"/>
      <c r="M472" s="117"/>
      <c r="O472" s="52">
        <v>95</v>
      </c>
      <c r="P472" s="55">
        <v>0</v>
      </c>
    </row>
    <row r="473" spans="1:16" ht="13.5" thickBot="1" x14ac:dyDescent="0.25">
      <c r="A473" s="53">
        <v>100</v>
      </c>
      <c r="B473" s="56">
        <v>0</v>
      </c>
      <c r="C473" s="117"/>
      <c r="D473" s="117"/>
      <c r="E473" s="117"/>
      <c r="F473" s="117"/>
      <c r="G473" s="117"/>
      <c r="H473" s="117"/>
      <c r="I473" s="117"/>
      <c r="J473" s="117"/>
      <c r="K473" s="117"/>
      <c r="L473" s="117"/>
      <c r="M473" s="117"/>
      <c r="O473" s="53">
        <v>100</v>
      </c>
      <c r="P473" s="56">
        <v>0</v>
      </c>
    </row>
    <row r="474" spans="1:16" ht="13.5" thickBot="1" x14ac:dyDescent="0.25">
      <c r="A474" s="117"/>
      <c r="B474" s="117"/>
      <c r="C474" s="117"/>
      <c r="D474" s="117"/>
      <c r="E474" s="117"/>
      <c r="F474" s="117"/>
      <c r="G474" s="117"/>
      <c r="H474" s="117"/>
      <c r="I474" s="117"/>
      <c r="J474" s="117"/>
      <c r="K474" s="117"/>
      <c r="L474" s="117"/>
      <c r="M474" s="117"/>
    </row>
    <row r="475" spans="1:16" ht="13.5" thickBot="1" x14ac:dyDescent="0.25">
      <c r="A475" s="120" t="s">
        <v>17</v>
      </c>
      <c r="B475" s="26" t="s">
        <v>16</v>
      </c>
      <c r="C475" s="117"/>
      <c r="D475" s="117"/>
      <c r="E475" s="117"/>
      <c r="F475" s="117"/>
      <c r="G475" s="117"/>
      <c r="H475" s="117"/>
      <c r="I475" s="117"/>
      <c r="J475" s="117"/>
      <c r="K475" s="117"/>
      <c r="L475" s="117"/>
      <c r="M475" s="117"/>
      <c r="O475" s="120" t="s">
        <v>17</v>
      </c>
      <c r="P475" s="26" t="s">
        <v>16</v>
      </c>
    </row>
    <row r="476" spans="1:16" x14ac:dyDescent="0.2">
      <c r="A476" s="39">
        <f t="shared" ref="A476:A483" si="126">A466*F$4/100</f>
        <v>0</v>
      </c>
      <c r="B476" s="40">
        <f t="shared" ref="B476:B483" si="127">B466</f>
        <v>0</v>
      </c>
      <c r="C476" s="117"/>
      <c r="D476" s="117"/>
      <c r="E476" s="117"/>
      <c r="F476" s="117"/>
      <c r="G476" s="117"/>
      <c r="H476" s="117"/>
      <c r="I476" s="117"/>
      <c r="J476" s="117"/>
      <c r="K476" s="117"/>
      <c r="L476" s="117"/>
      <c r="M476" s="117"/>
      <c r="O476" s="39">
        <f t="shared" ref="O476:O483" si="128">O466*F$5/100</f>
        <v>0</v>
      </c>
      <c r="P476" s="40">
        <f t="shared" ref="P476:P483" si="129">P466</f>
        <v>0</v>
      </c>
    </row>
    <row r="477" spans="1:16" x14ac:dyDescent="0.2">
      <c r="A477" s="41">
        <f t="shared" si="126"/>
        <v>0.13300000000000001</v>
      </c>
      <c r="B477" s="42">
        <f t="shared" si="127"/>
        <v>0</v>
      </c>
      <c r="C477" s="117"/>
      <c r="D477" s="117"/>
      <c r="E477" s="117"/>
      <c r="F477" s="117"/>
      <c r="G477" s="117"/>
      <c r="H477" s="117"/>
      <c r="I477" s="117"/>
      <c r="J477" s="117"/>
      <c r="K477" s="117"/>
      <c r="L477" s="117"/>
      <c r="M477" s="117"/>
      <c r="O477" s="41">
        <f t="shared" si="128"/>
        <v>7.8000000000000014E-2</v>
      </c>
      <c r="P477" s="42">
        <f t="shared" si="129"/>
        <v>0</v>
      </c>
    </row>
    <row r="478" spans="1:16" x14ac:dyDescent="0.2">
      <c r="A478" s="41">
        <f t="shared" si="126"/>
        <v>0.66500000000000004</v>
      </c>
      <c r="B478" s="42">
        <f t="shared" si="127"/>
        <v>0</v>
      </c>
      <c r="C478" s="117"/>
      <c r="D478" s="117"/>
      <c r="E478" s="117"/>
      <c r="F478" s="117"/>
      <c r="G478" s="117"/>
      <c r="H478" s="117"/>
      <c r="I478" s="117"/>
      <c r="J478" s="117"/>
      <c r="K478" s="117"/>
      <c r="L478" s="117"/>
      <c r="M478" s="117"/>
      <c r="O478" s="41">
        <f t="shared" si="128"/>
        <v>0.14632800000000001</v>
      </c>
      <c r="P478" s="42">
        <f t="shared" si="129"/>
        <v>0</v>
      </c>
    </row>
    <row r="479" spans="1:16" x14ac:dyDescent="0.2">
      <c r="A479" s="41">
        <f t="shared" si="126"/>
        <v>0.99750000000000005</v>
      </c>
      <c r="B479" s="42">
        <f t="shared" si="127"/>
        <v>0</v>
      </c>
      <c r="C479" s="117"/>
      <c r="D479" s="117"/>
      <c r="E479" s="117"/>
      <c r="F479" s="117"/>
      <c r="G479" s="117"/>
      <c r="H479" s="117"/>
      <c r="I479" s="117"/>
      <c r="J479" s="117"/>
      <c r="K479" s="117"/>
      <c r="L479" s="117"/>
      <c r="M479" s="117"/>
      <c r="O479" s="41">
        <f t="shared" si="128"/>
        <v>0.18423600000000001</v>
      </c>
      <c r="P479" s="42">
        <f t="shared" si="129"/>
        <v>150</v>
      </c>
    </row>
    <row r="480" spans="1:16" x14ac:dyDescent="0.2">
      <c r="A480" s="41">
        <f t="shared" si="126"/>
        <v>1.1704000000000001</v>
      </c>
      <c r="B480" s="42">
        <f t="shared" si="127"/>
        <v>0</v>
      </c>
      <c r="C480" s="117"/>
      <c r="D480" s="117"/>
      <c r="E480" s="117"/>
      <c r="F480" s="117"/>
      <c r="G480" s="117"/>
      <c r="H480" s="117"/>
      <c r="I480" s="117"/>
      <c r="J480" s="117"/>
      <c r="K480" s="117"/>
      <c r="L480" s="117"/>
      <c r="M480" s="117"/>
      <c r="O480" s="41">
        <f t="shared" si="128"/>
        <v>1.2079080000000002</v>
      </c>
      <c r="P480" s="42">
        <f t="shared" si="129"/>
        <v>150</v>
      </c>
    </row>
    <row r="481" spans="1:16" x14ac:dyDescent="0.2">
      <c r="A481" s="41">
        <f t="shared" si="126"/>
        <v>1.2502000000000002</v>
      </c>
      <c r="B481" s="42">
        <f t="shared" si="127"/>
        <v>0</v>
      </c>
      <c r="C481" s="117"/>
      <c r="D481" s="117"/>
      <c r="E481" s="117"/>
      <c r="F481" s="117"/>
      <c r="G481" s="117"/>
      <c r="H481" s="117"/>
      <c r="I481" s="117"/>
      <c r="J481" s="117"/>
      <c r="K481" s="117"/>
      <c r="L481" s="117"/>
      <c r="M481" s="117"/>
      <c r="O481" s="41">
        <f t="shared" si="128"/>
        <v>1.4517360000000001</v>
      </c>
      <c r="P481" s="42">
        <f t="shared" si="129"/>
        <v>0</v>
      </c>
    </row>
    <row r="482" spans="1:16" x14ac:dyDescent="0.2">
      <c r="A482" s="41">
        <f t="shared" si="126"/>
        <v>1.2635000000000001</v>
      </c>
      <c r="B482" s="42">
        <f t="shared" si="127"/>
        <v>0</v>
      </c>
      <c r="C482" s="117"/>
      <c r="D482" s="117"/>
      <c r="E482" s="117"/>
      <c r="F482" s="117"/>
      <c r="G482" s="117"/>
      <c r="H482" s="117"/>
      <c r="I482" s="117"/>
      <c r="J482" s="117"/>
      <c r="K482" s="117"/>
      <c r="L482" s="117"/>
      <c r="M482" s="117"/>
      <c r="O482" s="41">
        <f t="shared" si="128"/>
        <v>1.4820000000000002</v>
      </c>
      <c r="P482" s="42">
        <f t="shared" si="129"/>
        <v>0</v>
      </c>
    </row>
    <row r="483" spans="1:16" ht="13.5" thickBot="1" x14ac:dyDescent="0.25">
      <c r="A483" s="43">
        <f t="shared" si="126"/>
        <v>1.33</v>
      </c>
      <c r="B483" s="44">
        <f t="shared" si="127"/>
        <v>0</v>
      </c>
      <c r="C483" s="1"/>
      <c r="D483" s="1"/>
      <c r="E483" s="1"/>
      <c r="F483" s="1"/>
      <c r="G483" s="1"/>
      <c r="H483" s="1"/>
      <c r="I483" s="1"/>
      <c r="J483" s="1"/>
      <c r="K483" s="1"/>
      <c r="L483" s="1"/>
      <c r="M483" s="1"/>
      <c r="O483" s="43">
        <f t="shared" si="128"/>
        <v>1.56</v>
      </c>
      <c r="P483" s="44">
        <f t="shared" si="129"/>
        <v>0</v>
      </c>
    </row>
    <row r="484" spans="1:16" x14ac:dyDescent="0.2">
      <c r="A484" s="1"/>
      <c r="B484" s="1"/>
      <c r="C484" s="1"/>
      <c r="D484" s="1"/>
      <c r="E484" s="1"/>
      <c r="F484" s="1"/>
      <c r="G484" s="1"/>
      <c r="H484" s="1"/>
      <c r="I484" s="1"/>
      <c r="J484" s="1"/>
      <c r="K484" s="1"/>
      <c r="L484" s="1"/>
      <c r="M484" s="1"/>
    </row>
    <row r="485" spans="1:16" ht="13.5" thickBot="1" x14ac:dyDescent="0.25">
      <c r="A485" s="1"/>
      <c r="B485" s="1"/>
      <c r="C485" s="1"/>
      <c r="D485" s="1"/>
      <c r="E485" s="1"/>
      <c r="F485" s="1"/>
      <c r="G485" s="1"/>
      <c r="H485" s="1"/>
      <c r="I485" s="1"/>
      <c r="J485" s="1"/>
      <c r="K485" s="1"/>
      <c r="L485" s="1"/>
      <c r="M485" s="1"/>
    </row>
    <row r="486" spans="1:16" ht="13.5" thickBot="1" x14ac:dyDescent="0.25">
      <c r="A486" s="120" t="s">
        <v>57</v>
      </c>
      <c r="B486" s="26" t="s">
        <v>48</v>
      </c>
      <c r="C486" s="1"/>
      <c r="D486" s="1"/>
      <c r="E486" s="1"/>
      <c r="F486" s="1"/>
      <c r="G486" s="1"/>
      <c r="H486" s="1"/>
      <c r="I486" s="1"/>
      <c r="J486" s="1"/>
      <c r="K486" s="1"/>
      <c r="L486" s="1"/>
      <c r="M486" s="1"/>
      <c r="O486" s="31"/>
      <c r="P486" s="26" t="s">
        <v>48</v>
      </c>
    </row>
    <row r="487" spans="1:16" ht="13.5" thickBot="1" x14ac:dyDescent="0.25">
      <c r="A487" s="13" t="s">
        <v>76</v>
      </c>
      <c r="B487" s="245">
        <v>30</v>
      </c>
      <c r="C487" s="1"/>
      <c r="D487" s="1"/>
      <c r="E487" s="1"/>
      <c r="F487" s="1"/>
      <c r="G487" s="1"/>
      <c r="H487" s="1"/>
      <c r="I487" s="1"/>
      <c r="J487" s="1"/>
      <c r="K487" s="1"/>
      <c r="L487" s="1"/>
      <c r="M487" s="1"/>
      <c r="O487" s="71"/>
      <c r="P487" s="245">
        <v>60</v>
      </c>
    </row>
    <row r="488" spans="1:16" ht="13.5" thickBot="1" x14ac:dyDescent="0.25"/>
    <row r="489" spans="1:16" ht="13.5" thickBot="1" x14ac:dyDescent="0.25">
      <c r="A489" s="120" t="s">
        <v>1</v>
      </c>
      <c r="B489" s="26" t="s">
        <v>16</v>
      </c>
      <c r="O489" s="120" t="s">
        <v>1</v>
      </c>
      <c r="P489" s="26" t="s">
        <v>16</v>
      </c>
    </row>
    <row r="490" spans="1:16" x14ac:dyDescent="0.2">
      <c r="A490" s="57">
        <v>0</v>
      </c>
      <c r="B490" s="54">
        <v>110</v>
      </c>
      <c r="O490" s="57">
        <v>0</v>
      </c>
      <c r="P490" s="54">
        <v>110</v>
      </c>
    </row>
    <row r="491" spans="1:16" x14ac:dyDescent="0.2">
      <c r="A491" s="52">
        <v>10</v>
      </c>
      <c r="B491" s="55">
        <v>110</v>
      </c>
      <c r="O491" s="52">
        <v>4</v>
      </c>
      <c r="P491" s="55">
        <v>110</v>
      </c>
    </row>
    <row r="492" spans="1:16" x14ac:dyDescent="0.2">
      <c r="A492" s="52">
        <v>50</v>
      </c>
      <c r="B492" s="55">
        <v>110</v>
      </c>
      <c r="O492" s="52">
        <v>8</v>
      </c>
      <c r="P492" s="55">
        <v>110</v>
      </c>
    </row>
    <row r="493" spans="1:16" x14ac:dyDescent="0.2">
      <c r="A493" s="52">
        <v>75</v>
      </c>
      <c r="B493" s="55">
        <v>110</v>
      </c>
      <c r="O493" s="52">
        <v>9.3800000000000008</v>
      </c>
      <c r="P493" s="55">
        <v>110</v>
      </c>
    </row>
    <row r="494" spans="1:16" x14ac:dyDescent="0.2">
      <c r="A494" s="52">
        <v>88</v>
      </c>
      <c r="B494" s="55">
        <v>110</v>
      </c>
      <c r="O494" s="52">
        <v>11.81</v>
      </c>
      <c r="P494" s="55">
        <v>0</v>
      </c>
    </row>
    <row r="495" spans="1:16" x14ac:dyDescent="0.2">
      <c r="A495" s="52">
        <v>94</v>
      </c>
      <c r="B495" s="55">
        <v>110</v>
      </c>
      <c r="O495" s="52">
        <v>86.81</v>
      </c>
      <c r="P495" s="55">
        <v>0</v>
      </c>
    </row>
    <row r="496" spans="1:16" x14ac:dyDescent="0.2">
      <c r="A496" s="52">
        <v>95</v>
      </c>
      <c r="B496" s="55">
        <v>110</v>
      </c>
      <c r="O496" s="52">
        <v>93.06</v>
      </c>
      <c r="P496" s="55">
        <v>108</v>
      </c>
    </row>
    <row r="497" spans="1:16" ht="13.5" thickBot="1" x14ac:dyDescent="0.25">
      <c r="A497" s="53">
        <v>100</v>
      </c>
      <c r="B497" s="56">
        <v>110</v>
      </c>
      <c r="O497" s="53">
        <v>100</v>
      </c>
      <c r="P497" s="56">
        <v>110</v>
      </c>
    </row>
    <row r="498" spans="1:16" ht="13.5" thickBot="1" x14ac:dyDescent="0.25"/>
    <row r="499" spans="1:16" ht="13.5" thickBot="1" x14ac:dyDescent="0.25">
      <c r="A499" s="120" t="s">
        <v>17</v>
      </c>
      <c r="B499" s="26" t="s">
        <v>16</v>
      </c>
      <c r="O499" s="120" t="s">
        <v>17</v>
      </c>
      <c r="P499" s="26" t="s">
        <v>16</v>
      </c>
    </row>
    <row r="500" spans="1:16" x14ac:dyDescent="0.2">
      <c r="A500" s="39">
        <f t="shared" ref="A500:A507" si="130">A490*F$4/100</f>
        <v>0</v>
      </c>
      <c r="B500" s="40">
        <f t="shared" ref="B500:B507" si="131">B490</f>
        <v>110</v>
      </c>
      <c r="O500" s="39">
        <f t="shared" ref="O500:O507" si="132">O490*F$5/100</f>
        <v>0</v>
      </c>
      <c r="P500" s="40">
        <f t="shared" ref="P500:P507" si="133">P490</f>
        <v>110</v>
      </c>
    </row>
    <row r="501" spans="1:16" x14ac:dyDescent="0.2">
      <c r="A501" s="41">
        <f t="shared" si="130"/>
        <v>0.13300000000000001</v>
      </c>
      <c r="B501" s="42">
        <f t="shared" si="131"/>
        <v>110</v>
      </c>
      <c r="O501" s="41">
        <f t="shared" si="132"/>
        <v>6.2400000000000004E-2</v>
      </c>
      <c r="P501" s="42">
        <f t="shared" si="133"/>
        <v>110</v>
      </c>
    </row>
    <row r="502" spans="1:16" x14ac:dyDescent="0.2">
      <c r="A502" s="41">
        <f t="shared" si="130"/>
        <v>0.66500000000000004</v>
      </c>
      <c r="B502" s="42">
        <f t="shared" si="131"/>
        <v>110</v>
      </c>
      <c r="O502" s="41">
        <f t="shared" si="132"/>
        <v>0.12480000000000001</v>
      </c>
      <c r="P502" s="42">
        <f t="shared" si="133"/>
        <v>110</v>
      </c>
    </row>
    <row r="503" spans="1:16" x14ac:dyDescent="0.2">
      <c r="A503" s="41">
        <f t="shared" si="130"/>
        <v>0.99750000000000005</v>
      </c>
      <c r="B503" s="42">
        <f t="shared" si="131"/>
        <v>110</v>
      </c>
      <c r="O503" s="41">
        <f t="shared" si="132"/>
        <v>0.14632800000000001</v>
      </c>
      <c r="P503" s="42">
        <f t="shared" si="133"/>
        <v>110</v>
      </c>
    </row>
    <row r="504" spans="1:16" x14ac:dyDescent="0.2">
      <c r="A504" s="41">
        <f t="shared" si="130"/>
        <v>1.1704000000000001</v>
      </c>
      <c r="B504" s="42">
        <f t="shared" si="131"/>
        <v>110</v>
      </c>
      <c r="O504" s="41">
        <f t="shared" si="132"/>
        <v>0.18423600000000001</v>
      </c>
      <c r="P504" s="42">
        <f t="shared" si="133"/>
        <v>0</v>
      </c>
    </row>
    <row r="505" spans="1:16" x14ac:dyDescent="0.2">
      <c r="A505" s="41">
        <f t="shared" si="130"/>
        <v>1.2502000000000002</v>
      </c>
      <c r="B505" s="42">
        <f t="shared" si="131"/>
        <v>110</v>
      </c>
      <c r="O505" s="41">
        <f t="shared" si="132"/>
        <v>1.3542360000000002</v>
      </c>
      <c r="P505" s="42">
        <f t="shared" si="133"/>
        <v>0</v>
      </c>
    </row>
    <row r="506" spans="1:16" x14ac:dyDescent="0.2">
      <c r="A506" s="41">
        <f t="shared" si="130"/>
        <v>1.2635000000000001</v>
      </c>
      <c r="B506" s="42">
        <f t="shared" si="131"/>
        <v>110</v>
      </c>
      <c r="O506" s="41">
        <f t="shared" si="132"/>
        <v>1.4517360000000001</v>
      </c>
      <c r="P506" s="42">
        <f t="shared" si="133"/>
        <v>108</v>
      </c>
    </row>
    <row r="507" spans="1:16" ht="13.5" thickBot="1" x14ac:dyDescent="0.25">
      <c r="A507" s="43">
        <f t="shared" si="130"/>
        <v>1.33</v>
      </c>
      <c r="B507" s="44">
        <f t="shared" si="131"/>
        <v>110</v>
      </c>
      <c r="O507" s="43">
        <f t="shared" si="132"/>
        <v>1.56</v>
      </c>
      <c r="P507" s="44">
        <f t="shared" si="133"/>
        <v>110</v>
      </c>
    </row>
    <row r="509" spans="1:16" ht="13.5" thickBot="1" x14ac:dyDescent="0.25"/>
    <row r="510" spans="1:16" ht="13.5" thickBot="1" x14ac:dyDescent="0.25">
      <c r="A510" s="120" t="s">
        <v>57</v>
      </c>
      <c r="B510" s="26" t="s">
        <v>48</v>
      </c>
      <c r="O510" s="31"/>
      <c r="P510" s="26" t="s">
        <v>48</v>
      </c>
    </row>
    <row r="511" spans="1:16" ht="13.5" thickBot="1" x14ac:dyDescent="0.25">
      <c r="A511" s="13" t="s">
        <v>77</v>
      </c>
      <c r="B511" s="245">
        <v>30</v>
      </c>
      <c r="O511" s="71"/>
      <c r="P511" s="245">
        <v>60</v>
      </c>
    </row>
    <row r="512" spans="1:16" ht="13.5" thickBot="1" x14ac:dyDescent="0.25"/>
    <row r="513" spans="1:16" ht="13.5" thickBot="1" x14ac:dyDescent="0.25">
      <c r="A513" s="120" t="s">
        <v>1</v>
      </c>
      <c r="B513" s="26" t="s">
        <v>16</v>
      </c>
      <c r="O513" s="120" t="s">
        <v>1</v>
      </c>
      <c r="P513" s="26" t="s">
        <v>16</v>
      </c>
    </row>
    <row r="514" spans="1:16" x14ac:dyDescent="0.2">
      <c r="A514" s="57">
        <v>0</v>
      </c>
      <c r="B514" s="54">
        <v>150</v>
      </c>
      <c r="O514" s="57">
        <v>0</v>
      </c>
      <c r="P514" s="54">
        <v>150</v>
      </c>
    </row>
    <row r="515" spans="1:16" x14ac:dyDescent="0.2">
      <c r="A515" s="52">
        <v>25</v>
      </c>
      <c r="B515" s="55">
        <v>150</v>
      </c>
      <c r="O515" s="52">
        <v>5</v>
      </c>
      <c r="P515" s="55">
        <v>150</v>
      </c>
    </row>
    <row r="516" spans="1:16" x14ac:dyDescent="0.2">
      <c r="A516" s="52">
        <v>50</v>
      </c>
      <c r="B516" s="55">
        <v>150</v>
      </c>
      <c r="O516" s="52">
        <v>9.3800000000000008</v>
      </c>
      <c r="P516" s="55">
        <v>150</v>
      </c>
    </row>
    <row r="517" spans="1:16" x14ac:dyDescent="0.2">
      <c r="A517" s="52">
        <v>75</v>
      </c>
      <c r="B517" s="55">
        <v>150</v>
      </c>
      <c r="O517" s="52">
        <v>11.81</v>
      </c>
      <c r="P517" s="55">
        <v>0</v>
      </c>
    </row>
    <row r="518" spans="1:16" x14ac:dyDescent="0.2">
      <c r="A518" s="52">
        <v>88</v>
      </c>
      <c r="B518" s="55">
        <v>150</v>
      </c>
      <c r="O518" s="52">
        <v>86.81</v>
      </c>
      <c r="P518" s="55">
        <v>0</v>
      </c>
    </row>
    <row r="519" spans="1:16" x14ac:dyDescent="0.2">
      <c r="A519" s="52">
        <v>94</v>
      </c>
      <c r="B519" s="55">
        <v>150</v>
      </c>
      <c r="O519" s="52">
        <v>89.93</v>
      </c>
      <c r="P519" s="55">
        <v>150</v>
      </c>
    </row>
    <row r="520" spans="1:16" x14ac:dyDescent="0.2">
      <c r="A520" s="52">
        <v>95</v>
      </c>
      <c r="B520" s="55">
        <v>150</v>
      </c>
      <c r="O520" s="52">
        <v>93.06</v>
      </c>
      <c r="P520" s="55">
        <v>150</v>
      </c>
    </row>
    <row r="521" spans="1:16" ht="13.5" thickBot="1" x14ac:dyDescent="0.25">
      <c r="A521" s="53">
        <v>100</v>
      </c>
      <c r="B521" s="56">
        <v>150</v>
      </c>
      <c r="O521" s="53">
        <v>100</v>
      </c>
      <c r="P521" s="56">
        <v>150</v>
      </c>
    </row>
    <row r="522" spans="1:16" ht="13.5" thickBot="1" x14ac:dyDescent="0.25"/>
    <row r="523" spans="1:16" ht="13.5" thickBot="1" x14ac:dyDescent="0.25">
      <c r="A523" s="120" t="s">
        <v>17</v>
      </c>
      <c r="B523" s="26" t="s">
        <v>16</v>
      </c>
      <c r="O523" s="120" t="s">
        <v>17</v>
      </c>
      <c r="P523" s="26" t="s">
        <v>16</v>
      </c>
    </row>
    <row r="524" spans="1:16" x14ac:dyDescent="0.2">
      <c r="A524" s="39">
        <f t="shared" ref="A524:A531" si="134">A514*F$4/100</f>
        <v>0</v>
      </c>
      <c r="B524" s="40">
        <f t="shared" ref="B524:B531" si="135">B514</f>
        <v>150</v>
      </c>
      <c r="O524" s="39">
        <f t="shared" ref="O524:O531" si="136">O514*F$5/100</f>
        <v>0</v>
      </c>
      <c r="P524" s="40">
        <f t="shared" ref="P524:P531" si="137">P514</f>
        <v>150</v>
      </c>
    </row>
    <row r="525" spans="1:16" x14ac:dyDescent="0.2">
      <c r="A525" s="41">
        <f t="shared" si="134"/>
        <v>0.33250000000000002</v>
      </c>
      <c r="B525" s="42">
        <f t="shared" si="135"/>
        <v>150</v>
      </c>
      <c r="O525" s="41">
        <f t="shared" si="136"/>
        <v>7.8000000000000014E-2</v>
      </c>
      <c r="P525" s="42">
        <f t="shared" si="137"/>
        <v>150</v>
      </c>
    </row>
    <row r="526" spans="1:16" x14ac:dyDescent="0.2">
      <c r="A526" s="41">
        <f t="shared" si="134"/>
        <v>0.66500000000000004</v>
      </c>
      <c r="B526" s="42">
        <f t="shared" si="135"/>
        <v>150</v>
      </c>
      <c r="O526" s="41">
        <f t="shared" si="136"/>
        <v>0.14632800000000001</v>
      </c>
      <c r="P526" s="42">
        <f t="shared" si="137"/>
        <v>150</v>
      </c>
    </row>
    <row r="527" spans="1:16" x14ac:dyDescent="0.2">
      <c r="A527" s="41">
        <f t="shared" si="134"/>
        <v>0.99750000000000005</v>
      </c>
      <c r="B527" s="42">
        <f t="shared" si="135"/>
        <v>150</v>
      </c>
      <c r="O527" s="41">
        <f t="shared" si="136"/>
        <v>0.18423600000000001</v>
      </c>
      <c r="P527" s="42">
        <f t="shared" si="137"/>
        <v>0</v>
      </c>
    </row>
    <row r="528" spans="1:16" x14ac:dyDescent="0.2">
      <c r="A528" s="41">
        <f t="shared" si="134"/>
        <v>1.1704000000000001</v>
      </c>
      <c r="B528" s="42">
        <f t="shared" si="135"/>
        <v>150</v>
      </c>
      <c r="O528" s="41">
        <f t="shared" si="136"/>
        <v>1.3542360000000002</v>
      </c>
      <c r="P528" s="42">
        <f t="shared" si="137"/>
        <v>0</v>
      </c>
    </row>
    <row r="529" spans="1:16" x14ac:dyDescent="0.2">
      <c r="A529" s="41">
        <f t="shared" si="134"/>
        <v>1.2502000000000002</v>
      </c>
      <c r="B529" s="42">
        <f t="shared" si="135"/>
        <v>150</v>
      </c>
      <c r="O529" s="41">
        <f t="shared" si="136"/>
        <v>1.4029080000000003</v>
      </c>
      <c r="P529" s="42">
        <f t="shared" si="137"/>
        <v>150</v>
      </c>
    </row>
    <row r="530" spans="1:16" x14ac:dyDescent="0.2">
      <c r="A530" s="41">
        <f t="shared" si="134"/>
        <v>1.2635000000000001</v>
      </c>
      <c r="B530" s="42">
        <f t="shared" si="135"/>
        <v>150</v>
      </c>
      <c r="O530" s="41">
        <f t="shared" si="136"/>
        <v>1.4517360000000001</v>
      </c>
      <c r="P530" s="42">
        <f t="shared" si="137"/>
        <v>150</v>
      </c>
    </row>
    <row r="531" spans="1:16" ht="13.5" thickBot="1" x14ac:dyDescent="0.25">
      <c r="A531" s="43">
        <f t="shared" si="134"/>
        <v>1.33</v>
      </c>
      <c r="B531" s="44">
        <f t="shared" si="135"/>
        <v>150</v>
      </c>
      <c r="O531" s="43">
        <f t="shared" si="136"/>
        <v>1.56</v>
      </c>
      <c r="P531" s="44">
        <f t="shared" si="137"/>
        <v>150</v>
      </c>
    </row>
    <row r="533" spans="1:16" ht="13.5" thickBot="1" x14ac:dyDescent="0.25"/>
    <row r="534" spans="1:16" ht="13.5" thickBot="1" x14ac:dyDescent="0.25">
      <c r="A534" s="120" t="s">
        <v>57</v>
      </c>
      <c r="B534" s="26" t="s">
        <v>48</v>
      </c>
      <c r="O534" s="31"/>
      <c r="P534" s="26" t="s">
        <v>48</v>
      </c>
    </row>
    <row r="535" spans="1:16" ht="13.5" thickBot="1" x14ac:dyDescent="0.25">
      <c r="A535" s="13" t="s">
        <v>78</v>
      </c>
      <c r="B535" s="245">
        <v>60</v>
      </c>
      <c r="O535" s="71"/>
      <c r="P535" s="245">
        <v>60</v>
      </c>
    </row>
    <row r="536" spans="1:16" ht="13.5" thickBot="1" x14ac:dyDescent="0.25"/>
    <row r="537" spans="1:16" ht="13.5" thickBot="1" x14ac:dyDescent="0.25">
      <c r="A537" s="120" t="s">
        <v>1</v>
      </c>
      <c r="B537" s="26" t="s">
        <v>16</v>
      </c>
      <c r="O537" s="120" t="s">
        <v>1</v>
      </c>
      <c r="P537" s="26" t="s">
        <v>16</v>
      </c>
    </row>
    <row r="538" spans="1:16" x14ac:dyDescent="0.2">
      <c r="A538" s="57">
        <v>0</v>
      </c>
      <c r="B538" s="54">
        <v>25</v>
      </c>
      <c r="O538" s="57">
        <v>0</v>
      </c>
      <c r="P538" s="54">
        <v>25</v>
      </c>
    </row>
    <row r="539" spans="1:16" x14ac:dyDescent="0.2">
      <c r="A539" s="52">
        <v>10</v>
      </c>
      <c r="B539" s="55">
        <v>25</v>
      </c>
      <c r="O539" s="52">
        <v>5</v>
      </c>
      <c r="P539" s="55">
        <v>25</v>
      </c>
    </row>
    <row r="540" spans="1:16" x14ac:dyDescent="0.2">
      <c r="A540" s="52">
        <v>50</v>
      </c>
      <c r="B540" s="55">
        <v>25</v>
      </c>
      <c r="O540" s="52">
        <v>9.3800000000000008</v>
      </c>
      <c r="P540" s="55">
        <v>25</v>
      </c>
    </row>
    <row r="541" spans="1:16" x14ac:dyDescent="0.2">
      <c r="A541" s="52">
        <v>75</v>
      </c>
      <c r="B541" s="55">
        <v>25</v>
      </c>
      <c r="O541" s="52">
        <v>11.81</v>
      </c>
      <c r="P541" s="55">
        <v>0</v>
      </c>
    </row>
    <row r="542" spans="1:16" x14ac:dyDescent="0.2">
      <c r="A542" s="52">
        <v>88</v>
      </c>
      <c r="B542" s="55">
        <v>25</v>
      </c>
      <c r="O542" s="52">
        <v>61.81</v>
      </c>
      <c r="P542" s="55">
        <v>0</v>
      </c>
    </row>
    <row r="543" spans="1:16" x14ac:dyDescent="0.2">
      <c r="A543" s="52">
        <v>94</v>
      </c>
      <c r="B543" s="55">
        <v>25</v>
      </c>
      <c r="O543" s="52">
        <v>74.31</v>
      </c>
      <c r="P543" s="55">
        <v>25</v>
      </c>
    </row>
    <row r="544" spans="1:16" x14ac:dyDescent="0.2">
      <c r="A544" s="52">
        <v>95</v>
      </c>
      <c r="B544" s="55">
        <v>25</v>
      </c>
      <c r="O544" s="52">
        <v>89.93</v>
      </c>
      <c r="P544" s="55">
        <v>25</v>
      </c>
    </row>
    <row r="545" spans="1:16" ht="13.5" thickBot="1" x14ac:dyDescent="0.25">
      <c r="A545" s="53">
        <v>100</v>
      </c>
      <c r="B545" s="56">
        <v>25</v>
      </c>
      <c r="O545" s="53">
        <v>100</v>
      </c>
      <c r="P545" s="56">
        <v>25</v>
      </c>
    </row>
    <row r="546" spans="1:16" ht="13.5" thickBot="1" x14ac:dyDescent="0.25"/>
    <row r="547" spans="1:16" ht="13.5" thickBot="1" x14ac:dyDescent="0.25">
      <c r="A547" s="120" t="s">
        <v>17</v>
      </c>
      <c r="B547" s="26" t="s">
        <v>16</v>
      </c>
      <c r="O547" s="120" t="s">
        <v>17</v>
      </c>
      <c r="P547" s="26" t="s">
        <v>16</v>
      </c>
    </row>
    <row r="548" spans="1:16" x14ac:dyDescent="0.2">
      <c r="A548" s="39">
        <f t="shared" ref="A548:A555" si="138">A538*F$4/100</f>
        <v>0</v>
      </c>
      <c r="B548" s="40">
        <f t="shared" ref="B548:B555" si="139">B538</f>
        <v>25</v>
      </c>
      <c r="O548" s="39">
        <f t="shared" ref="O548:O555" si="140">O538*F$5/100</f>
        <v>0</v>
      </c>
      <c r="P548" s="40">
        <f t="shared" ref="P548:P555" si="141">P538</f>
        <v>25</v>
      </c>
    </row>
    <row r="549" spans="1:16" x14ac:dyDescent="0.2">
      <c r="A549" s="41">
        <f t="shared" si="138"/>
        <v>0.13300000000000001</v>
      </c>
      <c r="B549" s="42">
        <f t="shared" si="139"/>
        <v>25</v>
      </c>
      <c r="O549" s="41">
        <f t="shared" si="140"/>
        <v>7.8000000000000014E-2</v>
      </c>
      <c r="P549" s="42">
        <f t="shared" si="141"/>
        <v>25</v>
      </c>
    </row>
    <row r="550" spans="1:16" x14ac:dyDescent="0.2">
      <c r="A550" s="41">
        <f t="shared" si="138"/>
        <v>0.66500000000000004</v>
      </c>
      <c r="B550" s="42">
        <f t="shared" si="139"/>
        <v>25</v>
      </c>
      <c r="O550" s="41">
        <f t="shared" si="140"/>
        <v>0.14632800000000001</v>
      </c>
      <c r="P550" s="42">
        <f t="shared" si="141"/>
        <v>25</v>
      </c>
    </row>
    <row r="551" spans="1:16" x14ac:dyDescent="0.2">
      <c r="A551" s="41">
        <f t="shared" si="138"/>
        <v>0.99750000000000005</v>
      </c>
      <c r="B551" s="42">
        <f t="shared" si="139"/>
        <v>25</v>
      </c>
      <c r="O551" s="41">
        <f t="shared" si="140"/>
        <v>0.18423600000000001</v>
      </c>
      <c r="P551" s="42">
        <f t="shared" si="141"/>
        <v>0</v>
      </c>
    </row>
    <row r="552" spans="1:16" x14ac:dyDescent="0.2">
      <c r="A552" s="41">
        <f t="shared" si="138"/>
        <v>1.1704000000000001</v>
      </c>
      <c r="B552" s="42">
        <f t="shared" si="139"/>
        <v>25</v>
      </c>
      <c r="O552" s="41">
        <f t="shared" si="140"/>
        <v>0.96423600000000009</v>
      </c>
      <c r="P552" s="42">
        <f t="shared" si="141"/>
        <v>0</v>
      </c>
    </row>
    <row r="553" spans="1:16" x14ac:dyDescent="0.2">
      <c r="A553" s="41">
        <f t="shared" si="138"/>
        <v>1.2502000000000002</v>
      </c>
      <c r="B553" s="42">
        <f t="shared" si="139"/>
        <v>25</v>
      </c>
      <c r="O553" s="41">
        <f t="shared" si="140"/>
        <v>1.1592360000000002</v>
      </c>
      <c r="P553" s="42">
        <f t="shared" si="141"/>
        <v>25</v>
      </c>
    </row>
    <row r="554" spans="1:16" x14ac:dyDescent="0.2">
      <c r="A554" s="41">
        <f t="shared" si="138"/>
        <v>1.2635000000000001</v>
      </c>
      <c r="B554" s="42">
        <f t="shared" si="139"/>
        <v>25</v>
      </c>
      <c r="O554" s="41">
        <f t="shared" si="140"/>
        <v>1.4029080000000003</v>
      </c>
      <c r="P554" s="42">
        <f t="shared" si="141"/>
        <v>25</v>
      </c>
    </row>
    <row r="555" spans="1:16" ht="13.5" thickBot="1" x14ac:dyDescent="0.25">
      <c r="A555" s="43">
        <f t="shared" si="138"/>
        <v>1.33</v>
      </c>
      <c r="B555" s="44">
        <f t="shared" si="139"/>
        <v>25</v>
      </c>
      <c r="O555" s="43">
        <f t="shared" si="140"/>
        <v>1.56</v>
      </c>
      <c r="P555" s="44">
        <f t="shared" si="141"/>
        <v>25</v>
      </c>
    </row>
    <row r="557" spans="1:16" ht="13.5" thickBot="1" x14ac:dyDescent="0.25"/>
    <row r="558" spans="1:16" ht="13.5" thickBot="1" x14ac:dyDescent="0.25">
      <c r="A558" s="120" t="s">
        <v>57</v>
      </c>
      <c r="B558" s="26" t="s">
        <v>48</v>
      </c>
      <c r="O558" s="31"/>
      <c r="P558" s="26" t="s">
        <v>48</v>
      </c>
    </row>
    <row r="559" spans="1:16" ht="13.5" thickBot="1" x14ac:dyDescent="0.25">
      <c r="A559" s="13" t="s">
        <v>79</v>
      </c>
      <c r="B559" s="245">
        <v>60</v>
      </c>
      <c r="O559" s="71"/>
      <c r="P559" s="245">
        <v>30</v>
      </c>
    </row>
    <row r="560" spans="1:16" ht="13.5" thickBot="1" x14ac:dyDescent="0.25"/>
    <row r="561" spans="1:16" ht="13.5" thickBot="1" x14ac:dyDescent="0.25">
      <c r="A561" s="120" t="s">
        <v>1</v>
      </c>
      <c r="B561" s="26" t="s">
        <v>16</v>
      </c>
      <c r="O561" s="120" t="s">
        <v>1</v>
      </c>
      <c r="P561" s="26" t="s">
        <v>16</v>
      </c>
    </row>
    <row r="562" spans="1:16" x14ac:dyDescent="0.2">
      <c r="A562" s="57">
        <v>0</v>
      </c>
      <c r="B562" s="54">
        <v>0</v>
      </c>
      <c r="O562" s="57">
        <v>0</v>
      </c>
      <c r="P562" s="54">
        <v>0</v>
      </c>
    </row>
    <row r="563" spans="1:16" x14ac:dyDescent="0.2">
      <c r="A563" s="52">
        <v>10</v>
      </c>
      <c r="B563" s="55">
        <v>0</v>
      </c>
      <c r="O563" s="52">
        <v>5</v>
      </c>
      <c r="P563" s="55">
        <v>0</v>
      </c>
    </row>
    <row r="564" spans="1:16" x14ac:dyDescent="0.2">
      <c r="A564" s="52">
        <v>50</v>
      </c>
      <c r="B564" s="55">
        <v>0</v>
      </c>
      <c r="O564" s="52">
        <v>9.3800000000000008</v>
      </c>
      <c r="P564" s="55">
        <v>0</v>
      </c>
    </row>
    <row r="565" spans="1:16" x14ac:dyDescent="0.2">
      <c r="A565" s="52">
        <v>75</v>
      </c>
      <c r="B565" s="55">
        <v>0</v>
      </c>
      <c r="O565" s="52">
        <v>11.81</v>
      </c>
      <c r="P565" s="55">
        <v>70</v>
      </c>
    </row>
    <row r="566" spans="1:16" x14ac:dyDescent="0.2">
      <c r="A566" s="52">
        <v>88</v>
      </c>
      <c r="B566" s="55">
        <v>0</v>
      </c>
      <c r="O566" s="52">
        <v>68.06</v>
      </c>
      <c r="P566" s="55">
        <v>70</v>
      </c>
    </row>
    <row r="567" spans="1:16" x14ac:dyDescent="0.2">
      <c r="A567" s="52">
        <v>94</v>
      </c>
      <c r="B567" s="55">
        <v>0</v>
      </c>
      <c r="O567" s="52">
        <v>80.56</v>
      </c>
      <c r="P567" s="55">
        <v>0</v>
      </c>
    </row>
    <row r="568" spans="1:16" x14ac:dyDescent="0.2">
      <c r="A568" s="52">
        <v>95</v>
      </c>
      <c r="B568" s="55">
        <v>0</v>
      </c>
      <c r="O568" s="52">
        <v>95</v>
      </c>
      <c r="P568" s="55">
        <v>0</v>
      </c>
    </row>
    <row r="569" spans="1:16" ht="13.5" thickBot="1" x14ac:dyDescent="0.25">
      <c r="A569" s="53">
        <v>100</v>
      </c>
      <c r="B569" s="56">
        <v>0</v>
      </c>
      <c r="O569" s="53">
        <v>100</v>
      </c>
      <c r="P569" s="56">
        <v>0</v>
      </c>
    </row>
    <row r="570" spans="1:16" ht="13.5" thickBot="1" x14ac:dyDescent="0.25"/>
    <row r="571" spans="1:16" ht="13.5" thickBot="1" x14ac:dyDescent="0.25">
      <c r="A571" s="120" t="s">
        <v>17</v>
      </c>
      <c r="B571" s="26" t="s">
        <v>16</v>
      </c>
      <c r="O571" s="120" t="s">
        <v>17</v>
      </c>
      <c r="P571" s="26" t="s">
        <v>16</v>
      </c>
    </row>
    <row r="572" spans="1:16" x14ac:dyDescent="0.2">
      <c r="A572" s="39">
        <f t="shared" ref="A572:A579" si="142">A562*F$4/100</f>
        <v>0</v>
      </c>
      <c r="B572" s="40">
        <f t="shared" ref="B572:B579" si="143">B562</f>
        <v>0</v>
      </c>
      <c r="O572" s="39">
        <f t="shared" ref="O572:O579" si="144">O562*F$5/100</f>
        <v>0</v>
      </c>
      <c r="P572" s="40">
        <f t="shared" ref="P572:P579" si="145">P562</f>
        <v>0</v>
      </c>
    </row>
    <row r="573" spans="1:16" x14ac:dyDescent="0.2">
      <c r="A573" s="41">
        <f t="shared" si="142"/>
        <v>0.13300000000000001</v>
      </c>
      <c r="B573" s="42">
        <f t="shared" si="143"/>
        <v>0</v>
      </c>
      <c r="O573" s="41">
        <f t="shared" si="144"/>
        <v>7.8000000000000014E-2</v>
      </c>
      <c r="P573" s="42">
        <f t="shared" si="145"/>
        <v>0</v>
      </c>
    </row>
    <row r="574" spans="1:16" x14ac:dyDescent="0.2">
      <c r="A574" s="41">
        <f t="shared" si="142"/>
        <v>0.66500000000000004</v>
      </c>
      <c r="B574" s="42">
        <f t="shared" si="143"/>
        <v>0</v>
      </c>
      <c r="O574" s="41">
        <f t="shared" si="144"/>
        <v>0.14632800000000001</v>
      </c>
      <c r="P574" s="42">
        <f t="shared" si="145"/>
        <v>0</v>
      </c>
    </row>
    <row r="575" spans="1:16" x14ac:dyDescent="0.2">
      <c r="A575" s="41">
        <f t="shared" si="142"/>
        <v>0.99750000000000005</v>
      </c>
      <c r="B575" s="42">
        <f t="shared" si="143"/>
        <v>0</v>
      </c>
      <c r="O575" s="41">
        <f t="shared" si="144"/>
        <v>0.18423600000000001</v>
      </c>
      <c r="P575" s="42">
        <f t="shared" si="145"/>
        <v>70</v>
      </c>
    </row>
    <row r="576" spans="1:16" x14ac:dyDescent="0.2">
      <c r="A576" s="41">
        <f t="shared" si="142"/>
        <v>1.1704000000000001</v>
      </c>
      <c r="B576" s="42">
        <f t="shared" si="143"/>
        <v>0</v>
      </c>
      <c r="O576" s="41">
        <f t="shared" si="144"/>
        <v>1.061736</v>
      </c>
      <c r="P576" s="42">
        <f t="shared" si="145"/>
        <v>70</v>
      </c>
    </row>
    <row r="577" spans="1:16" x14ac:dyDescent="0.2">
      <c r="A577" s="41">
        <f t="shared" si="142"/>
        <v>1.2502000000000002</v>
      </c>
      <c r="B577" s="42">
        <f t="shared" si="143"/>
        <v>0</v>
      </c>
      <c r="O577" s="41">
        <f t="shared" si="144"/>
        <v>1.2567360000000001</v>
      </c>
      <c r="P577" s="42">
        <f t="shared" si="145"/>
        <v>0</v>
      </c>
    </row>
    <row r="578" spans="1:16" x14ac:dyDescent="0.2">
      <c r="A578" s="41">
        <f t="shared" si="142"/>
        <v>1.2635000000000001</v>
      </c>
      <c r="B578" s="42">
        <f t="shared" si="143"/>
        <v>0</v>
      </c>
      <c r="O578" s="41">
        <f t="shared" si="144"/>
        <v>1.4820000000000002</v>
      </c>
      <c r="P578" s="42">
        <f t="shared" si="145"/>
        <v>0</v>
      </c>
    </row>
    <row r="579" spans="1:16" ht="13.5" thickBot="1" x14ac:dyDescent="0.25">
      <c r="A579" s="43">
        <f t="shared" si="142"/>
        <v>1.33</v>
      </c>
      <c r="B579" s="44">
        <f t="shared" si="143"/>
        <v>0</v>
      </c>
      <c r="O579" s="43">
        <f t="shared" si="144"/>
        <v>1.56</v>
      </c>
      <c r="P579" s="44">
        <f t="shared" si="145"/>
        <v>0</v>
      </c>
    </row>
    <row r="581" spans="1:16" ht="13.5" thickBot="1" x14ac:dyDescent="0.25"/>
    <row r="582" spans="1:16" ht="13.5" thickBot="1" x14ac:dyDescent="0.25">
      <c r="A582" s="120" t="s">
        <v>57</v>
      </c>
      <c r="B582" s="26" t="s">
        <v>48</v>
      </c>
      <c r="O582" s="31"/>
      <c r="P582" s="26" t="s">
        <v>48</v>
      </c>
    </row>
    <row r="583" spans="1:16" ht="13.5" thickBot="1" x14ac:dyDescent="0.25">
      <c r="A583" s="13" t="s">
        <v>80</v>
      </c>
      <c r="B583" s="245">
        <v>60</v>
      </c>
      <c r="O583" s="71"/>
      <c r="P583" s="245">
        <v>30</v>
      </c>
    </row>
    <row r="584" spans="1:16" ht="13.5" thickBot="1" x14ac:dyDescent="0.25"/>
    <row r="585" spans="1:16" ht="13.5" thickBot="1" x14ac:dyDescent="0.25">
      <c r="A585" s="120" t="s">
        <v>1</v>
      </c>
      <c r="B585" s="26" t="s">
        <v>16</v>
      </c>
      <c r="O585" s="120" t="s">
        <v>1</v>
      </c>
      <c r="P585" s="26" t="s">
        <v>16</v>
      </c>
    </row>
    <row r="586" spans="1:16" x14ac:dyDescent="0.2">
      <c r="A586" s="57">
        <v>0</v>
      </c>
      <c r="B586" s="54">
        <v>0</v>
      </c>
      <c r="O586" s="57">
        <v>0</v>
      </c>
      <c r="P586" s="54">
        <v>0</v>
      </c>
    </row>
    <row r="587" spans="1:16" x14ac:dyDescent="0.2">
      <c r="A587" s="52">
        <v>10</v>
      </c>
      <c r="B587" s="55">
        <v>0</v>
      </c>
      <c r="O587" s="52">
        <v>5</v>
      </c>
      <c r="P587" s="55">
        <v>0</v>
      </c>
    </row>
    <row r="588" spans="1:16" x14ac:dyDescent="0.2">
      <c r="A588" s="52">
        <v>50</v>
      </c>
      <c r="B588" s="55">
        <v>0</v>
      </c>
      <c r="O588" s="52">
        <v>9.3800000000000008</v>
      </c>
      <c r="P588" s="55">
        <v>0</v>
      </c>
    </row>
    <row r="589" spans="1:16" x14ac:dyDescent="0.2">
      <c r="A589" s="52">
        <v>75</v>
      </c>
      <c r="B589" s="55">
        <v>0</v>
      </c>
      <c r="O589" s="52">
        <v>11.81</v>
      </c>
      <c r="P589" s="55">
        <v>70</v>
      </c>
    </row>
    <row r="590" spans="1:16" x14ac:dyDescent="0.2">
      <c r="A590" s="52">
        <v>88</v>
      </c>
      <c r="B590" s="55">
        <v>0</v>
      </c>
      <c r="O590" s="52">
        <v>68.06</v>
      </c>
      <c r="P590" s="55">
        <v>70</v>
      </c>
    </row>
    <row r="591" spans="1:16" x14ac:dyDescent="0.2">
      <c r="A591" s="52">
        <v>94</v>
      </c>
      <c r="B591" s="55">
        <v>0</v>
      </c>
      <c r="O591" s="52">
        <v>80.56</v>
      </c>
      <c r="P591" s="55">
        <v>0</v>
      </c>
    </row>
    <row r="592" spans="1:16" x14ac:dyDescent="0.2">
      <c r="A592" s="52">
        <v>95</v>
      </c>
      <c r="B592" s="55">
        <v>0</v>
      </c>
      <c r="O592" s="52">
        <v>95</v>
      </c>
      <c r="P592" s="55">
        <v>0</v>
      </c>
    </row>
    <row r="593" spans="1:16" ht="13.5" thickBot="1" x14ac:dyDescent="0.25">
      <c r="A593" s="53">
        <v>100</v>
      </c>
      <c r="B593" s="56">
        <v>0</v>
      </c>
      <c r="O593" s="53">
        <v>100</v>
      </c>
      <c r="P593" s="56">
        <v>0</v>
      </c>
    </row>
    <row r="594" spans="1:16" ht="13.5" thickBot="1" x14ac:dyDescent="0.25"/>
    <row r="595" spans="1:16" ht="13.5" thickBot="1" x14ac:dyDescent="0.25">
      <c r="A595" s="120" t="s">
        <v>17</v>
      </c>
      <c r="B595" s="26" t="s">
        <v>16</v>
      </c>
      <c r="O595" s="120" t="s">
        <v>17</v>
      </c>
      <c r="P595" s="26" t="s">
        <v>16</v>
      </c>
    </row>
    <row r="596" spans="1:16" x14ac:dyDescent="0.2">
      <c r="A596" s="39">
        <f t="shared" ref="A596:A603" si="146">A586*F$4/100</f>
        <v>0</v>
      </c>
      <c r="B596" s="40">
        <f t="shared" ref="B596:B603" si="147">B586</f>
        <v>0</v>
      </c>
      <c r="O596" s="39">
        <f t="shared" ref="O596:O603" si="148">O586*F$5/100</f>
        <v>0</v>
      </c>
      <c r="P596" s="40">
        <f t="shared" ref="P596:P603" si="149">P586</f>
        <v>0</v>
      </c>
    </row>
    <row r="597" spans="1:16" x14ac:dyDescent="0.2">
      <c r="A597" s="41">
        <f t="shared" si="146"/>
        <v>0.13300000000000001</v>
      </c>
      <c r="B597" s="42">
        <f t="shared" si="147"/>
        <v>0</v>
      </c>
      <c r="O597" s="41">
        <f t="shared" si="148"/>
        <v>7.8000000000000014E-2</v>
      </c>
      <c r="P597" s="42">
        <f t="shared" si="149"/>
        <v>0</v>
      </c>
    </row>
    <row r="598" spans="1:16" x14ac:dyDescent="0.2">
      <c r="A598" s="41">
        <f t="shared" si="146"/>
        <v>0.66500000000000004</v>
      </c>
      <c r="B598" s="42">
        <f t="shared" si="147"/>
        <v>0</v>
      </c>
      <c r="O598" s="41">
        <f t="shared" si="148"/>
        <v>0.14632800000000001</v>
      </c>
      <c r="P598" s="42">
        <f t="shared" si="149"/>
        <v>0</v>
      </c>
    </row>
    <row r="599" spans="1:16" x14ac:dyDescent="0.2">
      <c r="A599" s="41">
        <f t="shared" si="146"/>
        <v>0.99750000000000005</v>
      </c>
      <c r="B599" s="42">
        <f t="shared" si="147"/>
        <v>0</v>
      </c>
      <c r="O599" s="41">
        <f t="shared" si="148"/>
        <v>0.18423600000000001</v>
      </c>
      <c r="P599" s="42">
        <f t="shared" si="149"/>
        <v>70</v>
      </c>
    </row>
    <row r="600" spans="1:16" x14ac:dyDescent="0.2">
      <c r="A600" s="41">
        <f t="shared" si="146"/>
        <v>1.1704000000000001</v>
      </c>
      <c r="B600" s="42">
        <f t="shared" si="147"/>
        <v>0</v>
      </c>
      <c r="O600" s="41">
        <f t="shared" si="148"/>
        <v>1.061736</v>
      </c>
      <c r="P600" s="42">
        <f t="shared" si="149"/>
        <v>70</v>
      </c>
    </row>
    <row r="601" spans="1:16" x14ac:dyDescent="0.2">
      <c r="A601" s="41">
        <f t="shared" si="146"/>
        <v>1.2502000000000002</v>
      </c>
      <c r="B601" s="42">
        <f t="shared" si="147"/>
        <v>0</v>
      </c>
      <c r="O601" s="41">
        <f t="shared" si="148"/>
        <v>1.2567360000000001</v>
      </c>
      <c r="P601" s="42">
        <f t="shared" si="149"/>
        <v>0</v>
      </c>
    </row>
    <row r="602" spans="1:16" x14ac:dyDescent="0.2">
      <c r="A602" s="41">
        <f t="shared" si="146"/>
        <v>1.2635000000000001</v>
      </c>
      <c r="B602" s="42">
        <f t="shared" si="147"/>
        <v>0</v>
      </c>
      <c r="O602" s="41">
        <f t="shared" si="148"/>
        <v>1.4820000000000002</v>
      </c>
      <c r="P602" s="42">
        <f t="shared" si="149"/>
        <v>0</v>
      </c>
    </row>
    <row r="603" spans="1:16" ht="13.5" thickBot="1" x14ac:dyDescent="0.25">
      <c r="A603" s="43">
        <f t="shared" si="146"/>
        <v>1.33</v>
      </c>
      <c r="B603" s="44">
        <f t="shared" si="147"/>
        <v>0</v>
      </c>
      <c r="O603" s="43">
        <f t="shared" si="148"/>
        <v>1.56</v>
      </c>
      <c r="P603" s="44">
        <f t="shared" si="149"/>
        <v>0</v>
      </c>
    </row>
    <row r="605" spans="1:16" ht="13.5" thickBot="1" x14ac:dyDescent="0.25"/>
    <row r="606" spans="1:16" ht="13.5" thickBot="1" x14ac:dyDescent="0.25">
      <c r="A606" s="120" t="s">
        <v>57</v>
      </c>
      <c r="B606" s="26" t="s">
        <v>48</v>
      </c>
      <c r="O606" s="31"/>
      <c r="P606" s="26" t="s">
        <v>48</v>
      </c>
    </row>
    <row r="607" spans="1:16" ht="13.5" thickBot="1" x14ac:dyDescent="0.25">
      <c r="A607" s="13" t="s">
        <v>81</v>
      </c>
      <c r="B607" s="245">
        <v>60</v>
      </c>
      <c r="O607" s="71"/>
      <c r="P607" s="245">
        <v>30</v>
      </c>
    </row>
    <row r="608" spans="1:16" ht="13.5" thickBot="1" x14ac:dyDescent="0.25"/>
    <row r="609" spans="1:16" ht="13.5" thickBot="1" x14ac:dyDescent="0.25">
      <c r="A609" s="120" t="s">
        <v>1</v>
      </c>
      <c r="B609" s="26" t="s">
        <v>16</v>
      </c>
      <c r="O609" s="120" t="s">
        <v>1</v>
      </c>
      <c r="P609" s="26" t="s">
        <v>16</v>
      </c>
    </row>
    <row r="610" spans="1:16" x14ac:dyDescent="0.2">
      <c r="A610" s="57">
        <v>0</v>
      </c>
      <c r="B610" s="54">
        <v>0</v>
      </c>
      <c r="O610" s="57">
        <v>0</v>
      </c>
      <c r="P610" s="54">
        <v>0</v>
      </c>
    </row>
    <row r="611" spans="1:16" x14ac:dyDescent="0.2">
      <c r="A611" s="52">
        <v>10</v>
      </c>
      <c r="B611" s="55">
        <v>0</v>
      </c>
      <c r="O611" s="52">
        <v>5</v>
      </c>
      <c r="P611" s="55">
        <v>0</v>
      </c>
    </row>
    <row r="612" spans="1:16" x14ac:dyDescent="0.2">
      <c r="A612" s="52">
        <v>50</v>
      </c>
      <c r="B612" s="55">
        <v>0</v>
      </c>
      <c r="O612" s="52">
        <v>9.3800000000000008</v>
      </c>
      <c r="P612" s="55">
        <v>0</v>
      </c>
    </row>
    <row r="613" spans="1:16" x14ac:dyDescent="0.2">
      <c r="A613" s="52">
        <v>75</v>
      </c>
      <c r="B613" s="55">
        <v>0</v>
      </c>
      <c r="O613" s="52">
        <v>11.81</v>
      </c>
      <c r="P613" s="55">
        <v>150</v>
      </c>
    </row>
    <row r="614" spans="1:16" x14ac:dyDescent="0.2">
      <c r="A614" s="52">
        <v>88</v>
      </c>
      <c r="B614" s="55">
        <v>0</v>
      </c>
      <c r="O614" s="52">
        <v>68.06</v>
      </c>
      <c r="P614" s="55">
        <v>150</v>
      </c>
    </row>
    <row r="615" spans="1:16" x14ac:dyDescent="0.2">
      <c r="A615" s="52">
        <v>94</v>
      </c>
      <c r="B615" s="55">
        <v>0</v>
      </c>
      <c r="O615" s="52">
        <v>77.430000000000007</v>
      </c>
      <c r="P615" s="55">
        <v>70</v>
      </c>
    </row>
    <row r="616" spans="1:16" x14ac:dyDescent="0.2">
      <c r="A616" s="52">
        <v>95</v>
      </c>
      <c r="B616" s="55">
        <v>0</v>
      </c>
      <c r="O616" s="52">
        <v>93.06</v>
      </c>
      <c r="P616" s="55">
        <v>0</v>
      </c>
    </row>
    <row r="617" spans="1:16" ht="13.5" thickBot="1" x14ac:dyDescent="0.25">
      <c r="A617" s="53">
        <v>100</v>
      </c>
      <c r="B617" s="56">
        <v>0</v>
      </c>
      <c r="O617" s="53">
        <v>100</v>
      </c>
      <c r="P617" s="56">
        <v>0</v>
      </c>
    </row>
    <row r="618" spans="1:16" ht="13.5" thickBot="1" x14ac:dyDescent="0.25"/>
    <row r="619" spans="1:16" ht="13.5" thickBot="1" x14ac:dyDescent="0.25">
      <c r="A619" s="120" t="s">
        <v>17</v>
      </c>
      <c r="B619" s="26" t="s">
        <v>16</v>
      </c>
      <c r="O619" s="120" t="s">
        <v>17</v>
      </c>
      <c r="P619" s="26" t="s">
        <v>16</v>
      </c>
    </row>
    <row r="620" spans="1:16" x14ac:dyDescent="0.2">
      <c r="A620" s="39">
        <f t="shared" ref="A620:A627" si="150">A610*F$4/100</f>
        <v>0</v>
      </c>
      <c r="B620" s="40">
        <f t="shared" ref="B620:B627" si="151">B610</f>
        <v>0</v>
      </c>
      <c r="O620" s="39">
        <f t="shared" ref="O620:O627" si="152">O610*F$5/100</f>
        <v>0</v>
      </c>
      <c r="P620" s="40">
        <f t="shared" ref="P620:P627" si="153">P610</f>
        <v>0</v>
      </c>
    </row>
    <row r="621" spans="1:16" x14ac:dyDescent="0.2">
      <c r="A621" s="41">
        <f t="shared" si="150"/>
        <v>0.13300000000000001</v>
      </c>
      <c r="B621" s="42">
        <f t="shared" si="151"/>
        <v>0</v>
      </c>
      <c r="O621" s="41">
        <f t="shared" si="152"/>
        <v>7.8000000000000014E-2</v>
      </c>
      <c r="P621" s="42">
        <f t="shared" si="153"/>
        <v>0</v>
      </c>
    </row>
    <row r="622" spans="1:16" x14ac:dyDescent="0.2">
      <c r="A622" s="41">
        <f t="shared" si="150"/>
        <v>0.66500000000000004</v>
      </c>
      <c r="B622" s="42">
        <f t="shared" si="151"/>
        <v>0</v>
      </c>
      <c r="O622" s="41">
        <f t="shared" si="152"/>
        <v>0.14632800000000001</v>
      </c>
      <c r="P622" s="42">
        <f t="shared" si="153"/>
        <v>0</v>
      </c>
    </row>
    <row r="623" spans="1:16" x14ac:dyDescent="0.2">
      <c r="A623" s="41">
        <f t="shared" si="150"/>
        <v>0.99750000000000005</v>
      </c>
      <c r="B623" s="42">
        <f t="shared" si="151"/>
        <v>0</v>
      </c>
      <c r="O623" s="41">
        <f t="shared" si="152"/>
        <v>0.18423600000000001</v>
      </c>
      <c r="P623" s="42">
        <f t="shared" si="153"/>
        <v>150</v>
      </c>
    </row>
    <row r="624" spans="1:16" x14ac:dyDescent="0.2">
      <c r="A624" s="41">
        <f t="shared" si="150"/>
        <v>1.1704000000000001</v>
      </c>
      <c r="B624" s="42">
        <f t="shared" si="151"/>
        <v>0</v>
      </c>
      <c r="O624" s="41">
        <f t="shared" si="152"/>
        <v>1.061736</v>
      </c>
      <c r="P624" s="42">
        <f t="shared" si="153"/>
        <v>150</v>
      </c>
    </row>
    <row r="625" spans="1:16" x14ac:dyDescent="0.2">
      <c r="A625" s="41">
        <f t="shared" si="150"/>
        <v>1.2502000000000002</v>
      </c>
      <c r="B625" s="42">
        <f t="shared" si="151"/>
        <v>0</v>
      </c>
      <c r="O625" s="41">
        <f t="shared" si="152"/>
        <v>1.2079080000000002</v>
      </c>
      <c r="P625" s="42">
        <f t="shared" si="153"/>
        <v>70</v>
      </c>
    </row>
    <row r="626" spans="1:16" x14ac:dyDescent="0.2">
      <c r="A626" s="41">
        <f t="shared" si="150"/>
        <v>1.2635000000000001</v>
      </c>
      <c r="B626" s="42">
        <f t="shared" si="151"/>
        <v>0</v>
      </c>
      <c r="O626" s="41">
        <f t="shared" si="152"/>
        <v>1.4517360000000001</v>
      </c>
      <c r="P626" s="42">
        <f t="shared" si="153"/>
        <v>0</v>
      </c>
    </row>
    <row r="627" spans="1:16" ht="13.5" thickBot="1" x14ac:dyDescent="0.25">
      <c r="A627" s="43">
        <f t="shared" si="150"/>
        <v>1.33</v>
      </c>
      <c r="B627" s="44">
        <f t="shared" si="151"/>
        <v>0</v>
      </c>
      <c r="O627" s="43">
        <f t="shared" si="152"/>
        <v>1.56</v>
      </c>
      <c r="P627" s="44">
        <f t="shared" si="153"/>
        <v>0</v>
      </c>
    </row>
    <row r="629" spans="1:16" ht="13.5" thickBot="1" x14ac:dyDescent="0.25"/>
    <row r="630" spans="1:16" ht="13.5" thickBot="1" x14ac:dyDescent="0.25">
      <c r="A630" s="120" t="s">
        <v>57</v>
      </c>
      <c r="B630" s="26" t="s">
        <v>48</v>
      </c>
      <c r="P630" s="26" t="s">
        <v>48</v>
      </c>
    </row>
    <row r="631" spans="1:16" ht="13.5" thickBot="1" x14ac:dyDescent="0.25">
      <c r="A631" s="13" t="s">
        <v>82</v>
      </c>
      <c r="B631" s="245">
        <v>60</v>
      </c>
      <c r="C631" s="119"/>
      <c r="D631" s="119"/>
      <c r="E631" s="119"/>
      <c r="F631" s="119"/>
      <c r="G631" s="119"/>
      <c r="P631" s="245">
        <v>60</v>
      </c>
    </row>
    <row r="632" spans="1:16" ht="13.5" thickBot="1" x14ac:dyDescent="0.25">
      <c r="C632" s="77"/>
      <c r="D632" s="77"/>
      <c r="E632" s="77"/>
      <c r="F632" s="77"/>
      <c r="G632" s="77"/>
      <c r="H632" s="77"/>
      <c r="I632" s="77"/>
      <c r="J632" s="77"/>
      <c r="K632" s="77"/>
      <c r="L632" s="77"/>
      <c r="M632" s="77"/>
      <c r="N632" s="77"/>
      <c r="O632" s="77"/>
      <c r="P632" s="77"/>
    </row>
    <row r="633" spans="1:16" ht="13.5" thickBot="1" x14ac:dyDescent="0.25">
      <c r="A633" s="120" t="s">
        <v>1</v>
      </c>
      <c r="B633" s="26" t="s">
        <v>16</v>
      </c>
      <c r="C633" s="9"/>
      <c r="D633" s="9"/>
      <c r="E633" s="9"/>
      <c r="F633" s="9"/>
      <c r="G633" s="9"/>
      <c r="H633" s="9"/>
      <c r="I633" s="9"/>
      <c r="J633" s="9"/>
      <c r="K633" s="9"/>
      <c r="L633" s="9"/>
      <c r="M633" s="9"/>
      <c r="N633" s="9"/>
      <c r="O633" s="120" t="s">
        <v>1</v>
      </c>
      <c r="P633" s="26" t="s">
        <v>16</v>
      </c>
    </row>
    <row r="634" spans="1:16" x14ac:dyDescent="0.2">
      <c r="A634" s="57">
        <v>0</v>
      </c>
      <c r="B634" s="54">
        <v>0</v>
      </c>
      <c r="O634" s="57">
        <v>0</v>
      </c>
      <c r="P634" s="54">
        <v>0</v>
      </c>
    </row>
    <row r="635" spans="1:16" x14ac:dyDescent="0.2">
      <c r="A635" s="52">
        <v>7.89</v>
      </c>
      <c r="B635" s="55">
        <v>0</v>
      </c>
      <c r="C635" s="118"/>
      <c r="D635" s="118"/>
      <c r="F635" s="118"/>
      <c r="G635" s="118"/>
      <c r="H635" s="118"/>
      <c r="I635" s="118"/>
      <c r="K635" s="357"/>
      <c r="L635" s="357"/>
      <c r="M635" s="357"/>
      <c r="N635" s="357"/>
      <c r="O635" s="52">
        <v>10</v>
      </c>
      <c r="P635" s="55">
        <v>0</v>
      </c>
    </row>
    <row r="636" spans="1:16" x14ac:dyDescent="0.2">
      <c r="A636" s="52">
        <v>20</v>
      </c>
      <c r="B636" s="55">
        <v>0</v>
      </c>
      <c r="C636" s="20"/>
      <c r="D636" s="76"/>
      <c r="F636" s="117"/>
      <c r="G636" s="76"/>
      <c r="H636" s="20"/>
      <c r="I636" s="76"/>
      <c r="K636" s="29"/>
      <c r="L636" s="75"/>
      <c r="M636" s="29"/>
      <c r="N636" s="29"/>
      <c r="O636" s="52">
        <v>20</v>
      </c>
      <c r="P636" s="55">
        <v>0</v>
      </c>
    </row>
    <row r="637" spans="1:16" x14ac:dyDescent="0.2">
      <c r="A637" s="52">
        <v>55.26</v>
      </c>
      <c r="B637" s="55">
        <v>0</v>
      </c>
      <c r="C637" s="20"/>
      <c r="D637" s="76"/>
      <c r="F637" s="117"/>
      <c r="G637" s="76"/>
      <c r="H637" s="20"/>
      <c r="I637" s="76"/>
      <c r="K637" s="29"/>
      <c r="L637" s="75"/>
      <c r="M637" s="29"/>
      <c r="N637" s="29"/>
      <c r="O637" s="52">
        <v>30</v>
      </c>
      <c r="P637" s="55">
        <v>0</v>
      </c>
    </row>
    <row r="638" spans="1:16" x14ac:dyDescent="0.2">
      <c r="A638" s="52">
        <v>60</v>
      </c>
      <c r="B638" s="55">
        <v>0</v>
      </c>
      <c r="C638" s="20"/>
      <c r="D638" s="76"/>
      <c r="F638" s="117"/>
      <c r="G638" s="76"/>
      <c r="H638" s="20"/>
      <c r="I638" s="76"/>
      <c r="K638" s="29"/>
      <c r="L638" s="75"/>
      <c r="M638" s="29"/>
      <c r="N638" s="29"/>
      <c r="O638" s="52">
        <v>40</v>
      </c>
      <c r="P638" s="55">
        <v>0</v>
      </c>
    </row>
    <row r="639" spans="1:16" x14ac:dyDescent="0.2">
      <c r="A639" s="52">
        <v>65</v>
      </c>
      <c r="B639" s="55">
        <v>0</v>
      </c>
      <c r="C639" s="20"/>
      <c r="D639" s="76"/>
      <c r="F639" s="117"/>
      <c r="G639" s="76"/>
      <c r="H639" s="20"/>
      <c r="I639" s="76"/>
      <c r="K639" s="29"/>
      <c r="L639" s="75"/>
      <c r="M639" s="29"/>
      <c r="N639" s="29"/>
      <c r="O639" s="52">
        <v>50</v>
      </c>
      <c r="P639" s="55">
        <v>0</v>
      </c>
    </row>
    <row r="640" spans="1:16" x14ac:dyDescent="0.2">
      <c r="A640" s="52">
        <v>71.05</v>
      </c>
      <c r="B640" s="55">
        <v>0</v>
      </c>
      <c r="C640" s="20"/>
      <c r="D640" s="76"/>
      <c r="F640" s="117"/>
      <c r="G640" s="76"/>
      <c r="H640" s="20"/>
      <c r="I640" s="76"/>
      <c r="K640" s="29"/>
      <c r="L640" s="75"/>
      <c r="M640" s="29"/>
      <c r="N640" s="29"/>
      <c r="O640" s="52">
        <v>66.7</v>
      </c>
      <c r="P640" s="55">
        <v>0</v>
      </c>
    </row>
    <row r="641" spans="1:16" ht="13.5" thickBot="1" x14ac:dyDescent="0.25">
      <c r="A641" s="53">
        <v>100</v>
      </c>
      <c r="B641" s="56">
        <v>0</v>
      </c>
      <c r="C641" s="20"/>
      <c r="D641" s="76"/>
      <c r="F641" s="117"/>
      <c r="G641" s="76"/>
      <c r="H641" s="20"/>
      <c r="I641" s="76"/>
      <c r="K641" s="29"/>
      <c r="L641" s="75"/>
      <c r="M641" s="29"/>
      <c r="N641" s="29"/>
      <c r="O641" s="53">
        <v>100</v>
      </c>
      <c r="P641" s="56">
        <v>0</v>
      </c>
    </row>
    <row r="642" spans="1:16" ht="13.5" thickBot="1" x14ac:dyDescent="0.25">
      <c r="C642" s="20"/>
      <c r="D642" s="76"/>
      <c r="F642" s="117"/>
      <c r="G642" s="76"/>
      <c r="H642" s="20"/>
      <c r="I642" s="76"/>
      <c r="K642" s="29"/>
      <c r="L642" s="75"/>
      <c r="M642" s="29"/>
      <c r="N642" s="29"/>
    </row>
    <row r="643" spans="1:16" ht="13.5" thickBot="1" x14ac:dyDescent="0.25">
      <c r="A643" s="120" t="s">
        <v>17</v>
      </c>
      <c r="B643" s="26" t="s">
        <v>16</v>
      </c>
      <c r="C643" s="20"/>
      <c r="D643" s="76"/>
      <c r="F643" s="117"/>
      <c r="G643" s="8"/>
      <c r="H643" s="20"/>
      <c r="I643" s="8"/>
      <c r="K643" s="29"/>
      <c r="L643" s="75"/>
      <c r="M643" s="29"/>
      <c r="N643" s="29"/>
      <c r="O643" s="120" t="s">
        <v>17</v>
      </c>
      <c r="P643" s="26" t="s">
        <v>16</v>
      </c>
    </row>
    <row r="644" spans="1:16" x14ac:dyDescent="0.2">
      <c r="A644" s="39">
        <f t="shared" ref="A644:A651" si="154">A634*F$4/100</f>
        <v>0</v>
      </c>
      <c r="B644" s="40">
        <f t="shared" ref="B644:B651" si="155">B634</f>
        <v>0</v>
      </c>
      <c r="O644" s="39">
        <f t="shared" ref="O644:O651" si="156">O634*F$5/100</f>
        <v>0</v>
      </c>
      <c r="P644" s="40">
        <f t="shared" ref="P644:P651" si="157">P634</f>
        <v>0</v>
      </c>
    </row>
    <row r="645" spans="1:16" x14ac:dyDescent="0.2">
      <c r="A645" s="41">
        <f t="shared" si="154"/>
        <v>0.104937</v>
      </c>
      <c r="B645" s="42">
        <f t="shared" si="155"/>
        <v>0</v>
      </c>
      <c r="C645" s="29"/>
      <c r="D645" s="29"/>
      <c r="E645" s="29"/>
      <c r="F645" s="29"/>
      <c r="G645" s="29"/>
      <c r="H645" s="29"/>
      <c r="I645" s="29"/>
      <c r="J645" s="29"/>
      <c r="K645" s="29"/>
      <c r="L645" s="29"/>
      <c r="M645" s="29"/>
      <c r="N645" s="29"/>
      <c r="O645" s="41">
        <f t="shared" si="156"/>
        <v>0.15600000000000003</v>
      </c>
      <c r="P645" s="42">
        <f t="shared" si="157"/>
        <v>0</v>
      </c>
    </row>
    <row r="646" spans="1:16" x14ac:dyDescent="0.2">
      <c r="A646" s="41">
        <f t="shared" si="154"/>
        <v>0.26600000000000001</v>
      </c>
      <c r="B646" s="42">
        <f t="shared" si="155"/>
        <v>0</v>
      </c>
      <c r="C646" s="29"/>
      <c r="D646" s="29"/>
      <c r="E646" s="29"/>
      <c r="F646" s="29"/>
      <c r="G646" s="29"/>
      <c r="H646" s="29"/>
      <c r="I646" s="29"/>
      <c r="J646" s="29"/>
      <c r="K646" s="29"/>
      <c r="L646" s="29"/>
      <c r="M646" s="29"/>
      <c r="N646" s="29"/>
      <c r="O646" s="41">
        <f t="shared" si="156"/>
        <v>0.31200000000000006</v>
      </c>
      <c r="P646" s="42">
        <f t="shared" si="157"/>
        <v>0</v>
      </c>
    </row>
    <row r="647" spans="1:16" x14ac:dyDescent="0.2">
      <c r="A647" s="41">
        <f t="shared" si="154"/>
        <v>0.734958</v>
      </c>
      <c r="B647" s="42">
        <f t="shared" si="155"/>
        <v>0</v>
      </c>
      <c r="C647" s="29"/>
      <c r="D647" s="29"/>
      <c r="E647" s="29"/>
      <c r="F647" s="29"/>
      <c r="G647" s="29"/>
      <c r="H647" s="29"/>
      <c r="I647" s="29"/>
      <c r="J647" s="29"/>
      <c r="K647" s="29"/>
      <c r="L647" s="29"/>
      <c r="M647" s="29"/>
      <c r="N647" s="29"/>
      <c r="O647" s="41">
        <f t="shared" si="156"/>
        <v>0.46800000000000003</v>
      </c>
      <c r="P647" s="42">
        <f t="shared" si="157"/>
        <v>0</v>
      </c>
    </row>
    <row r="648" spans="1:16" x14ac:dyDescent="0.2">
      <c r="A648" s="41">
        <f t="shared" si="154"/>
        <v>0.79800000000000015</v>
      </c>
      <c r="B648" s="42">
        <f t="shared" si="155"/>
        <v>0</v>
      </c>
      <c r="C648" s="29"/>
      <c r="D648" s="29"/>
      <c r="E648" s="29"/>
      <c r="F648" s="29"/>
      <c r="G648" s="29"/>
      <c r="H648" s="29"/>
      <c r="I648" s="29"/>
      <c r="J648" s="29"/>
      <c r="K648" s="29"/>
      <c r="L648" s="29"/>
      <c r="M648" s="29"/>
      <c r="N648" s="29"/>
      <c r="O648" s="41">
        <f t="shared" si="156"/>
        <v>0.62400000000000011</v>
      </c>
      <c r="P648" s="42">
        <f t="shared" si="157"/>
        <v>0</v>
      </c>
    </row>
    <row r="649" spans="1:16" x14ac:dyDescent="0.2">
      <c r="A649" s="41">
        <f t="shared" si="154"/>
        <v>0.86450000000000005</v>
      </c>
      <c r="B649" s="42">
        <f t="shared" si="155"/>
        <v>0</v>
      </c>
      <c r="C649" s="29"/>
      <c r="D649" s="29"/>
      <c r="E649" s="29"/>
      <c r="F649" s="29"/>
      <c r="G649" s="29"/>
      <c r="H649" s="29"/>
      <c r="I649" s="29"/>
      <c r="J649" s="29"/>
      <c r="K649" s="29"/>
      <c r="L649" s="29"/>
      <c r="M649" s="29"/>
      <c r="N649" s="29"/>
      <c r="O649" s="41">
        <f t="shared" si="156"/>
        <v>0.78</v>
      </c>
      <c r="P649" s="42">
        <f t="shared" si="157"/>
        <v>0</v>
      </c>
    </row>
    <row r="650" spans="1:16" x14ac:dyDescent="0.2">
      <c r="A650" s="41">
        <f t="shared" si="154"/>
        <v>0.94496499999999994</v>
      </c>
      <c r="B650" s="42">
        <f t="shared" si="155"/>
        <v>0</v>
      </c>
      <c r="C650" s="29"/>
      <c r="D650" s="29"/>
      <c r="E650" s="29"/>
      <c r="F650" s="29"/>
      <c r="G650" s="29"/>
      <c r="H650" s="29"/>
      <c r="I650" s="29"/>
      <c r="J650" s="29"/>
      <c r="K650" s="29"/>
      <c r="L650" s="29"/>
      <c r="M650" s="29"/>
      <c r="N650" s="29"/>
      <c r="O650" s="41">
        <f t="shared" si="156"/>
        <v>1.0405200000000001</v>
      </c>
      <c r="P650" s="42">
        <f t="shared" si="157"/>
        <v>0</v>
      </c>
    </row>
    <row r="651" spans="1:16" ht="13.5" thickBot="1" x14ac:dyDescent="0.25">
      <c r="A651" s="43">
        <f t="shared" si="154"/>
        <v>1.33</v>
      </c>
      <c r="B651" s="44">
        <f t="shared" si="155"/>
        <v>0</v>
      </c>
      <c r="C651" s="29"/>
      <c r="D651" s="29"/>
      <c r="E651" s="29"/>
      <c r="F651" s="29"/>
      <c r="G651" s="29"/>
      <c r="H651" s="29"/>
      <c r="I651" s="29"/>
      <c r="J651" s="29"/>
      <c r="K651" s="29"/>
      <c r="L651" s="29"/>
      <c r="M651" s="29"/>
      <c r="N651" s="29"/>
      <c r="O651" s="43">
        <f t="shared" si="156"/>
        <v>1.56</v>
      </c>
      <c r="P651" s="44">
        <f t="shared" si="157"/>
        <v>0</v>
      </c>
    </row>
    <row r="652" spans="1:16" x14ac:dyDescent="0.2">
      <c r="A652" s="74"/>
      <c r="B652" s="72"/>
      <c r="C652" s="29"/>
      <c r="D652" s="29"/>
      <c r="E652" s="29"/>
      <c r="F652" s="29"/>
      <c r="G652" s="29"/>
      <c r="H652" s="29"/>
      <c r="I652" s="29"/>
      <c r="J652" s="29"/>
      <c r="K652" s="29"/>
      <c r="L652" s="29"/>
      <c r="M652" s="29"/>
      <c r="N652" s="29"/>
      <c r="O652" s="74"/>
      <c r="P652" s="72"/>
    </row>
    <row r="653" spans="1:16" ht="13.5" thickBot="1" x14ac:dyDescent="0.25">
      <c r="A653" s="74"/>
      <c r="B653" s="72"/>
      <c r="C653" s="29"/>
      <c r="D653" s="29"/>
      <c r="E653" s="29"/>
      <c r="F653" s="29"/>
      <c r="G653" s="29"/>
      <c r="H653" s="29"/>
      <c r="I653" s="29"/>
      <c r="J653" s="29"/>
      <c r="K653" s="29"/>
      <c r="L653" s="29"/>
      <c r="M653" s="29"/>
      <c r="N653" s="29"/>
      <c r="O653" s="74"/>
      <c r="P653" s="72"/>
    </row>
    <row r="654" spans="1:16" ht="13.5" thickBot="1" x14ac:dyDescent="0.25">
      <c r="A654" s="120" t="s">
        <v>57</v>
      </c>
      <c r="B654" s="26" t="s">
        <v>48</v>
      </c>
      <c r="C654" s="29"/>
      <c r="D654" s="29"/>
      <c r="E654" s="29"/>
      <c r="F654" s="29"/>
      <c r="G654" s="29"/>
      <c r="H654" s="29"/>
      <c r="I654" s="29"/>
      <c r="J654" s="29"/>
      <c r="K654" s="29"/>
      <c r="L654" s="29"/>
      <c r="M654" s="29"/>
      <c r="N654" s="29"/>
      <c r="O654" s="74"/>
      <c r="P654" s="26" t="s">
        <v>48</v>
      </c>
    </row>
    <row r="655" spans="1:16" ht="13.5" thickBot="1" x14ac:dyDescent="0.25">
      <c r="A655" s="13" t="s">
        <v>83</v>
      </c>
      <c r="B655" s="245">
        <v>60</v>
      </c>
      <c r="C655" s="29"/>
      <c r="D655" s="29"/>
      <c r="E655" s="29"/>
      <c r="F655" s="29"/>
      <c r="G655" s="29"/>
      <c r="H655" s="29"/>
      <c r="I655" s="29"/>
      <c r="J655" s="29"/>
      <c r="K655" s="29"/>
      <c r="L655" s="29"/>
      <c r="M655" s="29"/>
      <c r="N655" s="29"/>
      <c r="O655" s="74"/>
      <c r="P655" s="245">
        <v>60</v>
      </c>
    </row>
    <row r="656" spans="1:16" ht="13.5" thickBot="1" x14ac:dyDescent="0.25">
      <c r="C656" s="29"/>
      <c r="D656" s="29"/>
      <c r="E656" s="29"/>
      <c r="F656" s="29"/>
      <c r="G656" s="29"/>
      <c r="H656" s="29"/>
      <c r="I656" s="29"/>
      <c r="J656" s="29"/>
      <c r="K656" s="29"/>
      <c r="L656" s="29"/>
      <c r="M656" s="29"/>
      <c r="N656" s="29"/>
      <c r="O656" s="73"/>
      <c r="P656" s="72"/>
    </row>
    <row r="657" spans="1:16" ht="13.5" thickBot="1" x14ac:dyDescent="0.25">
      <c r="A657" s="120" t="s">
        <v>1</v>
      </c>
      <c r="B657" s="26" t="s">
        <v>16</v>
      </c>
      <c r="C657" s="29"/>
      <c r="D657" s="29"/>
      <c r="E657" s="29"/>
      <c r="F657" s="29"/>
      <c r="G657" s="29"/>
      <c r="H657" s="29"/>
      <c r="I657" s="29"/>
      <c r="J657" s="29"/>
      <c r="K657" s="29"/>
      <c r="L657" s="29"/>
      <c r="M657" s="29"/>
      <c r="N657" s="29"/>
      <c r="O657" s="120" t="s">
        <v>1</v>
      </c>
      <c r="P657" s="26" t="s">
        <v>16</v>
      </c>
    </row>
    <row r="658" spans="1:16" x14ac:dyDescent="0.2">
      <c r="A658" s="57">
        <v>0</v>
      </c>
      <c r="B658" s="54">
        <v>0</v>
      </c>
      <c r="C658" s="29"/>
      <c r="D658" s="29"/>
      <c r="E658" s="29"/>
      <c r="F658" s="29"/>
      <c r="G658" s="29"/>
      <c r="H658" s="29"/>
      <c r="I658" s="29"/>
      <c r="J658" s="29"/>
      <c r="K658" s="29"/>
      <c r="L658" s="29"/>
      <c r="M658" s="29"/>
      <c r="N658" s="29"/>
      <c r="O658" s="57">
        <v>0</v>
      </c>
      <c r="P658" s="54">
        <v>0</v>
      </c>
    </row>
    <row r="659" spans="1:16" x14ac:dyDescent="0.2">
      <c r="A659" s="52">
        <v>7.89</v>
      </c>
      <c r="B659" s="55">
        <v>0</v>
      </c>
      <c r="C659" s="29"/>
      <c r="D659" s="29"/>
      <c r="E659" s="29"/>
      <c r="F659" s="29"/>
      <c r="G659" s="29"/>
      <c r="H659" s="29"/>
      <c r="I659" s="29"/>
      <c r="J659" s="29"/>
      <c r="K659" s="29"/>
      <c r="L659" s="29"/>
      <c r="M659" s="29"/>
      <c r="N659" s="29"/>
      <c r="O659" s="52">
        <v>10</v>
      </c>
      <c r="P659" s="55">
        <v>0</v>
      </c>
    </row>
    <row r="660" spans="1:16" x14ac:dyDescent="0.2">
      <c r="A660" s="52">
        <v>20</v>
      </c>
      <c r="B660" s="55">
        <v>0</v>
      </c>
      <c r="C660" s="29"/>
      <c r="D660" s="29"/>
      <c r="E660" s="29"/>
      <c r="F660" s="29"/>
      <c r="G660" s="29"/>
      <c r="H660" s="29"/>
      <c r="I660" s="29"/>
      <c r="J660" s="29"/>
      <c r="K660" s="29"/>
      <c r="L660" s="29"/>
      <c r="M660" s="29"/>
      <c r="N660" s="29"/>
      <c r="O660" s="52">
        <v>20</v>
      </c>
      <c r="P660" s="55">
        <v>0</v>
      </c>
    </row>
    <row r="661" spans="1:16" x14ac:dyDescent="0.2">
      <c r="A661" s="52">
        <v>55.26</v>
      </c>
      <c r="B661" s="55">
        <v>0</v>
      </c>
      <c r="C661" s="29"/>
      <c r="D661" s="29"/>
      <c r="E661" s="29"/>
      <c r="F661" s="29"/>
      <c r="G661" s="29"/>
      <c r="H661" s="29"/>
      <c r="I661" s="29"/>
      <c r="J661" s="29"/>
      <c r="K661" s="29"/>
      <c r="L661" s="29"/>
      <c r="M661" s="29"/>
      <c r="N661" s="29"/>
      <c r="O661" s="52">
        <v>30</v>
      </c>
      <c r="P661" s="55">
        <v>0</v>
      </c>
    </row>
    <row r="662" spans="1:16" x14ac:dyDescent="0.2">
      <c r="A662" s="52">
        <v>60</v>
      </c>
      <c r="B662" s="55">
        <v>0</v>
      </c>
      <c r="C662" s="29"/>
      <c r="D662" s="29"/>
      <c r="E662" s="29"/>
      <c r="F662" s="29"/>
      <c r="G662" s="29"/>
      <c r="H662" s="29"/>
      <c r="I662" s="29"/>
      <c r="J662" s="29"/>
      <c r="K662" s="29"/>
      <c r="L662" s="29"/>
      <c r="M662" s="29"/>
      <c r="N662" s="29"/>
      <c r="O662" s="52">
        <v>40</v>
      </c>
      <c r="P662" s="55">
        <v>0</v>
      </c>
    </row>
    <row r="663" spans="1:16" x14ac:dyDescent="0.2">
      <c r="A663" s="52">
        <v>65</v>
      </c>
      <c r="B663" s="55">
        <v>0</v>
      </c>
      <c r="C663" s="29"/>
      <c r="D663" s="29"/>
      <c r="E663" s="29"/>
      <c r="F663" s="29"/>
      <c r="G663" s="29"/>
      <c r="H663" s="29"/>
      <c r="I663" s="29"/>
      <c r="J663" s="29"/>
      <c r="K663" s="29"/>
      <c r="L663" s="29"/>
      <c r="M663" s="29"/>
      <c r="N663" s="29"/>
      <c r="O663" s="52">
        <v>50</v>
      </c>
      <c r="P663" s="55">
        <v>0</v>
      </c>
    </row>
    <row r="664" spans="1:16" x14ac:dyDescent="0.2">
      <c r="A664" s="52">
        <v>71.05</v>
      </c>
      <c r="B664" s="55">
        <v>0</v>
      </c>
      <c r="C664" s="29"/>
      <c r="D664" s="29"/>
      <c r="E664" s="29"/>
      <c r="F664" s="29"/>
      <c r="G664" s="29"/>
      <c r="H664" s="29"/>
      <c r="I664" s="29"/>
      <c r="J664" s="29"/>
      <c r="K664" s="29"/>
      <c r="L664" s="29"/>
      <c r="M664" s="29"/>
      <c r="N664" s="29"/>
      <c r="O664" s="52">
        <v>66.7</v>
      </c>
      <c r="P664" s="55">
        <v>0</v>
      </c>
    </row>
    <row r="665" spans="1:16" ht="13.5" thickBot="1" x14ac:dyDescent="0.25">
      <c r="A665" s="53">
        <v>100</v>
      </c>
      <c r="B665" s="56">
        <v>0</v>
      </c>
      <c r="C665" s="29"/>
      <c r="D665" s="29"/>
      <c r="E665" s="29"/>
      <c r="F665" s="29"/>
      <c r="G665" s="29"/>
      <c r="H665" s="29"/>
      <c r="I665" s="29"/>
      <c r="J665" s="29"/>
      <c r="K665" s="29"/>
      <c r="L665" s="29"/>
      <c r="M665" s="29"/>
      <c r="N665" s="29"/>
      <c r="O665" s="53">
        <v>100</v>
      </c>
      <c r="P665" s="56">
        <v>0</v>
      </c>
    </row>
    <row r="666" spans="1:16" ht="13.5" thickBot="1" x14ac:dyDescent="0.25">
      <c r="C666" s="29"/>
      <c r="D666" s="29"/>
      <c r="E666" s="29"/>
      <c r="F666" s="29"/>
      <c r="G666" s="29"/>
      <c r="H666" s="29"/>
      <c r="I666" s="29"/>
      <c r="J666" s="29"/>
      <c r="K666" s="29"/>
      <c r="L666" s="29"/>
      <c r="M666" s="29"/>
      <c r="N666" s="29"/>
    </row>
    <row r="667" spans="1:16" ht="13.5" thickBot="1" x14ac:dyDescent="0.25">
      <c r="A667" s="120" t="s">
        <v>17</v>
      </c>
      <c r="B667" s="26" t="s">
        <v>16</v>
      </c>
      <c r="C667" s="29"/>
      <c r="D667" s="29"/>
      <c r="E667" s="29"/>
      <c r="F667" s="29"/>
      <c r="G667" s="29"/>
      <c r="H667" s="29"/>
      <c r="I667" s="29"/>
      <c r="J667" s="29"/>
      <c r="K667" s="29"/>
      <c r="L667" s="29"/>
      <c r="M667" s="29"/>
      <c r="N667" s="29"/>
      <c r="O667" s="120" t="s">
        <v>17</v>
      </c>
      <c r="P667" s="26" t="s">
        <v>16</v>
      </c>
    </row>
    <row r="668" spans="1:16" x14ac:dyDescent="0.2">
      <c r="A668" s="39">
        <f t="shared" ref="A668:A675" si="158">A658*F$4/100</f>
        <v>0</v>
      </c>
      <c r="B668" s="40">
        <f t="shared" ref="B668:B675" si="159">B658</f>
        <v>0</v>
      </c>
      <c r="C668" s="29"/>
      <c r="D668" s="29"/>
      <c r="E668" s="29"/>
      <c r="F668" s="29"/>
      <c r="G668" s="29"/>
      <c r="H668" s="29"/>
      <c r="I668" s="29"/>
      <c r="J668" s="29"/>
      <c r="K668" s="29"/>
      <c r="L668" s="29"/>
      <c r="M668" s="29"/>
      <c r="N668" s="29"/>
      <c r="O668" s="39">
        <f t="shared" ref="O668:O675" si="160">O658*F$5/100</f>
        <v>0</v>
      </c>
      <c r="P668" s="40">
        <f t="shared" ref="P668:P675" si="161">P658</f>
        <v>0</v>
      </c>
    </row>
    <row r="669" spans="1:16" x14ac:dyDescent="0.2">
      <c r="A669" s="41">
        <f t="shared" si="158"/>
        <v>0.104937</v>
      </c>
      <c r="B669" s="42">
        <f t="shared" si="159"/>
        <v>0</v>
      </c>
      <c r="C669" s="29"/>
      <c r="D669" s="29"/>
      <c r="E669" s="29"/>
      <c r="F669" s="29"/>
      <c r="G669" s="29"/>
      <c r="H669" s="29"/>
      <c r="I669" s="29"/>
      <c r="J669" s="29"/>
      <c r="K669" s="29"/>
      <c r="L669" s="29"/>
      <c r="M669" s="29"/>
      <c r="N669" s="29"/>
      <c r="O669" s="41">
        <f t="shared" si="160"/>
        <v>0.15600000000000003</v>
      </c>
      <c r="P669" s="42">
        <f t="shared" si="161"/>
        <v>0</v>
      </c>
    </row>
    <row r="670" spans="1:16" x14ac:dyDescent="0.2">
      <c r="A670" s="41">
        <f t="shared" si="158"/>
        <v>0.26600000000000001</v>
      </c>
      <c r="B670" s="42">
        <f t="shared" si="159"/>
        <v>0</v>
      </c>
      <c r="C670" s="29"/>
      <c r="D670" s="29"/>
      <c r="E670" s="29"/>
      <c r="F670" s="29"/>
      <c r="G670" s="29"/>
      <c r="H670" s="29"/>
      <c r="I670" s="29"/>
      <c r="J670" s="29"/>
      <c r="K670" s="29"/>
      <c r="L670" s="29"/>
      <c r="M670" s="29"/>
      <c r="N670" s="29"/>
      <c r="O670" s="41">
        <f t="shared" si="160"/>
        <v>0.31200000000000006</v>
      </c>
      <c r="P670" s="42">
        <f t="shared" si="161"/>
        <v>0</v>
      </c>
    </row>
    <row r="671" spans="1:16" x14ac:dyDescent="0.2">
      <c r="A671" s="41">
        <f t="shared" si="158"/>
        <v>0.734958</v>
      </c>
      <c r="B671" s="42">
        <f t="shared" si="159"/>
        <v>0</v>
      </c>
      <c r="C671" s="29"/>
      <c r="D671" s="29"/>
      <c r="E671" s="29"/>
      <c r="F671" s="29"/>
      <c r="G671" s="29"/>
      <c r="H671" s="29"/>
      <c r="I671" s="29"/>
      <c r="J671" s="29"/>
      <c r="K671" s="29"/>
      <c r="L671" s="29"/>
      <c r="M671" s="29"/>
      <c r="N671" s="29"/>
      <c r="O671" s="41">
        <f t="shared" si="160"/>
        <v>0.46800000000000003</v>
      </c>
      <c r="P671" s="42">
        <f t="shared" si="161"/>
        <v>0</v>
      </c>
    </row>
    <row r="672" spans="1:16" x14ac:dyDescent="0.2">
      <c r="A672" s="41">
        <f t="shared" si="158"/>
        <v>0.79800000000000015</v>
      </c>
      <c r="B672" s="42">
        <f t="shared" si="159"/>
        <v>0</v>
      </c>
      <c r="C672" s="29"/>
      <c r="D672" s="29"/>
      <c r="E672" s="29"/>
      <c r="F672" s="29"/>
      <c r="G672" s="29"/>
      <c r="H672" s="29"/>
      <c r="I672" s="29"/>
      <c r="J672" s="29"/>
      <c r="K672" s="29"/>
      <c r="L672" s="29"/>
      <c r="M672" s="29"/>
      <c r="N672" s="29"/>
      <c r="O672" s="41">
        <f t="shared" si="160"/>
        <v>0.62400000000000011</v>
      </c>
      <c r="P672" s="42">
        <f t="shared" si="161"/>
        <v>0</v>
      </c>
    </row>
    <row r="673" spans="1:16" x14ac:dyDescent="0.2">
      <c r="A673" s="41">
        <f t="shared" si="158"/>
        <v>0.86450000000000005</v>
      </c>
      <c r="B673" s="42">
        <f t="shared" si="159"/>
        <v>0</v>
      </c>
      <c r="C673" s="29"/>
      <c r="D673" s="29"/>
      <c r="E673" s="29"/>
      <c r="F673" s="29"/>
      <c r="G673" s="29"/>
      <c r="H673" s="29"/>
      <c r="I673" s="29"/>
      <c r="J673" s="29"/>
      <c r="K673" s="29"/>
      <c r="L673" s="29"/>
      <c r="M673" s="29"/>
      <c r="N673" s="29"/>
      <c r="O673" s="41">
        <f t="shared" si="160"/>
        <v>0.78</v>
      </c>
      <c r="P673" s="42">
        <f t="shared" si="161"/>
        <v>0</v>
      </c>
    </row>
    <row r="674" spans="1:16" x14ac:dyDescent="0.2">
      <c r="A674" s="41">
        <f t="shared" si="158"/>
        <v>0.94496499999999994</v>
      </c>
      <c r="B674" s="42">
        <f t="shared" si="159"/>
        <v>0</v>
      </c>
      <c r="C674" s="29"/>
      <c r="D674" s="29"/>
      <c r="E674" s="29"/>
      <c r="F674" s="29"/>
      <c r="G674" s="29"/>
      <c r="H674" s="29"/>
      <c r="I674" s="29"/>
      <c r="J674" s="29"/>
      <c r="K674" s="29"/>
      <c r="L674" s="29"/>
      <c r="M674" s="29"/>
      <c r="N674" s="29"/>
      <c r="O674" s="41">
        <f t="shared" si="160"/>
        <v>1.0405200000000001</v>
      </c>
      <c r="P674" s="42">
        <f t="shared" si="161"/>
        <v>0</v>
      </c>
    </row>
    <row r="675" spans="1:16" ht="13.5" thickBot="1" x14ac:dyDescent="0.25">
      <c r="A675" s="43">
        <f t="shared" si="158"/>
        <v>1.33</v>
      </c>
      <c r="B675" s="44">
        <f t="shared" si="159"/>
        <v>0</v>
      </c>
      <c r="C675" s="29"/>
      <c r="D675" s="29"/>
      <c r="E675" s="29"/>
      <c r="F675" s="29"/>
      <c r="G675" s="29"/>
      <c r="H675" s="29"/>
      <c r="I675" s="29"/>
      <c r="J675" s="29"/>
      <c r="K675" s="29"/>
      <c r="L675" s="29"/>
      <c r="M675" s="29"/>
      <c r="N675" s="29"/>
      <c r="O675" s="43">
        <f t="shared" si="160"/>
        <v>1.56</v>
      </c>
      <c r="P675" s="44">
        <f t="shared" si="161"/>
        <v>0</v>
      </c>
    </row>
    <row r="676" spans="1:16" x14ac:dyDescent="0.2">
      <c r="A676" s="73"/>
      <c r="B676" s="72"/>
      <c r="C676" s="29"/>
      <c r="D676" s="29"/>
      <c r="E676" s="29"/>
      <c r="F676" s="29"/>
      <c r="G676" s="29"/>
      <c r="H676" s="29"/>
      <c r="I676" s="29"/>
      <c r="J676" s="29"/>
      <c r="K676" s="29"/>
      <c r="L676" s="29"/>
      <c r="M676" s="29"/>
      <c r="N676" s="29"/>
      <c r="O676" s="73"/>
      <c r="P676" s="72"/>
    </row>
    <row r="677" spans="1:16" ht="13.5" thickBot="1" x14ac:dyDescent="0.25">
      <c r="A677" s="69"/>
      <c r="B677" s="69"/>
      <c r="C677" s="29"/>
      <c r="D677" s="29"/>
      <c r="E677" s="29"/>
      <c r="F677" s="29"/>
      <c r="G677" s="29"/>
      <c r="H677" s="29"/>
      <c r="I677" s="29"/>
      <c r="J677" s="29"/>
      <c r="K677" s="29"/>
      <c r="L677" s="29"/>
      <c r="M677" s="29"/>
      <c r="N677" s="29"/>
      <c r="O677" s="29"/>
      <c r="P677" s="29"/>
    </row>
    <row r="678" spans="1:16" ht="13.5" thickBot="1" x14ac:dyDescent="0.25">
      <c r="A678" s="120" t="s">
        <v>57</v>
      </c>
      <c r="B678" s="26" t="s">
        <v>48</v>
      </c>
      <c r="C678" s="29"/>
      <c r="D678" s="29"/>
      <c r="E678" s="29"/>
      <c r="F678" s="29"/>
      <c r="G678" s="29"/>
      <c r="H678" s="29"/>
      <c r="I678" s="29"/>
      <c r="J678" s="29"/>
      <c r="K678" s="29"/>
      <c r="L678" s="29"/>
      <c r="M678" s="29"/>
      <c r="N678" s="29"/>
      <c r="O678" s="116"/>
      <c r="P678" s="26" t="s">
        <v>48</v>
      </c>
    </row>
    <row r="679" spans="1:16" ht="13.5" thickBot="1" x14ac:dyDescent="0.25">
      <c r="A679" s="13" t="s">
        <v>84</v>
      </c>
      <c r="B679" s="245">
        <v>60</v>
      </c>
      <c r="C679" s="29"/>
      <c r="D679" s="29"/>
      <c r="E679" s="29"/>
      <c r="F679" s="29"/>
      <c r="G679" s="29"/>
      <c r="H679" s="29"/>
      <c r="I679" s="29"/>
      <c r="J679" s="29"/>
      <c r="K679" s="29"/>
      <c r="L679" s="29"/>
      <c r="M679" s="29"/>
      <c r="N679" s="29"/>
      <c r="O679" s="21"/>
      <c r="P679" s="245">
        <v>60</v>
      </c>
    </row>
    <row r="680" spans="1:16" ht="13.5" thickBot="1" x14ac:dyDescent="0.25">
      <c r="C680" s="29"/>
      <c r="D680" s="29"/>
      <c r="E680" s="29"/>
      <c r="F680" s="29"/>
      <c r="G680" s="29"/>
      <c r="H680" s="29"/>
      <c r="I680" s="29"/>
      <c r="J680" s="29"/>
      <c r="K680" s="29"/>
      <c r="L680" s="29"/>
      <c r="M680" s="29"/>
      <c r="N680" s="29"/>
      <c r="O680" s="21"/>
      <c r="P680" s="22"/>
    </row>
    <row r="681" spans="1:16" ht="13.5" thickBot="1" x14ac:dyDescent="0.25">
      <c r="A681" s="120" t="s">
        <v>1</v>
      </c>
      <c r="B681" s="26" t="s">
        <v>16</v>
      </c>
      <c r="C681" s="29"/>
      <c r="D681" s="29"/>
      <c r="E681" s="29"/>
      <c r="F681" s="29"/>
      <c r="G681" s="29"/>
      <c r="H681" s="29"/>
      <c r="I681" s="29"/>
      <c r="J681" s="29"/>
      <c r="K681" s="29"/>
      <c r="L681" s="29"/>
      <c r="M681" s="29"/>
      <c r="N681" s="29"/>
      <c r="O681" s="120" t="s">
        <v>1</v>
      </c>
      <c r="P681" s="26" t="s">
        <v>16</v>
      </c>
    </row>
    <row r="682" spans="1:16" x14ac:dyDescent="0.2">
      <c r="A682" s="57">
        <v>0</v>
      </c>
      <c r="B682" s="54">
        <v>0</v>
      </c>
      <c r="C682" s="29"/>
      <c r="D682" s="29"/>
      <c r="E682" s="29"/>
      <c r="F682" s="29"/>
      <c r="G682" s="29"/>
      <c r="H682" s="29"/>
      <c r="I682" s="29"/>
      <c r="J682" s="29"/>
      <c r="K682" s="29"/>
      <c r="L682" s="29"/>
      <c r="M682" s="29"/>
      <c r="N682" s="29"/>
      <c r="O682" s="57">
        <v>0</v>
      </c>
      <c r="P682" s="54">
        <v>0</v>
      </c>
    </row>
    <row r="683" spans="1:16" x14ac:dyDescent="0.2">
      <c r="A683" s="52">
        <v>7.89</v>
      </c>
      <c r="B683" s="55">
        <v>0</v>
      </c>
      <c r="C683" s="29"/>
      <c r="D683" s="29"/>
      <c r="E683" s="29"/>
      <c r="F683" s="29"/>
      <c r="G683" s="29"/>
      <c r="H683" s="29"/>
      <c r="I683" s="29"/>
      <c r="J683" s="29"/>
      <c r="K683" s="29"/>
      <c r="L683" s="29"/>
      <c r="M683" s="29"/>
      <c r="N683" s="29"/>
      <c r="O683" s="52">
        <v>10</v>
      </c>
      <c r="P683" s="55">
        <v>0</v>
      </c>
    </row>
    <row r="684" spans="1:16" x14ac:dyDescent="0.2">
      <c r="A684" s="52">
        <v>20</v>
      </c>
      <c r="B684" s="55">
        <v>0</v>
      </c>
      <c r="C684" s="29"/>
      <c r="D684" s="29"/>
      <c r="E684" s="29"/>
      <c r="F684" s="29"/>
      <c r="G684" s="29"/>
      <c r="H684" s="29"/>
      <c r="I684" s="29"/>
      <c r="J684" s="29"/>
      <c r="K684" s="29"/>
      <c r="L684" s="29"/>
      <c r="M684" s="29"/>
      <c r="N684" s="29"/>
      <c r="O684" s="52">
        <v>20</v>
      </c>
      <c r="P684" s="55">
        <v>0</v>
      </c>
    </row>
    <row r="685" spans="1:16" x14ac:dyDescent="0.2">
      <c r="A685" s="52">
        <v>55.26</v>
      </c>
      <c r="B685" s="55">
        <v>0</v>
      </c>
      <c r="C685" s="29"/>
      <c r="D685" s="29"/>
      <c r="E685" s="29"/>
      <c r="F685" s="29"/>
      <c r="G685" s="29"/>
      <c r="H685" s="29"/>
      <c r="I685" s="29"/>
      <c r="J685" s="29"/>
      <c r="K685" s="29"/>
      <c r="L685" s="29"/>
      <c r="M685" s="29"/>
      <c r="N685" s="29"/>
      <c r="O685" s="52">
        <v>30</v>
      </c>
      <c r="P685" s="55">
        <v>0</v>
      </c>
    </row>
    <row r="686" spans="1:16" x14ac:dyDescent="0.2">
      <c r="A686" s="52">
        <v>60</v>
      </c>
      <c r="B686" s="55">
        <v>0</v>
      </c>
      <c r="C686" s="29"/>
      <c r="D686" s="29"/>
      <c r="E686" s="29"/>
      <c r="F686" s="29"/>
      <c r="G686" s="29"/>
      <c r="H686" s="29"/>
      <c r="I686" s="29"/>
      <c r="J686" s="29"/>
      <c r="K686" s="29"/>
      <c r="L686" s="29"/>
      <c r="M686" s="29"/>
      <c r="N686" s="29"/>
      <c r="O686" s="52">
        <v>40</v>
      </c>
      <c r="P686" s="55">
        <v>0</v>
      </c>
    </row>
    <row r="687" spans="1:16" x14ac:dyDescent="0.2">
      <c r="A687" s="52">
        <v>65</v>
      </c>
      <c r="B687" s="55">
        <v>0</v>
      </c>
      <c r="C687" s="29"/>
      <c r="D687" s="29"/>
      <c r="E687" s="29"/>
      <c r="F687" s="29"/>
      <c r="G687" s="29"/>
      <c r="H687" s="29"/>
      <c r="I687" s="29"/>
      <c r="J687" s="29"/>
      <c r="K687" s="29"/>
      <c r="L687" s="29"/>
      <c r="M687" s="29"/>
      <c r="N687" s="29"/>
      <c r="O687" s="52">
        <v>50</v>
      </c>
      <c r="P687" s="55">
        <v>0</v>
      </c>
    </row>
    <row r="688" spans="1:16" x14ac:dyDescent="0.2">
      <c r="A688" s="52">
        <v>71.05</v>
      </c>
      <c r="B688" s="55">
        <v>0</v>
      </c>
      <c r="C688" s="29"/>
      <c r="D688" s="29"/>
      <c r="E688" s="29"/>
      <c r="F688" s="29"/>
      <c r="G688" s="29"/>
      <c r="H688" s="29"/>
      <c r="I688" s="29"/>
      <c r="J688" s="29"/>
      <c r="K688" s="29"/>
      <c r="L688" s="29"/>
      <c r="M688" s="29"/>
      <c r="N688" s="29"/>
      <c r="O688" s="52">
        <v>66.7</v>
      </c>
      <c r="P688" s="55">
        <v>0</v>
      </c>
    </row>
    <row r="689" spans="1:16" ht="13.5" thickBot="1" x14ac:dyDescent="0.25">
      <c r="A689" s="53">
        <v>100</v>
      </c>
      <c r="B689" s="56">
        <v>0</v>
      </c>
      <c r="C689" s="29"/>
      <c r="D689" s="29"/>
      <c r="E689" s="29"/>
      <c r="F689" s="29"/>
      <c r="G689" s="29"/>
      <c r="H689" s="29"/>
      <c r="I689" s="29"/>
      <c r="J689" s="29"/>
      <c r="K689" s="29"/>
      <c r="L689" s="29"/>
      <c r="M689" s="29"/>
      <c r="N689" s="29"/>
      <c r="O689" s="53">
        <v>100</v>
      </c>
      <c r="P689" s="56">
        <v>0</v>
      </c>
    </row>
    <row r="690" spans="1:16" ht="13.5" thickBot="1" x14ac:dyDescent="0.25">
      <c r="C690" s="29"/>
      <c r="D690" s="29"/>
      <c r="E690" s="29"/>
      <c r="F690" s="29"/>
      <c r="G690" s="29"/>
      <c r="H690" s="29"/>
      <c r="I690" s="29"/>
      <c r="J690" s="29"/>
      <c r="K690" s="29"/>
      <c r="L690" s="29"/>
      <c r="M690" s="29"/>
      <c r="N690" s="29"/>
    </row>
    <row r="691" spans="1:16" ht="13.5" thickBot="1" x14ac:dyDescent="0.25">
      <c r="A691" s="120" t="s">
        <v>17</v>
      </c>
      <c r="B691" s="26" t="s">
        <v>16</v>
      </c>
      <c r="C691" s="29"/>
      <c r="D691" s="29"/>
      <c r="E691" s="29"/>
      <c r="F691" s="29"/>
      <c r="G691" s="29"/>
      <c r="H691" s="29"/>
      <c r="I691" s="29"/>
      <c r="J691" s="29"/>
      <c r="K691" s="29"/>
      <c r="L691" s="29"/>
      <c r="M691" s="29"/>
      <c r="N691" s="29"/>
      <c r="O691" s="120" t="s">
        <v>17</v>
      </c>
      <c r="P691" s="26" t="s">
        <v>16</v>
      </c>
    </row>
    <row r="692" spans="1:16" x14ac:dyDescent="0.2">
      <c r="A692" s="39">
        <f t="shared" ref="A692:A699" si="162">A682*F$4/100</f>
        <v>0</v>
      </c>
      <c r="B692" s="40">
        <f t="shared" ref="B692:B699" si="163">B682</f>
        <v>0</v>
      </c>
      <c r="C692" s="29"/>
      <c r="D692" s="29"/>
      <c r="E692" s="29"/>
      <c r="F692" s="29"/>
      <c r="G692" s="29"/>
      <c r="H692" s="29"/>
      <c r="I692" s="29"/>
      <c r="J692" s="29"/>
      <c r="K692" s="29"/>
      <c r="L692" s="29"/>
      <c r="M692" s="29"/>
      <c r="N692" s="29"/>
      <c r="O692" s="39">
        <f t="shared" ref="O692:O699" si="164">O682*F$5/100</f>
        <v>0</v>
      </c>
      <c r="P692" s="40">
        <f t="shared" ref="P692:P699" si="165">P682</f>
        <v>0</v>
      </c>
    </row>
    <row r="693" spans="1:16" x14ac:dyDescent="0.2">
      <c r="A693" s="41">
        <f t="shared" si="162"/>
        <v>0.104937</v>
      </c>
      <c r="B693" s="42">
        <f t="shared" si="163"/>
        <v>0</v>
      </c>
      <c r="C693" s="29"/>
      <c r="D693" s="29"/>
      <c r="E693" s="29"/>
      <c r="F693" s="29"/>
      <c r="G693" s="29"/>
      <c r="H693" s="29"/>
      <c r="I693" s="29"/>
      <c r="J693" s="29"/>
      <c r="K693" s="29"/>
      <c r="L693" s="29"/>
      <c r="M693" s="29"/>
      <c r="N693" s="29"/>
      <c r="O693" s="41">
        <f t="shared" si="164"/>
        <v>0.15600000000000003</v>
      </c>
      <c r="P693" s="42">
        <f t="shared" si="165"/>
        <v>0</v>
      </c>
    </row>
    <row r="694" spans="1:16" x14ac:dyDescent="0.2">
      <c r="A694" s="41">
        <f t="shared" si="162"/>
        <v>0.26600000000000001</v>
      </c>
      <c r="B694" s="42">
        <f t="shared" si="163"/>
        <v>0</v>
      </c>
      <c r="C694" s="29"/>
      <c r="D694" s="29"/>
      <c r="E694" s="29"/>
      <c r="F694" s="29"/>
      <c r="G694" s="29"/>
      <c r="H694" s="29"/>
      <c r="I694" s="29"/>
      <c r="J694" s="29"/>
      <c r="K694" s="29"/>
      <c r="L694" s="29"/>
      <c r="M694" s="29"/>
      <c r="N694" s="29"/>
      <c r="O694" s="41">
        <f t="shared" si="164"/>
        <v>0.31200000000000006</v>
      </c>
      <c r="P694" s="42">
        <f t="shared" si="165"/>
        <v>0</v>
      </c>
    </row>
    <row r="695" spans="1:16" x14ac:dyDescent="0.2">
      <c r="A695" s="41">
        <f t="shared" si="162"/>
        <v>0.734958</v>
      </c>
      <c r="B695" s="42">
        <f t="shared" si="163"/>
        <v>0</v>
      </c>
      <c r="C695" s="29"/>
      <c r="D695" s="29"/>
      <c r="E695" s="29"/>
      <c r="F695" s="29"/>
      <c r="G695" s="29"/>
      <c r="H695" s="29"/>
      <c r="I695" s="29"/>
      <c r="J695" s="29"/>
      <c r="K695" s="29"/>
      <c r="L695" s="29"/>
      <c r="M695" s="29"/>
      <c r="N695" s="29"/>
      <c r="O695" s="41">
        <f t="shared" si="164"/>
        <v>0.46800000000000003</v>
      </c>
      <c r="P695" s="42">
        <f t="shared" si="165"/>
        <v>0</v>
      </c>
    </row>
    <row r="696" spans="1:16" x14ac:dyDescent="0.2">
      <c r="A696" s="41">
        <f t="shared" si="162"/>
        <v>0.79800000000000015</v>
      </c>
      <c r="B696" s="42">
        <f t="shared" si="163"/>
        <v>0</v>
      </c>
      <c r="C696" s="29"/>
      <c r="D696" s="29"/>
      <c r="E696" s="29"/>
      <c r="F696" s="29"/>
      <c r="G696" s="29"/>
      <c r="H696" s="29"/>
      <c r="I696" s="29"/>
      <c r="J696" s="29"/>
      <c r="K696" s="29"/>
      <c r="L696" s="29"/>
      <c r="M696" s="29"/>
      <c r="N696" s="29"/>
      <c r="O696" s="41">
        <f t="shared" si="164"/>
        <v>0.62400000000000011</v>
      </c>
      <c r="P696" s="42">
        <f t="shared" si="165"/>
        <v>0</v>
      </c>
    </row>
    <row r="697" spans="1:16" x14ac:dyDescent="0.2">
      <c r="A697" s="41">
        <f t="shared" si="162"/>
        <v>0.86450000000000005</v>
      </c>
      <c r="B697" s="42">
        <f t="shared" si="163"/>
        <v>0</v>
      </c>
      <c r="C697" s="29"/>
      <c r="D697" s="29"/>
      <c r="E697" s="29"/>
      <c r="F697" s="29"/>
      <c r="G697" s="29"/>
      <c r="H697" s="29"/>
      <c r="I697" s="29"/>
      <c r="J697" s="29"/>
      <c r="K697" s="29"/>
      <c r="L697" s="29"/>
      <c r="M697" s="29"/>
      <c r="N697" s="29"/>
      <c r="O697" s="41">
        <f t="shared" si="164"/>
        <v>0.78</v>
      </c>
      <c r="P697" s="42">
        <f t="shared" si="165"/>
        <v>0</v>
      </c>
    </row>
    <row r="698" spans="1:16" x14ac:dyDescent="0.2">
      <c r="A698" s="41">
        <f t="shared" si="162"/>
        <v>0.94496499999999994</v>
      </c>
      <c r="B698" s="42">
        <f t="shared" si="163"/>
        <v>0</v>
      </c>
      <c r="C698" s="29"/>
      <c r="D698" s="29"/>
      <c r="E698" s="29"/>
      <c r="F698" s="29"/>
      <c r="G698" s="29"/>
      <c r="H698" s="29"/>
      <c r="I698" s="29"/>
      <c r="J698" s="29"/>
      <c r="K698" s="29"/>
      <c r="L698" s="29"/>
      <c r="M698" s="29"/>
      <c r="N698" s="29"/>
      <c r="O698" s="41">
        <f t="shared" si="164"/>
        <v>1.0405200000000001</v>
      </c>
      <c r="P698" s="42">
        <f t="shared" si="165"/>
        <v>0</v>
      </c>
    </row>
    <row r="699" spans="1:16" ht="13.5" thickBot="1" x14ac:dyDescent="0.25">
      <c r="A699" s="43">
        <f t="shared" si="162"/>
        <v>1.33</v>
      </c>
      <c r="B699" s="44">
        <f t="shared" si="163"/>
        <v>0</v>
      </c>
      <c r="C699" s="29"/>
      <c r="D699" s="29"/>
      <c r="E699" s="29"/>
      <c r="F699" s="29"/>
      <c r="G699" s="29"/>
      <c r="H699" s="29"/>
      <c r="I699" s="29"/>
      <c r="J699" s="29"/>
      <c r="K699" s="29"/>
      <c r="L699" s="29"/>
      <c r="M699" s="29"/>
      <c r="N699" s="29"/>
      <c r="O699" s="43">
        <f t="shared" si="164"/>
        <v>1.56</v>
      </c>
      <c r="P699" s="44">
        <f t="shared" si="165"/>
        <v>0</v>
      </c>
    </row>
    <row r="700" spans="1:16" x14ac:dyDescent="0.2">
      <c r="A700" s="21"/>
      <c r="B700" s="22"/>
      <c r="C700" s="29"/>
      <c r="D700" s="29"/>
      <c r="E700" s="29"/>
      <c r="F700" s="29"/>
      <c r="G700" s="29"/>
      <c r="H700" s="29"/>
      <c r="I700" s="29"/>
      <c r="J700" s="29"/>
      <c r="K700" s="29"/>
      <c r="L700" s="29"/>
      <c r="M700" s="29"/>
      <c r="N700" s="29"/>
      <c r="O700" s="21"/>
      <c r="P700" s="22"/>
    </row>
    <row r="701" spans="1:16" ht="13.5" thickBot="1" x14ac:dyDescent="0.25">
      <c r="A701" s="21"/>
      <c r="B701" s="22"/>
      <c r="C701" s="29"/>
      <c r="D701" s="29"/>
      <c r="E701" s="29"/>
      <c r="F701" s="29"/>
      <c r="G701" s="29"/>
      <c r="H701" s="29"/>
      <c r="I701" s="29"/>
      <c r="J701" s="29"/>
      <c r="K701" s="29"/>
      <c r="L701" s="29"/>
      <c r="M701" s="29"/>
      <c r="N701" s="29"/>
      <c r="O701" s="21"/>
      <c r="P701" s="22"/>
    </row>
    <row r="702" spans="1:16" ht="13.5" thickBot="1" x14ac:dyDescent="0.25">
      <c r="A702" s="120" t="s">
        <v>57</v>
      </c>
      <c r="B702" s="26" t="s">
        <v>48</v>
      </c>
      <c r="C702" s="29"/>
      <c r="D702" s="29"/>
      <c r="E702" s="29"/>
      <c r="F702" s="29"/>
      <c r="G702" s="29"/>
      <c r="H702" s="29"/>
      <c r="I702" s="29"/>
      <c r="J702" s="29"/>
      <c r="K702" s="29"/>
      <c r="L702" s="29"/>
      <c r="M702" s="29"/>
      <c r="N702" s="29"/>
      <c r="O702" s="21"/>
      <c r="P702" s="26" t="s">
        <v>48</v>
      </c>
    </row>
    <row r="703" spans="1:16" ht="13.5" thickBot="1" x14ac:dyDescent="0.25">
      <c r="A703" s="13" t="s">
        <v>85</v>
      </c>
      <c r="B703" s="245">
        <v>60</v>
      </c>
      <c r="C703" s="29"/>
      <c r="D703" s="29"/>
      <c r="E703" s="29"/>
      <c r="F703" s="29"/>
      <c r="G703" s="29"/>
      <c r="H703" s="29"/>
      <c r="I703" s="29"/>
      <c r="J703" s="29"/>
      <c r="K703" s="29"/>
      <c r="L703" s="29"/>
      <c r="M703" s="29"/>
      <c r="N703" s="29"/>
      <c r="O703" s="21"/>
      <c r="P703" s="245">
        <v>60</v>
      </c>
    </row>
    <row r="704" spans="1:16" ht="13.5" thickBot="1" x14ac:dyDescent="0.25">
      <c r="C704" s="29"/>
      <c r="D704" s="29"/>
      <c r="E704" s="29"/>
      <c r="F704" s="29"/>
      <c r="G704" s="29"/>
      <c r="H704" s="29"/>
      <c r="I704" s="29"/>
      <c r="J704" s="29"/>
      <c r="K704" s="29"/>
      <c r="L704" s="29"/>
      <c r="M704" s="29"/>
      <c r="N704" s="29"/>
      <c r="O704" s="21"/>
      <c r="P704" s="22"/>
    </row>
    <row r="705" spans="1:16" ht="13.5" thickBot="1" x14ac:dyDescent="0.25">
      <c r="A705" s="120" t="s">
        <v>1</v>
      </c>
      <c r="B705" s="26" t="s">
        <v>16</v>
      </c>
      <c r="C705" s="29"/>
      <c r="D705" s="29"/>
      <c r="E705" s="29"/>
      <c r="F705" s="29"/>
      <c r="G705" s="29"/>
      <c r="H705" s="29"/>
      <c r="I705" s="29"/>
      <c r="J705" s="29"/>
      <c r="K705" s="29"/>
      <c r="L705" s="29"/>
      <c r="M705" s="29"/>
      <c r="N705" s="29"/>
      <c r="O705" s="120" t="s">
        <v>1</v>
      </c>
      <c r="P705" s="26" t="s">
        <v>16</v>
      </c>
    </row>
    <row r="706" spans="1:16" x14ac:dyDescent="0.2">
      <c r="A706" s="57">
        <v>0</v>
      </c>
      <c r="B706" s="54">
        <v>0</v>
      </c>
      <c r="C706" s="29"/>
      <c r="D706" s="29"/>
      <c r="E706" s="29"/>
      <c r="F706" s="29"/>
      <c r="G706" s="29"/>
      <c r="H706" s="29"/>
      <c r="I706" s="29"/>
      <c r="J706" s="29"/>
      <c r="K706" s="29"/>
      <c r="L706" s="29"/>
      <c r="M706" s="29"/>
      <c r="N706" s="29"/>
      <c r="O706" s="57">
        <v>0</v>
      </c>
      <c r="P706" s="54">
        <v>0</v>
      </c>
    </row>
    <row r="707" spans="1:16" x14ac:dyDescent="0.2">
      <c r="A707" s="52">
        <v>7.89</v>
      </c>
      <c r="B707" s="55">
        <v>0</v>
      </c>
      <c r="C707" s="29"/>
      <c r="D707" s="29"/>
      <c r="E707" s="29"/>
      <c r="F707" s="29"/>
      <c r="G707" s="29"/>
      <c r="H707" s="29"/>
      <c r="I707" s="29"/>
      <c r="J707" s="29"/>
      <c r="K707" s="29"/>
      <c r="L707" s="29"/>
      <c r="M707" s="29"/>
      <c r="N707" s="29"/>
      <c r="O707" s="52">
        <v>10</v>
      </c>
      <c r="P707" s="55">
        <v>0</v>
      </c>
    </row>
    <row r="708" spans="1:16" x14ac:dyDescent="0.2">
      <c r="A708" s="52">
        <v>20</v>
      </c>
      <c r="B708" s="55">
        <v>0</v>
      </c>
      <c r="C708" s="29"/>
      <c r="D708" s="29"/>
      <c r="E708" s="29"/>
      <c r="F708" s="29"/>
      <c r="G708" s="29"/>
      <c r="H708" s="29"/>
      <c r="I708" s="29"/>
      <c r="J708" s="29"/>
      <c r="K708" s="29"/>
      <c r="L708" s="29"/>
      <c r="M708" s="29"/>
      <c r="N708" s="29"/>
      <c r="O708" s="52">
        <v>20</v>
      </c>
      <c r="P708" s="55">
        <v>0</v>
      </c>
    </row>
    <row r="709" spans="1:16" x14ac:dyDescent="0.2">
      <c r="A709" s="52">
        <v>55.26</v>
      </c>
      <c r="B709" s="55">
        <v>0</v>
      </c>
      <c r="C709" s="29"/>
      <c r="D709" s="29"/>
      <c r="E709" s="29"/>
      <c r="F709" s="29"/>
      <c r="G709" s="29"/>
      <c r="H709" s="29"/>
      <c r="I709" s="29"/>
      <c r="J709" s="29"/>
      <c r="K709" s="29"/>
      <c r="L709" s="29"/>
      <c r="M709" s="29"/>
      <c r="N709" s="29"/>
      <c r="O709" s="52">
        <v>30</v>
      </c>
      <c r="P709" s="55">
        <v>0</v>
      </c>
    </row>
    <row r="710" spans="1:16" x14ac:dyDescent="0.2">
      <c r="A710" s="52">
        <v>60</v>
      </c>
      <c r="B710" s="55">
        <v>0</v>
      </c>
      <c r="C710" s="29"/>
      <c r="D710" s="29"/>
      <c r="E710" s="29"/>
      <c r="F710" s="29"/>
      <c r="G710" s="29"/>
      <c r="H710" s="29"/>
      <c r="I710" s="29"/>
      <c r="J710" s="29"/>
      <c r="K710" s="29"/>
      <c r="L710" s="29"/>
      <c r="M710" s="29"/>
      <c r="N710" s="29"/>
      <c r="O710" s="52">
        <v>40</v>
      </c>
      <c r="P710" s="55">
        <v>0</v>
      </c>
    </row>
    <row r="711" spans="1:16" x14ac:dyDescent="0.2">
      <c r="A711" s="52">
        <v>65</v>
      </c>
      <c r="B711" s="55">
        <v>0</v>
      </c>
      <c r="C711" s="29"/>
      <c r="D711" s="29"/>
      <c r="E711" s="29"/>
      <c r="F711" s="29"/>
      <c r="G711" s="29"/>
      <c r="H711" s="29"/>
      <c r="I711" s="29"/>
      <c r="J711" s="29"/>
      <c r="K711" s="29"/>
      <c r="L711" s="29"/>
      <c r="M711" s="29"/>
      <c r="N711" s="29"/>
      <c r="O711" s="52">
        <v>50</v>
      </c>
      <c r="P711" s="55">
        <v>0</v>
      </c>
    </row>
    <row r="712" spans="1:16" x14ac:dyDescent="0.2">
      <c r="A712" s="52">
        <v>71.05</v>
      </c>
      <c r="B712" s="55">
        <v>0</v>
      </c>
      <c r="C712" s="29"/>
      <c r="D712" s="29"/>
      <c r="E712" s="29"/>
      <c r="F712" s="29"/>
      <c r="G712" s="29"/>
      <c r="H712" s="29"/>
      <c r="I712" s="29"/>
      <c r="J712" s="29"/>
      <c r="K712" s="29"/>
      <c r="L712" s="29"/>
      <c r="M712" s="29"/>
      <c r="N712" s="29"/>
      <c r="O712" s="52">
        <v>66.7</v>
      </c>
      <c r="P712" s="55">
        <v>0</v>
      </c>
    </row>
    <row r="713" spans="1:16" ht="13.5" thickBot="1" x14ac:dyDescent="0.25">
      <c r="A713" s="53">
        <v>100</v>
      </c>
      <c r="B713" s="56">
        <v>0</v>
      </c>
      <c r="C713" s="29"/>
      <c r="D713" s="29"/>
      <c r="E713" s="29"/>
      <c r="F713" s="29"/>
      <c r="G713" s="29"/>
      <c r="H713" s="29"/>
      <c r="I713" s="29"/>
      <c r="J713" s="29"/>
      <c r="K713" s="29"/>
      <c r="L713" s="29"/>
      <c r="M713" s="29"/>
      <c r="N713" s="29"/>
      <c r="O713" s="53">
        <v>100</v>
      </c>
      <c r="P713" s="56">
        <v>0</v>
      </c>
    </row>
    <row r="714" spans="1:16" ht="13.5" thickBot="1" x14ac:dyDescent="0.25">
      <c r="C714" s="29"/>
      <c r="D714" s="29"/>
      <c r="E714" s="29"/>
      <c r="F714" s="29"/>
      <c r="G714" s="29"/>
      <c r="H714" s="29"/>
      <c r="I714" s="29"/>
      <c r="J714" s="29"/>
      <c r="K714" s="29"/>
      <c r="L714" s="29"/>
      <c r="M714" s="29"/>
      <c r="N714" s="29"/>
    </row>
    <row r="715" spans="1:16" ht="13.5" thickBot="1" x14ac:dyDescent="0.25">
      <c r="A715" s="243" t="s">
        <v>17</v>
      </c>
      <c r="B715" s="26" t="s">
        <v>16</v>
      </c>
      <c r="C715" s="29"/>
      <c r="D715" s="29"/>
      <c r="E715" s="29"/>
      <c r="F715" s="29"/>
      <c r="G715" s="29"/>
      <c r="H715" s="29"/>
      <c r="I715" s="29"/>
      <c r="J715" s="29"/>
      <c r="K715" s="29"/>
      <c r="L715" s="29"/>
      <c r="M715" s="29"/>
      <c r="N715" s="29"/>
      <c r="O715" s="120" t="s">
        <v>17</v>
      </c>
      <c r="P715" s="26" t="s">
        <v>16</v>
      </c>
    </row>
    <row r="716" spans="1:16" x14ac:dyDescent="0.2">
      <c r="A716" s="39">
        <f t="shared" ref="A716:A723" si="166">A706*F$4/100</f>
        <v>0</v>
      </c>
      <c r="B716" s="40">
        <f t="shared" ref="B716:B723" si="167">B706</f>
        <v>0</v>
      </c>
      <c r="C716" s="29"/>
      <c r="D716" s="29"/>
      <c r="E716" s="29"/>
      <c r="F716" s="29"/>
      <c r="G716" s="29"/>
      <c r="H716" s="29"/>
      <c r="I716" s="29"/>
      <c r="J716" s="29"/>
      <c r="K716" s="29"/>
      <c r="L716" s="29"/>
      <c r="M716" s="29"/>
      <c r="N716" s="29"/>
      <c r="O716" s="39">
        <f t="shared" ref="O716:O723" si="168">O706*F$5/100</f>
        <v>0</v>
      </c>
      <c r="P716" s="40">
        <f t="shared" ref="P716:P723" si="169">P706</f>
        <v>0</v>
      </c>
    </row>
    <row r="717" spans="1:16" x14ac:dyDescent="0.2">
      <c r="A717" s="41">
        <f t="shared" si="166"/>
        <v>0.104937</v>
      </c>
      <c r="B717" s="42">
        <f t="shared" si="167"/>
        <v>0</v>
      </c>
      <c r="C717" s="29"/>
      <c r="D717" s="29"/>
      <c r="E717" s="29"/>
      <c r="F717" s="29"/>
      <c r="G717" s="29"/>
      <c r="H717" s="29"/>
      <c r="I717" s="29"/>
      <c r="J717" s="29"/>
      <c r="K717" s="29"/>
      <c r="L717" s="29"/>
      <c r="M717" s="29"/>
      <c r="N717" s="29"/>
      <c r="O717" s="41">
        <f t="shared" si="168"/>
        <v>0.15600000000000003</v>
      </c>
      <c r="P717" s="42">
        <f t="shared" si="169"/>
        <v>0</v>
      </c>
    </row>
    <row r="718" spans="1:16" x14ac:dyDescent="0.2">
      <c r="A718" s="41">
        <f t="shared" si="166"/>
        <v>0.26600000000000001</v>
      </c>
      <c r="B718" s="42">
        <f t="shared" si="167"/>
        <v>0</v>
      </c>
      <c r="C718" s="29"/>
      <c r="D718" s="29"/>
      <c r="E718" s="29"/>
      <c r="F718" s="29"/>
      <c r="G718" s="29"/>
      <c r="H718" s="29"/>
      <c r="I718" s="29"/>
      <c r="J718" s="29"/>
      <c r="K718" s="29"/>
      <c r="L718" s="29"/>
      <c r="M718" s="29"/>
      <c r="N718" s="29"/>
      <c r="O718" s="41">
        <f t="shared" si="168"/>
        <v>0.31200000000000006</v>
      </c>
      <c r="P718" s="42">
        <f t="shared" si="169"/>
        <v>0</v>
      </c>
    </row>
    <row r="719" spans="1:16" x14ac:dyDescent="0.2">
      <c r="A719" s="41">
        <f t="shared" si="166"/>
        <v>0.734958</v>
      </c>
      <c r="B719" s="42">
        <f t="shared" si="167"/>
        <v>0</v>
      </c>
      <c r="C719" s="29"/>
      <c r="D719" s="29"/>
      <c r="E719" s="29"/>
      <c r="F719" s="29"/>
      <c r="G719" s="29"/>
      <c r="H719" s="29"/>
      <c r="I719" s="29"/>
      <c r="J719" s="29"/>
      <c r="K719" s="29"/>
      <c r="L719" s="29"/>
      <c r="M719" s="29"/>
      <c r="N719" s="29"/>
      <c r="O719" s="41">
        <f t="shared" si="168"/>
        <v>0.46800000000000003</v>
      </c>
      <c r="P719" s="42">
        <f t="shared" si="169"/>
        <v>0</v>
      </c>
    </row>
    <row r="720" spans="1:16" x14ac:dyDescent="0.2">
      <c r="A720" s="41">
        <f t="shared" si="166"/>
        <v>0.79800000000000015</v>
      </c>
      <c r="B720" s="42">
        <f t="shared" si="167"/>
        <v>0</v>
      </c>
      <c r="C720" s="29"/>
      <c r="D720" s="29"/>
      <c r="E720" s="29"/>
      <c r="F720" s="29"/>
      <c r="G720" s="29"/>
      <c r="H720" s="29"/>
      <c r="I720" s="29"/>
      <c r="J720" s="29"/>
      <c r="K720" s="29"/>
      <c r="L720" s="29"/>
      <c r="M720" s="29"/>
      <c r="N720" s="29"/>
      <c r="O720" s="41">
        <f t="shared" si="168"/>
        <v>0.62400000000000011</v>
      </c>
      <c r="P720" s="42">
        <f t="shared" si="169"/>
        <v>0</v>
      </c>
    </row>
    <row r="721" spans="1:16" x14ac:dyDescent="0.2">
      <c r="A721" s="41">
        <f t="shared" si="166"/>
        <v>0.86450000000000005</v>
      </c>
      <c r="B721" s="42">
        <f t="shared" si="167"/>
        <v>0</v>
      </c>
      <c r="C721" s="29"/>
      <c r="D721" s="29"/>
      <c r="E721" s="29"/>
      <c r="F721" s="29"/>
      <c r="G721" s="29"/>
      <c r="H721" s="29"/>
      <c r="I721" s="29"/>
      <c r="J721" s="29"/>
      <c r="K721" s="29"/>
      <c r="L721" s="29"/>
      <c r="M721" s="29"/>
      <c r="N721" s="29"/>
      <c r="O721" s="41">
        <f t="shared" si="168"/>
        <v>0.78</v>
      </c>
      <c r="P721" s="42">
        <f t="shared" si="169"/>
        <v>0</v>
      </c>
    </row>
    <row r="722" spans="1:16" x14ac:dyDescent="0.2">
      <c r="A722" s="41">
        <f t="shared" si="166"/>
        <v>0.94496499999999994</v>
      </c>
      <c r="B722" s="42">
        <f t="shared" si="167"/>
        <v>0</v>
      </c>
      <c r="C722" s="29"/>
      <c r="D722" s="29"/>
      <c r="E722" s="29"/>
      <c r="F722" s="29"/>
      <c r="G722" s="29"/>
      <c r="H722" s="29"/>
      <c r="I722" s="29"/>
      <c r="J722" s="29"/>
      <c r="K722" s="29"/>
      <c r="L722" s="29"/>
      <c r="M722" s="29"/>
      <c r="N722" s="29"/>
      <c r="O722" s="41">
        <f t="shared" si="168"/>
        <v>1.0405200000000001</v>
      </c>
      <c r="P722" s="42">
        <f t="shared" si="169"/>
        <v>0</v>
      </c>
    </row>
    <row r="723" spans="1:16" ht="13.5" thickBot="1" x14ac:dyDescent="0.25">
      <c r="A723" s="43">
        <f t="shared" si="166"/>
        <v>1.33</v>
      </c>
      <c r="B723" s="44">
        <f t="shared" si="167"/>
        <v>0</v>
      </c>
      <c r="C723" s="29"/>
      <c r="D723" s="29"/>
      <c r="E723" s="29"/>
      <c r="F723" s="29"/>
      <c r="G723" s="29"/>
      <c r="H723" s="29"/>
      <c r="I723" s="29"/>
      <c r="J723" s="29"/>
      <c r="K723" s="29"/>
      <c r="L723" s="29"/>
      <c r="M723" s="29"/>
      <c r="N723" s="29"/>
      <c r="O723" s="43">
        <f t="shared" si="168"/>
        <v>1.56</v>
      </c>
      <c r="P723" s="44">
        <f t="shared" si="169"/>
        <v>0</v>
      </c>
    </row>
    <row r="724" spans="1:16" x14ac:dyDescent="0.2">
      <c r="A724" s="21"/>
      <c r="B724" s="22"/>
      <c r="C724" s="29"/>
      <c r="D724" s="29"/>
      <c r="E724" s="29"/>
      <c r="F724" s="29"/>
      <c r="G724" s="29"/>
      <c r="H724" s="29"/>
      <c r="I724" s="29"/>
      <c r="J724" s="29"/>
      <c r="K724" s="29"/>
      <c r="L724" s="29"/>
      <c r="M724" s="29"/>
      <c r="N724" s="29"/>
      <c r="O724" s="21"/>
      <c r="P724" s="22"/>
    </row>
    <row r="731" spans="1:16" x14ac:dyDescent="0.2">
      <c r="P731" s="88"/>
    </row>
  </sheetData>
  <sheetProtection sheet="1" objects="1" scenarios="1" formatCells="0" selectLockedCells="1"/>
  <mergeCells count="46">
    <mergeCell ref="N39:P39"/>
    <mergeCell ref="K635:N635"/>
    <mergeCell ref="K346:N346"/>
    <mergeCell ref="D145:F146"/>
    <mergeCell ref="I145:L146"/>
    <mergeCell ref="A139:D139"/>
    <mergeCell ref="F36:G36"/>
    <mergeCell ref="A36:B36"/>
    <mergeCell ref="C39:E39"/>
    <mergeCell ref="F39:H39"/>
    <mergeCell ref="K39:M39"/>
    <mergeCell ref="F3:G3"/>
    <mergeCell ref="B5:D5"/>
    <mergeCell ref="B11:D11"/>
    <mergeCell ref="B34:D34"/>
    <mergeCell ref="B7:D7"/>
    <mergeCell ref="B8:D8"/>
    <mergeCell ref="B9:D9"/>
    <mergeCell ref="B10:D10"/>
    <mergeCell ref="F30:G30"/>
    <mergeCell ref="B25:D25"/>
    <mergeCell ref="B26:D26"/>
    <mergeCell ref="B27:D27"/>
    <mergeCell ref="B32:G32"/>
    <mergeCell ref="B33:G33"/>
    <mergeCell ref="B30:D30"/>
    <mergeCell ref="B12:D12"/>
    <mergeCell ref="B29:D29"/>
    <mergeCell ref="B13:D13"/>
    <mergeCell ref="B14:D14"/>
    <mergeCell ref="B23:D23"/>
    <mergeCell ref="B24:D24"/>
    <mergeCell ref="B15:D15"/>
    <mergeCell ref="B16:D16"/>
    <mergeCell ref="B17:D17"/>
    <mergeCell ref="B18:D18"/>
    <mergeCell ref="B19:D19"/>
    <mergeCell ref="B28:D28"/>
    <mergeCell ref="B20:D20"/>
    <mergeCell ref="B21:D21"/>
    <mergeCell ref="B22:D22"/>
    <mergeCell ref="C1:E1"/>
    <mergeCell ref="C2:E2"/>
    <mergeCell ref="B3:D3"/>
    <mergeCell ref="B6:D6"/>
    <mergeCell ref="B4:D4"/>
  </mergeCells>
  <phoneticPr fontId="0" type="noConversion"/>
  <dataValidations count="13">
    <dataValidation type="whole" showErrorMessage="1" error="Invalid Entry" sqref="P417:P424 B153:B160 P345:P352 P177:P184 P201:P208 P225:P232 P249:P256 P273:P280 P297:P304 P153:P160 B177:B184 B201:B208 B225:B232 B249:B256 B273:B280 B297:B304 B321:B328 P321:P328 B363:B364 P369:P376 P393:P400 B706:B713 B387 P387 B345:B352 B369:B376 B393:B400 B417:B424 P706:P713 B442:B449 P634:P641 P466:P473 P490:P497 P514:P521 P538:P545 P562:P569 P586:P593 P442:P449 B466:B473 B490:B497 B514:B521 B538:B545 B562:B569 B586:B593 B610:B617 P610:P617 B652:B653 P658:P665 P682:P689 P367 B676 P676 B634:B641 B658:B665 B682:B689 P363:P364 P652:P653 P656">
      <formula1>0</formula1>
      <formula2>250</formula2>
    </dataValidation>
    <dataValidation type="decimal" operator="equal" showErrorMessage="1" error="Invalid Entry" sqref="A153 A273 A249 A225 A417 A393 A369 A201 O153 O417 O393 O369 O345 A345 A177 O321 O297 O273 O249 O225 F57 O201 O177 A321 A297 A442 A562 A538 A514 A706 A682 A658 A490 O442 O706 O682 O658 O634 A634 A466 O610 O586 O562 O538 O514 O490 O466 A610 A586">
      <formula1>0</formula1>
    </dataValidation>
    <dataValidation type="decimal" operator="equal" showErrorMessage="1" error="Invalid Entry" sqref="A160 O256 O280 O304 A424 A400 O387 A352 A376 O424 O400 O376 A387 O367 O352 O328 A184 A208 A232 A256 A280 A304 A328 O160 O184 O208 O232 A449 O545 O569 O593 A713 A689 O676 A641 A665 O713 O689 O665 A676 O656 O641 O617 A473 A497 A521 A545 A569 A593 A617 O449 O473 O497 O521">
      <formula1>100</formula1>
    </dataValidation>
    <dataValidation type="decimal" showErrorMessage="1" error="Invalid Entry" sqref="A154:A159 A226:A231 A250:A255 A274:A279 A418:A423 A394:A399 A370:A375 O322:O327 A346:A351 O418:O423 O394:O399 O370:O375 A363:A364 O363:O366 O346:O351 A322:A327 A298:A303 O178:O183 O202:O207 O226:O231 O250:O255 O274:O279 O298:O303 O154:O159 A178:A183 A202:A207 A443:A448 A515:A520 A539:A544 A563:A568 A707:A712 A683:A688 A659:A664 O611:O616 A635:A640 O707:O712 O683:O688 O659:O664 A652:A653 O652:O655 O635:O640 A611:A616 A587:A592 O467:O472 O491:O496 O515:O520 O539:O544 O563:O568 O587:O592 O443:O448 A467:A472 A491:A496">
      <formula1>0</formula1>
      <formula2>100</formula2>
    </dataValidation>
    <dataValidation type="decimal" showErrorMessage="1" error="Invalid Entry" sqref="F4:F5">
      <formula1>0.01</formula1>
      <formula2>10</formula2>
    </dataValidation>
    <dataValidation operator="equal" error="Invalid Entry" sqref="F42:F56 C42:C137 F58:F137 K42:K137 N42:N137"/>
    <dataValidation error="Invalid Entry" sqref="D42:D137 G42:G137 L42:L137 O42:O137 P42 P50 P58 P66 P74 P82 P90 P98 P106 P114 P122 P130"/>
    <dataValidation type="list" showErrorMessage="1" error="Invalid Entry" sqref="L347:L354 L636:L643">
      <formula1>"0, 1, 2, 3, 4, 5, 6, 7, S0, S1, S2, S3, S4, S5, S6"</formula1>
    </dataValidation>
    <dataValidation type="decimal" showErrorMessage="1" error="Invalid Entry" sqref="O294 O318 O198 O222 O246 O270 O583 O607 O487 O511 O535 O559">
      <formula1>0.1</formula1>
      <formula2>20</formula2>
    </dataValidation>
    <dataValidation type="decimal" showErrorMessage="1" error="Invalid Entry" sqref="O174 O463">
      <formula1>0.1</formula1>
      <formula2>200</formula2>
    </dataValidation>
    <dataValidation type="whole" showErrorMessage="1" error="Invalid Entry" sqref="F6:F29">
      <formula1>0</formula1>
      <formula2>38</formula2>
    </dataValidation>
    <dataValidation type="whole" showErrorMessage="1" error="Invalid Entry" sqref="O150 O439">
      <formula1>30</formula1>
      <formula2>60</formula2>
    </dataValidation>
    <dataValidation type="whole" showInputMessage="1" showErrorMessage="1" sqref="B150 B174 B198 B222 B246 B270 B294 B318 B342 B366 B390 B414 B439 B463 B487 B511 B535 B559 B583 B607 B631 B655 B679 B703 P150 P174 P198 P222 P246 P270 P294 P318 P342 P366 P390 P414 P439 P463 P487 P511 P535 P559 P583 P607 P631 P655 P679 P703">
      <formula1>30</formula1>
      <formula2>60</formula2>
    </dataValidation>
  </dataValidations>
  <pageMargins left="0.75" right="0.75" top="1" bottom="1" header="0.5" footer="0.5"/>
  <pageSetup scale="6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ValidateWalk_Click">
                <anchor moveWithCells="1" sizeWithCells="1">
                  <from>
                    <xdr:col>2</xdr:col>
                    <xdr:colOff>1028700</xdr:colOff>
                    <xdr:row>33</xdr:row>
                    <xdr:rowOff>152400</xdr:rowOff>
                  </from>
                  <to>
                    <xdr:col>3</xdr:col>
                    <xdr:colOff>1304925</xdr:colOff>
                    <xdr:row>37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725"/>
  <sheetViews>
    <sheetView zoomScale="80" workbookViewId="0">
      <selection activeCell="B703" sqref="B703"/>
    </sheetView>
  </sheetViews>
  <sheetFormatPr defaultRowHeight="12.75" x14ac:dyDescent="0.2"/>
  <cols>
    <col min="1" max="1" width="10.5703125" style="88" customWidth="1"/>
    <col min="2" max="2" width="13.28515625" style="88" customWidth="1"/>
    <col min="3" max="3" width="18.85546875" style="88" customWidth="1"/>
    <col min="4" max="4" width="19.7109375" style="88" customWidth="1"/>
    <col min="5" max="5" width="15.7109375" style="88" customWidth="1"/>
    <col min="6" max="6" width="17.85546875" style="88" customWidth="1"/>
    <col min="7" max="7" width="43.5703125" style="88" customWidth="1"/>
    <col min="8" max="8" width="9.140625" style="88"/>
    <col min="9" max="9" width="11" style="88" customWidth="1"/>
    <col min="10" max="10" width="17.42578125" style="88" customWidth="1"/>
    <col min="11" max="11" width="13.28515625" style="88" customWidth="1"/>
    <col min="12" max="12" width="17.42578125" style="88" customWidth="1"/>
    <col min="13" max="13" width="17.7109375" style="88" customWidth="1"/>
    <col min="14" max="14" width="9.5703125" style="88" customWidth="1"/>
    <col min="15" max="16384" width="9.140625" style="88"/>
  </cols>
  <sheetData>
    <row r="1" spans="2:14" x14ac:dyDescent="0.2">
      <c r="B1" s="95"/>
      <c r="C1" s="379" t="s">
        <v>18</v>
      </c>
      <c r="D1" s="379"/>
      <c r="E1" s="379"/>
      <c r="F1" s="33"/>
      <c r="G1" s="95"/>
      <c r="I1" s="89"/>
      <c r="J1" s="89"/>
      <c r="K1" s="89"/>
      <c r="L1" s="89"/>
      <c r="M1" s="89"/>
      <c r="N1" s="91"/>
    </row>
    <row r="2" spans="2:14" ht="13.5" thickBot="1" x14ac:dyDescent="0.25">
      <c r="B2" s="96"/>
      <c r="C2" s="382" t="s">
        <v>97</v>
      </c>
      <c r="D2" s="382"/>
      <c r="E2" s="382"/>
      <c r="F2" s="96"/>
      <c r="G2" s="96"/>
      <c r="I2" s="89"/>
      <c r="J2" s="89"/>
      <c r="K2" s="89"/>
      <c r="L2" s="89"/>
      <c r="M2" s="89"/>
      <c r="N2" s="91"/>
    </row>
    <row r="3" spans="2:14" ht="13.5" thickBot="1" x14ac:dyDescent="0.25">
      <c r="B3" s="384" t="s">
        <v>5</v>
      </c>
      <c r="C3" s="385"/>
      <c r="D3" s="385"/>
      <c r="E3" s="97" t="s">
        <v>6</v>
      </c>
      <c r="F3" s="380" t="s">
        <v>7</v>
      </c>
      <c r="G3" s="381"/>
      <c r="I3" s="89"/>
      <c r="J3" s="89"/>
      <c r="K3" s="89"/>
      <c r="L3" s="89"/>
      <c r="M3" s="89"/>
      <c r="N3" s="91"/>
    </row>
    <row r="4" spans="2:14" ht="13.5" thickBot="1" x14ac:dyDescent="0.25">
      <c r="B4" s="386" t="s">
        <v>98</v>
      </c>
      <c r="C4" s="387"/>
      <c r="D4" s="387"/>
      <c r="E4" s="126" t="s">
        <v>13</v>
      </c>
      <c r="F4" s="60">
        <v>1.95</v>
      </c>
      <c r="G4" s="158"/>
      <c r="I4" s="89"/>
      <c r="J4" s="89"/>
      <c r="K4" s="89"/>
      <c r="L4" s="89"/>
      <c r="M4" s="89"/>
      <c r="N4" s="91"/>
    </row>
    <row r="5" spans="2:14" x14ac:dyDescent="0.2">
      <c r="B5" s="365" t="s">
        <v>20</v>
      </c>
      <c r="C5" s="366"/>
      <c r="D5" s="366"/>
      <c r="E5" s="309" t="s">
        <v>44</v>
      </c>
      <c r="F5" s="377" t="s">
        <v>99</v>
      </c>
      <c r="G5" s="378"/>
      <c r="I5" s="89"/>
      <c r="J5" s="89"/>
      <c r="K5" s="89"/>
      <c r="L5" s="89"/>
      <c r="M5" s="89"/>
      <c r="N5" s="91"/>
    </row>
    <row r="6" spans="2:14" x14ac:dyDescent="0.2">
      <c r="B6" s="365" t="s">
        <v>21</v>
      </c>
      <c r="C6" s="366"/>
      <c r="D6" s="366"/>
      <c r="E6" s="309" t="s">
        <v>19</v>
      </c>
      <c r="F6" s="363" t="s">
        <v>100</v>
      </c>
      <c r="G6" s="364"/>
      <c r="I6" s="89"/>
      <c r="J6" s="89"/>
      <c r="K6" s="89"/>
      <c r="L6" s="89"/>
      <c r="M6" s="89"/>
      <c r="N6" s="91"/>
    </row>
    <row r="7" spans="2:14" x14ac:dyDescent="0.2">
      <c r="B7" s="365" t="s">
        <v>22</v>
      </c>
      <c r="C7" s="366"/>
      <c r="D7" s="366"/>
      <c r="E7" s="309" t="s">
        <v>19</v>
      </c>
      <c r="F7" s="363" t="s">
        <v>101</v>
      </c>
      <c r="G7" s="364"/>
      <c r="I7" s="89"/>
      <c r="J7" s="89"/>
      <c r="K7" s="89"/>
      <c r="L7" s="89"/>
      <c r="M7" s="89"/>
      <c r="N7" s="91"/>
    </row>
    <row r="8" spans="2:14" x14ac:dyDescent="0.2">
      <c r="B8" s="365" t="s">
        <v>23</v>
      </c>
      <c r="C8" s="366"/>
      <c r="D8" s="366"/>
      <c r="E8" s="309" t="s">
        <v>19</v>
      </c>
      <c r="F8" s="363" t="s">
        <v>102</v>
      </c>
      <c r="G8" s="364"/>
      <c r="I8" s="89"/>
      <c r="J8" s="89"/>
      <c r="K8" s="89"/>
      <c r="L8" s="89"/>
      <c r="M8" s="89"/>
      <c r="N8" s="91"/>
    </row>
    <row r="9" spans="2:14" x14ac:dyDescent="0.2">
      <c r="B9" s="365" t="s">
        <v>24</v>
      </c>
      <c r="C9" s="366"/>
      <c r="D9" s="366"/>
      <c r="E9" s="309" t="s">
        <v>19</v>
      </c>
      <c r="F9" s="363" t="s">
        <v>103</v>
      </c>
      <c r="G9" s="364"/>
      <c r="I9" s="89"/>
      <c r="J9" s="89"/>
      <c r="K9" s="89"/>
      <c r="L9" s="89"/>
      <c r="M9" s="89"/>
      <c r="N9" s="91"/>
    </row>
    <row r="10" spans="2:14" x14ac:dyDescent="0.2">
      <c r="B10" s="365" t="s">
        <v>25</v>
      </c>
      <c r="C10" s="366"/>
      <c r="D10" s="366"/>
      <c r="E10" s="309" t="s">
        <v>19</v>
      </c>
      <c r="F10" s="363" t="s">
        <v>104</v>
      </c>
      <c r="G10" s="364"/>
      <c r="I10" s="89"/>
      <c r="J10" s="89"/>
      <c r="K10" s="89"/>
      <c r="L10" s="89"/>
      <c r="M10" s="89"/>
      <c r="N10" s="91"/>
    </row>
    <row r="11" spans="2:14" x14ac:dyDescent="0.2">
      <c r="B11" s="365" t="s">
        <v>26</v>
      </c>
      <c r="C11" s="366"/>
      <c r="D11" s="366"/>
      <c r="E11" s="309" t="s">
        <v>19</v>
      </c>
      <c r="F11" s="363" t="s">
        <v>105</v>
      </c>
      <c r="G11" s="364"/>
      <c r="I11" s="89"/>
      <c r="J11" s="89"/>
      <c r="K11" s="89"/>
      <c r="L11" s="89"/>
      <c r="M11" s="89"/>
      <c r="N11" s="91"/>
    </row>
    <row r="12" spans="2:14" x14ac:dyDescent="0.2">
      <c r="B12" s="365" t="s">
        <v>27</v>
      </c>
      <c r="C12" s="366"/>
      <c r="D12" s="366"/>
      <c r="E12" s="309" t="s">
        <v>19</v>
      </c>
      <c r="F12" s="363" t="s">
        <v>106</v>
      </c>
      <c r="G12" s="364"/>
      <c r="I12" s="89"/>
      <c r="J12" s="89"/>
      <c r="K12" s="89"/>
      <c r="L12" s="89"/>
      <c r="M12" s="89"/>
      <c r="N12" s="91"/>
    </row>
    <row r="13" spans="2:14" x14ac:dyDescent="0.2">
      <c r="B13" s="365" t="s">
        <v>28</v>
      </c>
      <c r="C13" s="366"/>
      <c r="D13" s="366"/>
      <c r="E13" s="309" t="s">
        <v>19</v>
      </c>
      <c r="F13" s="363" t="s">
        <v>107</v>
      </c>
      <c r="G13" s="364"/>
      <c r="I13" s="89"/>
      <c r="J13" s="89"/>
      <c r="K13" s="89"/>
      <c r="L13" s="89"/>
      <c r="M13" s="89"/>
      <c r="N13" s="91"/>
    </row>
    <row r="14" spans="2:14" x14ac:dyDescent="0.2">
      <c r="B14" s="365" t="s">
        <v>29</v>
      </c>
      <c r="C14" s="366"/>
      <c r="D14" s="366"/>
      <c r="E14" s="309" t="s">
        <v>19</v>
      </c>
      <c r="F14" s="363" t="s">
        <v>108</v>
      </c>
      <c r="G14" s="364"/>
      <c r="I14" s="89"/>
      <c r="J14" s="89"/>
      <c r="K14" s="89"/>
      <c r="L14" s="89"/>
      <c r="M14" s="89"/>
      <c r="N14" s="91"/>
    </row>
    <row r="15" spans="2:14" x14ac:dyDescent="0.2">
      <c r="B15" s="365" t="s">
        <v>30</v>
      </c>
      <c r="C15" s="366"/>
      <c r="D15" s="366"/>
      <c r="E15" s="309" t="s">
        <v>19</v>
      </c>
      <c r="F15" s="363" t="s">
        <v>109</v>
      </c>
      <c r="G15" s="364"/>
      <c r="I15" s="89"/>
      <c r="J15" s="89"/>
      <c r="K15" s="89"/>
      <c r="L15" s="89"/>
      <c r="M15" s="89"/>
      <c r="N15" s="91"/>
    </row>
    <row r="16" spans="2:14" x14ac:dyDescent="0.2">
      <c r="B16" s="365" t="s">
        <v>31</v>
      </c>
      <c r="C16" s="366"/>
      <c r="D16" s="366"/>
      <c r="E16" s="309" t="s">
        <v>19</v>
      </c>
      <c r="F16" s="363" t="s">
        <v>110</v>
      </c>
      <c r="G16" s="364"/>
      <c r="I16" s="89"/>
      <c r="J16" s="89"/>
      <c r="K16" s="89"/>
      <c r="L16" s="89"/>
      <c r="M16" s="89"/>
      <c r="N16" s="91"/>
    </row>
    <row r="17" spans="1:16" x14ac:dyDescent="0.2">
      <c r="B17" s="365" t="s">
        <v>32</v>
      </c>
      <c r="C17" s="366"/>
      <c r="D17" s="366"/>
      <c r="E17" s="309" t="s">
        <v>19</v>
      </c>
      <c r="F17" s="377" t="s">
        <v>111</v>
      </c>
      <c r="G17" s="378"/>
      <c r="I17" s="89"/>
      <c r="J17" s="89"/>
      <c r="K17" s="89"/>
      <c r="L17" s="89"/>
      <c r="M17" s="89"/>
      <c r="N17" s="91"/>
    </row>
    <row r="18" spans="1:16" x14ac:dyDescent="0.2">
      <c r="B18" s="365" t="s">
        <v>33</v>
      </c>
      <c r="C18" s="366"/>
      <c r="D18" s="366"/>
      <c r="E18" s="309" t="s">
        <v>19</v>
      </c>
      <c r="F18" s="363" t="s">
        <v>112</v>
      </c>
      <c r="G18" s="364"/>
      <c r="H18" s="95"/>
      <c r="I18" s="98"/>
      <c r="J18" s="98"/>
      <c r="K18" s="98"/>
      <c r="L18" s="98"/>
      <c r="M18" s="98"/>
      <c r="N18" s="99"/>
      <c r="O18" s="95"/>
      <c r="P18" s="95"/>
    </row>
    <row r="19" spans="1:16" x14ac:dyDescent="0.2">
      <c r="B19" s="365" t="s">
        <v>34</v>
      </c>
      <c r="C19" s="366"/>
      <c r="D19" s="366"/>
      <c r="E19" s="309" t="s">
        <v>19</v>
      </c>
      <c r="F19" s="363" t="s">
        <v>113</v>
      </c>
      <c r="G19" s="364"/>
      <c r="H19" s="95"/>
      <c r="I19" s="98"/>
      <c r="J19" s="98"/>
      <c r="K19" s="98"/>
      <c r="L19" s="98"/>
      <c r="M19" s="98"/>
      <c r="N19" s="99"/>
      <c r="O19" s="95"/>
      <c r="P19" s="95"/>
    </row>
    <row r="20" spans="1:16" x14ac:dyDescent="0.2">
      <c r="A20" s="96"/>
      <c r="B20" s="365" t="s">
        <v>35</v>
      </c>
      <c r="C20" s="366"/>
      <c r="D20" s="366"/>
      <c r="E20" s="309" t="s">
        <v>19</v>
      </c>
      <c r="F20" s="363" t="s">
        <v>114</v>
      </c>
      <c r="G20" s="364"/>
      <c r="H20" s="125"/>
      <c r="I20" s="89"/>
      <c r="J20" s="89"/>
      <c r="K20" s="100"/>
      <c r="L20" s="100"/>
      <c r="M20" s="100"/>
      <c r="N20" s="99"/>
      <c r="O20" s="95"/>
      <c r="P20" s="95"/>
    </row>
    <row r="21" spans="1:16" x14ac:dyDescent="0.2">
      <c r="A21" s="125"/>
      <c r="B21" s="365" t="s">
        <v>36</v>
      </c>
      <c r="C21" s="366"/>
      <c r="D21" s="366"/>
      <c r="E21" s="309" t="s">
        <v>19</v>
      </c>
      <c r="F21" s="363" t="s">
        <v>115</v>
      </c>
      <c r="G21" s="364"/>
      <c r="H21" s="125"/>
      <c r="I21" s="89"/>
      <c r="J21" s="89"/>
      <c r="K21" s="100"/>
      <c r="L21" s="100"/>
      <c r="M21" s="100"/>
      <c r="N21" s="99"/>
      <c r="O21" s="95"/>
      <c r="P21" s="95"/>
    </row>
    <row r="22" spans="1:16" x14ac:dyDescent="0.2">
      <c r="A22" s="101"/>
      <c r="B22" s="365" t="s">
        <v>37</v>
      </c>
      <c r="C22" s="366"/>
      <c r="D22" s="366"/>
      <c r="E22" s="309" t="s">
        <v>19</v>
      </c>
      <c r="F22" s="363" t="s">
        <v>116</v>
      </c>
      <c r="G22" s="364"/>
      <c r="H22" s="125"/>
      <c r="I22" s="89"/>
      <c r="J22" s="89"/>
      <c r="K22" s="100"/>
      <c r="L22" s="100"/>
      <c r="M22" s="100"/>
      <c r="N22" s="99"/>
      <c r="O22" s="95"/>
      <c r="P22" s="95"/>
    </row>
    <row r="23" spans="1:16" x14ac:dyDescent="0.2">
      <c r="A23" s="101"/>
      <c r="B23" s="365" t="s">
        <v>38</v>
      </c>
      <c r="C23" s="366"/>
      <c r="D23" s="366"/>
      <c r="E23" s="309" t="s">
        <v>19</v>
      </c>
      <c r="F23" s="363" t="s">
        <v>117</v>
      </c>
      <c r="G23" s="364"/>
      <c r="H23" s="125"/>
      <c r="I23" s="89"/>
      <c r="J23" s="89"/>
      <c r="K23" s="100"/>
      <c r="L23" s="100"/>
      <c r="M23" s="100"/>
      <c r="N23" s="99"/>
      <c r="O23" s="95"/>
      <c r="P23" s="95"/>
    </row>
    <row r="24" spans="1:16" x14ac:dyDescent="0.2">
      <c r="A24" s="102"/>
      <c r="B24" s="365" t="s">
        <v>39</v>
      </c>
      <c r="C24" s="366"/>
      <c r="D24" s="366"/>
      <c r="E24" s="309" t="s">
        <v>19</v>
      </c>
      <c r="F24" s="363" t="s">
        <v>118</v>
      </c>
      <c r="G24" s="364"/>
      <c r="H24" s="96"/>
      <c r="I24" s="89"/>
      <c r="J24" s="89"/>
      <c r="K24" s="100"/>
      <c r="L24" s="100"/>
      <c r="M24" s="100"/>
      <c r="N24" s="99"/>
      <c r="O24" s="95"/>
      <c r="P24" s="95"/>
    </row>
    <row r="25" spans="1:16" x14ac:dyDescent="0.2">
      <c r="A25" s="102"/>
      <c r="B25" s="365" t="s">
        <v>40</v>
      </c>
      <c r="C25" s="366"/>
      <c r="D25" s="366"/>
      <c r="E25" s="309" t="s">
        <v>19</v>
      </c>
      <c r="F25" s="363" t="s">
        <v>119</v>
      </c>
      <c r="G25" s="364"/>
      <c r="H25" s="96"/>
      <c r="I25" s="89"/>
      <c r="J25" s="89"/>
      <c r="K25" s="100"/>
      <c r="L25" s="100"/>
      <c r="M25" s="100"/>
      <c r="N25" s="99"/>
      <c r="O25" s="95"/>
      <c r="P25" s="95"/>
    </row>
    <row r="26" spans="1:16" x14ac:dyDescent="0.2">
      <c r="A26" s="102"/>
      <c r="B26" s="365" t="s">
        <v>41</v>
      </c>
      <c r="C26" s="366"/>
      <c r="D26" s="366"/>
      <c r="E26" s="309" t="s">
        <v>19</v>
      </c>
      <c r="F26" s="363" t="s">
        <v>120</v>
      </c>
      <c r="G26" s="364"/>
      <c r="H26" s="96"/>
      <c r="I26" s="89"/>
      <c r="J26" s="89"/>
      <c r="K26" s="100"/>
      <c r="L26" s="100"/>
      <c r="M26" s="100"/>
      <c r="N26" s="99"/>
      <c r="O26" s="95"/>
      <c r="P26" s="95"/>
    </row>
    <row r="27" spans="1:16" x14ac:dyDescent="0.2">
      <c r="A27" s="101"/>
      <c r="B27" s="365" t="s">
        <v>42</v>
      </c>
      <c r="C27" s="366"/>
      <c r="D27" s="366"/>
      <c r="E27" s="309" t="s">
        <v>19</v>
      </c>
      <c r="F27" s="363" t="s">
        <v>121</v>
      </c>
      <c r="G27" s="364"/>
      <c r="H27" s="96"/>
      <c r="I27" s="89"/>
      <c r="J27" s="89"/>
      <c r="K27" s="100"/>
      <c r="L27" s="100"/>
      <c r="M27" s="100"/>
      <c r="N27" s="99"/>
      <c r="O27" s="95"/>
      <c r="P27" s="95"/>
    </row>
    <row r="28" spans="1:16" ht="13.5" thickBot="1" x14ac:dyDescent="0.25">
      <c r="A28" s="101"/>
      <c r="B28" s="389" t="s">
        <v>43</v>
      </c>
      <c r="C28" s="390"/>
      <c r="D28" s="390"/>
      <c r="E28" s="310" t="s">
        <v>19</v>
      </c>
      <c r="F28" s="375" t="s">
        <v>122</v>
      </c>
      <c r="G28" s="376"/>
      <c r="H28" s="96"/>
      <c r="I28" s="89"/>
      <c r="J28" s="89"/>
      <c r="K28" s="100"/>
      <c r="L28" s="100"/>
      <c r="M28" s="100"/>
      <c r="N28" s="99"/>
      <c r="O28" s="95"/>
      <c r="P28" s="95"/>
    </row>
    <row r="29" spans="1:16" ht="13.5" thickBot="1" x14ac:dyDescent="0.25">
      <c r="A29" s="101"/>
      <c r="B29" s="373" t="s">
        <v>10</v>
      </c>
      <c r="C29" s="374"/>
      <c r="D29" s="374"/>
      <c r="E29" s="311" t="s">
        <v>11</v>
      </c>
      <c r="F29" s="368" t="s">
        <v>45</v>
      </c>
      <c r="G29" s="369"/>
      <c r="H29" s="96"/>
      <c r="I29" s="89"/>
      <c r="J29" s="89"/>
      <c r="K29" s="100"/>
      <c r="L29" s="100"/>
      <c r="M29" s="100"/>
      <c r="N29" s="99"/>
      <c r="O29" s="95"/>
      <c r="P29" s="95"/>
    </row>
    <row r="30" spans="1:16" x14ac:dyDescent="0.2">
      <c r="A30" s="101"/>
      <c r="B30" s="64"/>
      <c r="C30" s="64"/>
      <c r="D30" s="64"/>
      <c r="E30" s="49"/>
      <c r="F30" s="64"/>
      <c r="G30" s="64"/>
      <c r="H30" s="125"/>
      <c r="I30" s="89"/>
      <c r="J30" s="89"/>
      <c r="K30" s="100"/>
      <c r="L30" s="100"/>
      <c r="M30" s="100"/>
      <c r="N30" s="99"/>
      <c r="O30" s="95"/>
      <c r="P30" s="95"/>
    </row>
    <row r="31" spans="1:16" x14ac:dyDescent="0.2">
      <c r="A31" s="101"/>
      <c r="B31" s="345" t="s">
        <v>46</v>
      </c>
      <c r="C31" s="345"/>
      <c r="D31" s="345"/>
      <c r="E31" s="345"/>
      <c r="F31" s="345"/>
      <c r="G31" s="345"/>
      <c r="H31" s="125"/>
      <c r="I31" s="89"/>
      <c r="J31" s="89"/>
      <c r="K31" s="100"/>
      <c r="L31" s="100"/>
      <c r="M31" s="100"/>
      <c r="N31" s="99"/>
      <c r="O31" s="95"/>
      <c r="P31" s="95"/>
    </row>
    <row r="32" spans="1:16" x14ac:dyDescent="0.2">
      <c r="A32" s="101"/>
      <c r="B32" s="345" t="s">
        <v>47</v>
      </c>
      <c r="C32" s="345"/>
      <c r="D32" s="345"/>
      <c r="E32" s="345"/>
      <c r="F32" s="345"/>
      <c r="G32" s="345"/>
      <c r="H32" s="125"/>
      <c r="I32" s="89"/>
      <c r="J32" s="89"/>
      <c r="K32" s="100"/>
      <c r="L32" s="100"/>
      <c r="M32" s="100"/>
      <c r="N32" s="99"/>
      <c r="O32" s="95"/>
      <c r="P32" s="95"/>
    </row>
    <row r="33" spans="1:16" x14ac:dyDescent="0.2">
      <c r="A33" s="101"/>
      <c r="B33" s="103"/>
      <c r="C33" s="103"/>
      <c r="D33" s="103"/>
      <c r="E33" s="103"/>
      <c r="F33" s="157"/>
      <c r="G33" s="96"/>
      <c r="H33" s="96"/>
      <c r="I33" s="89"/>
      <c r="J33" s="89"/>
      <c r="K33" s="100"/>
      <c r="L33" s="100"/>
      <c r="M33" s="100"/>
      <c r="N33" s="99"/>
      <c r="O33" s="95"/>
      <c r="P33" s="95"/>
    </row>
    <row r="34" spans="1:16" x14ac:dyDescent="0.2">
      <c r="A34" s="96"/>
      <c r="B34" s="96"/>
      <c r="C34" s="96"/>
      <c r="D34" s="96"/>
      <c r="E34" s="104"/>
      <c r="F34" s="157"/>
      <c r="G34" s="96"/>
      <c r="H34" s="96"/>
      <c r="I34" s="100"/>
      <c r="J34" s="100"/>
      <c r="K34" s="100"/>
      <c r="L34" s="100"/>
      <c r="M34" s="100"/>
      <c r="N34" s="99"/>
      <c r="O34" s="95"/>
      <c r="P34" s="95"/>
    </row>
    <row r="35" spans="1:16" ht="18" x14ac:dyDescent="0.25">
      <c r="A35" s="383"/>
      <c r="B35" s="383"/>
      <c r="C35" s="105"/>
      <c r="D35" s="106"/>
      <c r="E35" s="107"/>
      <c r="F35" s="348" t="s">
        <v>126</v>
      </c>
      <c r="G35" s="388"/>
      <c r="I35" s="89"/>
      <c r="J35" s="89"/>
      <c r="K35" s="108"/>
      <c r="L35" s="90"/>
      <c r="M35" s="90"/>
      <c r="N35" s="109"/>
    </row>
    <row r="36" spans="1:16" x14ac:dyDescent="0.2">
      <c r="A36" s="110"/>
      <c r="B36" s="101"/>
      <c r="C36" s="102"/>
      <c r="D36" s="111"/>
      <c r="E36" s="112"/>
      <c r="F36" s="111"/>
      <c r="G36" s="101"/>
      <c r="I36" s="89"/>
      <c r="J36" s="89"/>
      <c r="K36" s="113"/>
      <c r="L36" s="371"/>
      <c r="M36" s="370"/>
      <c r="N36" s="99"/>
      <c r="O36" s="95"/>
      <c r="P36" s="95"/>
    </row>
    <row r="37" spans="1:16" x14ac:dyDescent="0.2">
      <c r="A37" s="114"/>
      <c r="B37" s="102"/>
      <c r="C37" s="102"/>
      <c r="E37" s="102"/>
      <c r="F37" s="115"/>
      <c r="G37" s="115"/>
      <c r="I37" s="89"/>
      <c r="J37" s="89"/>
      <c r="K37" s="108"/>
      <c r="L37" s="372"/>
      <c r="M37" s="372"/>
      <c r="N37" s="91"/>
    </row>
    <row r="38" spans="1:16" ht="13.5" thickBot="1" x14ac:dyDescent="0.25">
      <c r="A38" s="154"/>
      <c r="B38" s="102"/>
      <c r="C38" s="101"/>
      <c r="D38" s="101"/>
      <c r="E38" s="102"/>
      <c r="F38" s="101"/>
      <c r="G38" s="101"/>
      <c r="I38" s="89"/>
      <c r="J38" s="89"/>
      <c r="K38" s="108"/>
      <c r="L38" s="370"/>
      <c r="M38" s="370"/>
      <c r="N38" s="91"/>
    </row>
    <row r="39" spans="1:16" x14ac:dyDescent="0.2">
      <c r="A39" s="247"/>
      <c r="B39" s="248"/>
      <c r="C39" s="352" t="s">
        <v>97</v>
      </c>
      <c r="D39" s="351"/>
      <c r="E39" s="353"/>
      <c r="F39" s="312"/>
      <c r="G39" s="312"/>
      <c r="H39" s="78"/>
      <c r="I39" s="249"/>
      <c r="J39" s="250"/>
      <c r="K39" s="354" t="s">
        <v>97</v>
      </c>
      <c r="L39" s="354"/>
      <c r="M39" s="356"/>
      <c r="N39" s="91"/>
    </row>
    <row r="40" spans="1:16" x14ac:dyDescent="0.2">
      <c r="A40" s="251"/>
      <c r="B40" s="252"/>
      <c r="C40" s="251"/>
      <c r="D40" s="253"/>
      <c r="E40" s="313"/>
      <c r="F40" s="314"/>
      <c r="G40" s="314"/>
      <c r="H40" s="78"/>
      <c r="I40" s="254"/>
      <c r="J40" s="255"/>
      <c r="K40" s="256"/>
      <c r="L40" s="256"/>
      <c r="M40" s="315"/>
      <c r="N40" s="91"/>
    </row>
    <row r="41" spans="1:16" ht="13.5" thickBot="1" x14ac:dyDescent="0.25">
      <c r="A41" s="257" t="s">
        <v>57</v>
      </c>
      <c r="B41" s="258" t="s">
        <v>0</v>
      </c>
      <c r="C41" s="257" t="s">
        <v>1</v>
      </c>
      <c r="D41" s="260" t="s">
        <v>2</v>
      </c>
      <c r="E41" s="258" t="s">
        <v>123</v>
      </c>
      <c r="F41" s="316"/>
      <c r="G41" s="317"/>
      <c r="H41" s="78"/>
      <c r="I41" s="263" t="s">
        <v>57</v>
      </c>
      <c r="J41" s="264" t="s">
        <v>0</v>
      </c>
      <c r="K41" s="265" t="s">
        <v>1</v>
      </c>
      <c r="L41" s="266" t="s">
        <v>2</v>
      </c>
      <c r="M41" s="264" t="s">
        <v>123</v>
      </c>
      <c r="N41" s="91"/>
    </row>
    <row r="42" spans="1:16" x14ac:dyDescent="0.2">
      <c r="A42" s="269" t="s">
        <v>58</v>
      </c>
      <c r="B42" s="270" t="str">
        <f>Walk!$B$42</f>
        <v>L Med/Lat</v>
      </c>
      <c r="C42" s="164">
        <f t="shared" ref="C42:D47" si="0">A153</f>
        <v>0</v>
      </c>
      <c r="D42" s="163">
        <f t="shared" si="0"/>
        <v>0</v>
      </c>
      <c r="E42" s="217">
        <f>B150</f>
        <v>30</v>
      </c>
      <c r="F42" s="316"/>
      <c r="G42" s="317"/>
      <c r="H42" s="78"/>
      <c r="I42" s="271" t="s">
        <v>74</v>
      </c>
      <c r="J42" s="272" t="str">
        <f>Walk!$J$42</f>
        <v>R Int/Lat</v>
      </c>
      <c r="K42" s="189">
        <f>A442</f>
        <v>0</v>
      </c>
      <c r="L42" s="190">
        <f>B442</f>
        <v>0</v>
      </c>
      <c r="M42" s="318">
        <f>B439</f>
        <v>30</v>
      </c>
      <c r="N42" s="91"/>
    </row>
    <row r="43" spans="1:16" x14ac:dyDescent="0.2">
      <c r="A43" s="269"/>
      <c r="B43" s="274"/>
      <c r="C43" s="169">
        <f t="shared" si="0"/>
        <v>5</v>
      </c>
      <c r="D43" s="168">
        <f t="shared" si="0"/>
        <v>0</v>
      </c>
      <c r="E43" s="274"/>
      <c r="F43" s="316"/>
      <c r="G43" s="317"/>
      <c r="H43" s="78"/>
      <c r="I43" s="271"/>
      <c r="J43" s="276"/>
      <c r="K43" s="189">
        <f t="shared" ref="K43:L49" si="1">A443</f>
        <v>5</v>
      </c>
      <c r="L43" s="190">
        <f t="shared" si="1"/>
        <v>0</v>
      </c>
      <c r="M43" s="305"/>
      <c r="N43" s="91"/>
    </row>
    <row r="44" spans="1:16" x14ac:dyDescent="0.2">
      <c r="A44" s="269"/>
      <c r="B44" s="274"/>
      <c r="C44" s="169">
        <f t="shared" si="0"/>
        <v>10.26</v>
      </c>
      <c r="D44" s="168">
        <f t="shared" si="0"/>
        <v>0</v>
      </c>
      <c r="E44" s="274"/>
      <c r="F44" s="316"/>
      <c r="G44" s="317"/>
      <c r="H44" s="78"/>
      <c r="I44" s="271"/>
      <c r="J44" s="276"/>
      <c r="K44" s="189">
        <f t="shared" si="1"/>
        <v>10.256410000000001</v>
      </c>
      <c r="L44" s="190">
        <f t="shared" si="1"/>
        <v>0</v>
      </c>
      <c r="M44" s="305"/>
      <c r="N44" s="91"/>
    </row>
    <row r="45" spans="1:16" x14ac:dyDescent="0.2">
      <c r="A45" s="269"/>
      <c r="B45" s="274"/>
      <c r="C45" s="169">
        <f t="shared" si="0"/>
        <v>12.82</v>
      </c>
      <c r="D45" s="168">
        <f t="shared" si="0"/>
        <v>119</v>
      </c>
      <c r="E45" s="274"/>
      <c r="F45" s="316"/>
      <c r="G45" s="317"/>
      <c r="H45" s="78"/>
      <c r="I45" s="271"/>
      <c r="J45" s="276"/>
      <c r="K45" s="189">
        <f t="shared" si="1"/>
        <v>12.820513</v>
      </c>
      <c r="L45" s="190">
        <f t="shared" si="1"/>
        <v>150</v>
      </c>
      <c r="M45" s="305"/>
      <c r="N45" s="91"/>
    </row>
    <row r="46" spans="1:16" x14ac:dyDescent="0.2">
      <c r="A46" s="269"/>
      <c r="B46" s="274"/>
      <c r="C46" s="169">
        <f t="shared" si="0"/>
        <v>56</v>
      </c>
      <c r="D46" s="168">
        <f t="shared" si="0"/>
        <v>119</v>
      </c>
      <c r="E46" s="274"/>
      <c r="F46" s="316"/>
      <c r="G46" s="367"/>
      <c r="H46" s="367"/>
      <c r="I46" s="271"/>
      <c r="J46" s="276"/>
      <c r="K46" s="189">
        <f t="shared" si="1"/>
        <v>56</v>
      </c>
      <c r="L46" s="190">
        <f t="shared" si="1"/>
        <v>150</v>
      </c>
      <c r="M46" s="305"/>
      <c r="N46" s="91"/>
    </row>
    <row r="47" spans="1:16" x14ac:dyDescent="0.2">
      <c r="A47" s="269"/>
      <c r="B47" s="274"/>
      <c r="C47" s="169">
        <f t="shared" si="0"/>
        <v>78</v>
      </c>
      <c r="D47" s="168">
        <f t="shared" si="0"/>
        <v>119</v>
      </c>
      <c r="E47" s="274"/>
      <c r="F47" s="316"/>
      <c r="G47" s="317"/>
      <c r="H47" s="78"/>
      <c r="I47" s="271"/>
      <c r="J47" s="276"/>
      <c r="K47" s="189">
        <f t="shared" si="1"/>
        <v>78</v>
      </c>
      <c r="L47" s="190">
        <f t="shared" si="1"/>
        <v>150</v>
      </c>
      <c r="M47" s="305"/>
      <c r="N47" s="91"/>
    </row>
    <row r="48" spans="1:16" x14ac:dyDescent="0.2">
      <c r="A48" s="269"/>
      <c r="B48" s="274"/>
      <c r="C48" s="169">
        <f>A159</f>
        <v>90</v>
      </c>
      <c r="D48" s="168">
        <f>B159</f>
        <v>119</v>
      </c>
      <c r="E48" s="274"/>
      <c r="F48" s="316"/>
      <c r="G48" s="317"/>
      <c r="H48" s="78"/>
      <c r="I48" s="271"/>
      <c r="J48" s="276"/>
      <c r="K48" s="189">
        <f t="shared" si="1"/>
        <v>95</v>
      </c>
      <c r="L48" s="190">
        <f t="shared" si="1"/>
        <v>150</v>
      </c>
      <c r="M48" s="305"/>
      <c r="N48" s="91"/>
    </row>
    <row r="49" spans="1:14" ht="13.5" thickBot="1" x14ac:dyDescent="0.25">
      <c r="A49" s="279"/>
      <c r="B49" s="280"/>
      <c r="C49" s="173">
        <f>A160</f>
        <v>100</v>
      </c>
      <c r="D49" s="172">
        <f>B160</f>
        <v>119</v>
      </c>
      <c r="E49" s="280"/>
      <c r="F49" s="316"/>
      <c r="G49" s="317"/>
      <c r="H49" s="78"/>
      <c r="I49" s="282"/>
      <c r="J49" s="283"/>
      <c r="K49" s="193">
        <f t="shared" si="1"/>
        <v>100</v>
      </c>
      <c r="L49" s="194">
        <f t="shared" si="1"/>
        <v>150</v>
      </c>
      <c r="M49" s="306"/>
      <c r="N49" s="91"/>
    </row>
    <row r="50" spans="1:14" x14ac:dyDescent="0.2">
      <c r="A50" s="285" t="s">
        <v>59</v>
      </c>
      <c r="B50" s="270" t="str">
        <f>Walk!$B$50</f>
        <v>L Grac</v>
      </c>
      <c r="C50" s="164">
        <f t="shared" ref="C50:D55" si="2">A177</f>
        <v>0</v>
      </c>
      <c r="D50" s="163">
        <f t="shared" si="2"/>
        <v>0</v>
      </c>
      <c r="E50" s="218">
        <f>B174</f>
        <v>60</v>
      </c>
      <c r="F50" s="316"/>
      <c r="G50" s="317"/>
      <c r="H50" s="78"/>
      <c r="I50" s="288" t="s">
        <v>75</v>
      </c>
      <c r="J50" s="272" t="str">
        <f>Walk!$J$50</f>
        <v>R Tensr</v>
      </c>
      <c r="K50" s="197">
        <f>A466</f>
        <v>0</v>
      </c>
      <c r="L50" s="198">
        <f>B466</f>
        <v>0</v>
      </c>
      <c r="M50" s="220">
        <f>B463</f>
        <v>60</v>
      </c>
      <c r="N50" s="91"/>
    </row>
    <row r="51" spans="1:14" x14ac:dyDescent="0.2">
      <c r="A51" s="269"/>
      <c r="B51" s="274"/>
      <c r="C51" s="169">
        <f t="shared" si="2"/>
        <v>10</v>
      </c>
      <c r="D51" s="168">
        <f t="shared" si="2"/>
        <v>0</v>
      </c>
      <c r="E51" s="274"/>
      <c r="F51" s="316"/>
      <c r="G51" s="317"/>
      <c r="H51" s="78"/>
      <c r="I51" s="271"/>
      <c r="J51" s="276"/>
      <c r="K51" s="189">
        <f t="shared" ref="K51:L57" si="3">A467</f>
        <v>10</v>
      </c>
      <c r="L51" s="190">
        <f t="shared" si="3"/>
        <v>0</v>
      </c>
      <c r="M51" s="276"/>
      <c r="N51" s="91"/>
    </row>
    <row r="52" spans="1:14" x14ac:dyDescent="0.2">
      <c r="A52" s="269"/>
      <c r="B52" s="274"/>
      <c r="C52" s="169">
        <f t="shared" si="2"/>
        <v>50</v>
      </c>
      <c r="D52" s="168">
        <f t="shared" si="2"/>
        <v>0</v>
      </c>
      <c r="E52" s="274"/>
      <c r="F52" s="316"/>
      <c r="G52" s="317"/>
      <c r="H52" s="78"/>
      <c r="I52" s="271"/>
      <c r="J52" s="276"/>
      <c r="K52" s="189">
        <f t="shared" si="3"/>
        <v>50</v>
      </c>
      <c r="L52" s="190">
        <f t="shared" si="3"/>
        <v>0</v>
      </c>
      <c r="M52" s="276"/>
      <c r="N52" s="91"/>
    </row>
    <row r="53" spans="1:14" x14ac:dyDescent="0.2">
      <c r="A53" s="269"/>
      <c r="B53" s="274"/>
      <c r="C53" s="169">
        <f t="shared" si="2"/>
        <v>75</v>
      </c>
      <c r="D53" s="168">
        <f t="shared" si="2"/>
        <v>0</v>
      </c>
      <c r="E53" s="274"/>
      <c r="F53" s="316"/>
      <c r="G53" s="317"/>
      <c r="H53" s="78"/>
      <c r="I53" s="271"/>
      <c r="J53" s="276"/>
      <c r="K53" s="189">
        <f t="shared" si="3"/>
        <v>75</v>
      </c>
      <c r="L53" s="190">
        <f t="shared" si="3"/>
        <v>0</v>
      </c>
      <c r="M53" s="276"/>
      <c r="N53" s="91"/>
    </row>
    <row r="54" spans="1:14" x14ac:dyDescent="0.2">
      <c r="A54" s="269"/>
      <c r="B54" s="274"/>
      <c r="C54" s="169">
        <f t="shared" si="2"/>
        <v>88</v>
      </c>
      <c r="D54" s="168">
        <f t="shared" si="2"/>
        <v>0</v>
      </c>
      <c r="E54" s="274"/>
      <c r="F54" s="316"/>
      <c r="G54" s="317"/>
      <c r="H54" s="78"/>
      <c r="I54" s="271"/>
      <c r="J54" s="276"/>
      <c r="K54" s="189">
        <f t="shared" si="3"/>
        <v>88</v>
      </c>
      <c r="L54" s="190">
        <f t="shared" si="3"/>
        <v>0</v>
      </c>
      <c r="M54" s="276"/>
      <c r="N54" s="91"/>
    </row>
    <row r="55" spans="1:14" x14ac:dyDescent="0.2">
      <c r="A55" s="269"/>
      <c r="B55" s="274"/>
      <c r="C55" s="169">
        <f t="shared" si="2"/>
        <v>94</v>
      </c>
      <c r="D55" s="168">
        <f t="shared" si="2"/>
        <v>0</v>
      </c>
      <c r="E55" s="274"/>
      <c r="F55" s="316"/>
      <c r="G55" s="317"/>
      <c r="H55" s="78"/>
      <c r="I55" s="271"/>
      <c r="J55" s="276"/>
      <c r="K55" s="189">
        <f t="shared" si="3"/>
        <v>94</v>
      </c>
      <c r="L55" s="190">
        <f t="shared" si="3"/>
        <v>0</v>
      </c>
      <c r="M55" s="276"/>
      <c r="N55" s="91"/>
    </row>
    <row r="56" spans="1:14" x14ac:dyDescent="0.2">
      <c r="A56" s="269"/>
      <c r="B56" s="274"/>
      <c r="C56" s="169">
        <f>A183</f>
        <v>95</v>
      </c>
      <c r="D56" s="168">
        <f>B183</f>
        <v>0</v>
      </c>
      <c r="E56" s="274"/>
      <c r="F56" s="316"/>
      <c r="G56" s="317"/>
      <c r="H56" s="78"/>
      <c r="I56" s="271"/>
      <c r="J56" s="276"/>
      <c r="K56" s="189">
        <f t="shared" si="3"/>
        <v>95</v>
      </c>
      <c r="L56" s="190">
        <f t="shared" si="3"/>
        <v>0</v>
      </c>
      <c r="M56" s="276"/>
      <c r="N56" s="91"/>
    </row>
    <row r="57" spans="1:14" ht="13.5" thickBot="1" x14ac:dyDescent="0.25">
      <c r="A57" s="279"/>
      <c r="B57" s="280"/>
      <c r="C57" s="173">
        <f>A184</f>
        <v>100</v>
      </c>
      <c r="D57" s="172">
        <f>B184</f>
        <v>0</v>
      </c>
      <c r="E57" s="280"/>
      <c r="F57" s="316"/>
      <c r="G57" s="317"/>
      <c r="H57" s="78"/>
      <c r="I57" s="282"/>
      <c r="J57" s="283"/>
      <c r="K57" s="193">
        <f t="shared" si="3"/>
        <v>100</v>
      </c>
      <c r="L57" s="194">
        <f t="shared" si="3"/>
        <v>0</v>
      </c>
      <c r="M57" s="283"/>
      <c r="N57" s="91"/>
    </row>
    <row r="58" spans="1:14" x14ac:dyDescent="0.2">
      <c r="A58" s="285" t="s">
        <v>60</v>
      </c>
      <c r="B58" s="286" t="str">
        <f>Walk!$B$58</f>
        <v>L Quad</v>
      </c>
      <c r="C58" s="176">
        <f t="shared" ref="C58:D63" si="4">A201</f>
        <v>0</v>
      </c>
      <c r="D58" s="181">
        <f t="shared" si="4"/>
        <v>0</v>
      </c>
      <c r="E58" s="218">
        <f>B198</f>
        <v>30</v>
      </c>
      <c r="F58" s="316"/>
      <c r="G58" s="317"/>
      <c r="H58" s="78"/>
      <c r="I58" s="288" t="s">
        <v>76</v>
      </c>
      <c r="J58" s="272" t="str">
        <f>Walk!$J$58</f>
        <v>R Gl Max</v>
      </c>
      <c r="K58" s="197">
        <f>A490</f>
        <v>0</v>
      </c>
      <c r="L58" s="198">
        <f>B490</f>
        <v>0</v>
      </c>
      <c r="M58" s="220">
        <f>B487</f>
        <v>60</v>
      </c>
      <c r="N58" s="91"/>
    </row>
    <row r="59" spans="1:14" x14ac:dyDescent="0.2">
      <c r="A59" s="269"/>
      <c r="B59" s="274"/>
      <c r="C59" s="169">
        <f t="shared" si="4"/>
        <v>5</v>
      </c>
      <c r="D59" s="168">
        <f t="shared" si="4"/>
        <v>0</v>
      </c>
      <c r="E59" s="274"/>
      <c r="F59" s="316"/>
      <c r="G59" s="317"/>
      <c r="H59" s="78"/>
      <c r="I59" s="271"/>
      <c r="J59" s="276"/>
      <c r="K59" s="189">
        <f t="shared" ref="K59:L65" si="5">A491</f>
        <v>10.26</v>
      </c>
      <c r="L59" s="190">
        <f t="shared" si="5"/>
        <v>0</v>
      </c>
      <c r="M59" s="276"/>
      <c r="N59" s="91"/>
    </row>
    <row r="60" spans="1:14" x14ac:dyDescent="0.2">
      <c r="A60" s="269"/>
      <c r="B60" s="274"/>
      <c r="C60" s="169">
        <f t="shared" si="4"/>
        <v>10.256410000000001</v>
      </c>
      <c r="D60" s="168">
        <f t="shared" si="4"/>
        <v>0</v>
      </c>
      <c r="E60" s="274"/>
      <c r="F60" s="316"/>
      <c r="G60" s="317"/>
      <c r="H60" s="78"/>
      <c r="I60" s="271"/>
      <c r="J60" s="276"/>
      <c r="K60" s="189">
        <f t="shared" si="5"/>
        <v>12.82</v>
      </c>
      <c r="L60" s="190">
        <f t="shared" si="5"/>
        <v>150</v>
      </c>
      <c r="M60" s="276"/>
      <c r="N60" s="91"/>
    </row>
    <row r="61" spans="1:14" x14ac:dyDescent="0.2">
      <c r="A61" s="269"/>
      <c r="B61" s="274"/>
      <c r="C61" s="169">
        <f t="shared" si="4"/>
        <v>12.820513</v>
      </c>
      <c r="D61" s="168">
        <f t="shared" si="4"/>
        <v>60</v>
      </c>
      <c r="E61" s="274"/>
      <c r="F61" s="316"/>
      <c r="G61" s="317"/>
      <c r="H61" s="78"/>
      <c r="I61" s="271"/>
      <c r="J61" s="276"/>
      <c r="K61" s="189">
        <f t="shared" si="5"/>
        <v>56</v>
      </c>
      <c r="L61" s="190">
        <f t="shared" si="5"/>
        <v>150</v>
      </c>
      <c r="M61" s="276"/>
      <c r="N61" s="91"/>
    </row>
    <row r="62" spans="1:14" x14ac:dyDescent="0.2">
      <c r="A62" s="269"/>
      <c r="B62" s="274"/>
      <c r="C62" s="169">
        <f t="shared" si="4"/>
        <v>89.743589999999998</v>
      </c>
      <c r="D62" s="168">
        <f t="shared" si="4"/>
        <v>60</v>
      </c>
      <c r="E62" s="274"/>
      <c r="F62" s="316"/>
      <c r="G62" s="317"/>
      <c r="H62" s="78"/>
      <c r="I62" s="271"/>
      <c r="J62" s="276"/>
      <c r="K62" s="189">
        <f t="shared" si="5"/>
        <v>78</v>
      </c>
      <c r="L62" s="190">
        <f t="shared" si="5"/>
        <v>150</v>
      </c>
      <c r="M62" s="276"/>
      <c r="N62" s="91"/>
    </row>
    <row r="63" spans="1:14" x14ac:dyDescent="0.2">
      <c r="A63" s="269"/>
      <c r="B63" s="274"/>
      <c r="C63" s="169">
        <f t="shared" si="4"/>
        <v>95</v>
      </c>
      <c r="D63" s="168">
        <f t="shared" si="4"/>
        <v>43</v>
      </c>
      <c r="E63" s="274"/>
      <c r="F63" s="316"/>
      <c r="G63" s="317"/>
      <c r="H63" s="78"/>
      <c r="I63" s="271"/>
      <c r="J63" s="276"/>
      <c r="K63" s="189">
        <f t="shared" si="5"/>
        <v>89</v>
      </c>
      <c r="L63" s="190">
        <f t="shared" si="5"/>
        <v>150</v>
      </c>
      <c r="M63" s="276"/>
      <c r="N63" s="91"/>
    </row>
    <row r="64" spans="1:14" x14ac:dyDescent="0.2">
      <c r="A64" s="269"/>
      <c r="B64" s="274"/>
      <c r="C64" s="169">
        <f>A207</f>
        <v>98</v>
      </c>
      <c r="D64" s="168">
        <f>B207</f>
        <v>36</v>
      </c>
      <c r="E64" s="274"/>
      <c r="F64" s="316"/>
      <c r="G64" s="317"/>
      <c r="H64" s="78"/>
      <c r="I64" s="271"/>
      <c r="J64" s="276"/>
      <c r="K64" s="189">
        <f t="shared" si="5"/>
        <v>95</v>
      </c>
      <c r="L64" s="190">
        <f t="shared" si="5"/>
        <v>150</v>
      </c>
      <c r="M64" s="276"/>
      <c r="N64" s="91"/>
    </row>
    <row r="65" spans="1:14" ht="13.5" thickBot="1" x14ac:dyDescent="0.25">
      <c r="A65" s="279"/>
      <c r="B65" s="280"/>
      <c r="C65" s="173">
        <f>A208</f>
        <v>100</v>
      </c>
      <c r="D65" s="172">
        <f>B208</f>
        <v>25</v>
      </c>
      <c r="E65" s="280"/>
      <c r="F65" s="316"/>
      <c r="G65" s="317"/>
      <c r="H65" s="78"/>
      <c r="I65" s="282"/>
      <c r="J65" s="283"/>
      <c r="K65" s="193">
        <f t="shared" si="5"/>
        <v>100</v>
      </c>
      <c r="L65" s="194">
        <f t="shared" si="5"/>
        <v>150</v>
      </c>
      <c r="M65" s="283"/>
      <c r="N65" s="91"/>
    </row>
    <row r="66" spans="1:14" x14ac:dyDescent="0.2">
      <c r="A66" s="269" t="s">
        <v>61</v>
      </c>
      <c r="B66" s="270" t="str">
        <f>Walk!$B$66</f>
        <v>L P Add</v>
      </c>
      <c r="C66" s="164">
        <f t="shared" ref="C66:D71" si="6">A225</f>
        <v>0</v>
      </c>
      <c r="D66" s="163">
        <f t="shared" si="6"/>
        <v>0</v>
      </c>
      <c r="E66" s="319">
        <f>B222</f>
        <v>60</v>
      </c>
      <c r="F66" s="316"/>
      <c r="G66" s="317"/>
      <c r="H66" s="78"/>
      <c r="I66" s="288" t="s">
        <v>77</v>
      </c>
      <c r="J66" s="272" t="str">
        <f>Walk!$J$66</f>
        <v>R P Add</v>
      </c>
      <c r="K66" s="197">
        <f>A514</f>
        <v>0</v>
      </c>
      <c r="L66" s="198">
        <f>B514</f>
        <v>0</v>
      </c>
      <c r="M66" s="304">
        <f>B511</f>
        <v>60</v>
      </c>
      <c r="N66" s="91"/>
    </row>
    <row r="67" spans="1:14" x14ac:dyDescent="0.2">
      <c r="A67" s="269"/>
      <c r="B67" s="274"/>
      <c r="C67" s="169">
        <f t="shared" si="6"/>
        <v>10.26</v>
      </c>
      <c r="D67" s="168">
        <f t="shared" si="6"/>
        <v>0</v>
      </c>
      <c r="E67" s="320"/>
      <c r="F67" s="316"/>
      <c r="G67" s="317"/>
      <c r="H67" s="78"/>
      <c r="I67" s="271"/>
      <c r="J67" s="276"/>
      <c r="K67" s="189">
        <f t="shared" ref="K67:L73" si="7">A515</f>
        <v>10.26</v>
      </c>
      <c r="L67" s="190">
        <f t="shared" si="7"/>
        <v>0</v>
      </c>
      <c r="M67" s="305"/>
      <c r="N67" s="91"/>
    </row>
    <row r="68" spans="1:14" x14ac:dyDescent="0.2">
      <c r="A68" s="269"/>
      <c r="B68" s="274"/>
      <c r="C68" s="169">
        <f t="shared" si="6"/>
        <v>12.82</v>
      </c>
      <c r="D68" s="168">
        <f t="shared" si="6"/>
        <v>150</v>
      </c>
      <c r="E68" s="320"/>
      <c r="F68" s="316"/>
      <c r="G68" s="317"/>
      <c r="H68" s="78"/>
      <c r="I68" s="271"/>
      <c r="J68" s="276"/>
      <c r="K68" s="189">
        <f t="shared" si="7"/>
        <v>12.82</v>
      </c>
      <c r="L68" s="190">
        <f t="shared" si="7"/>
        <v>150</v>
      </c>
      <c r="M68" s="305"/>
      <c r="N68" s="91"/>
    </row>
    <row r="69" spans="1:14" x14ac:dyDescent="0.2">
      <c r="A69" s="269"/>
      <c r="B69" s="274"/>
      <c r="C69" s="169">
        <f t="shared" si="6"/>
        <v>56</v>
      </c>
      <c r="D69" s="168">
        <f t="shared" si="6"/>
        <v>150</v>
      </c>
      <c r="E69" s="320"/>
      <c r="F69" s="316"/>
      <c r="G69" s="317"/>
      <c r="H69" s="78"/>
      <c r="I69" s="271"/>
      <c r="J69" s="276"/>
      <c r="K69" s="189">
        <f t="shared" si="7"/>
        <v>56</v>
      </c>
      <c r="L69" s="190">
        <f t="shared" si="7"/>
        <v>150</v>
      </c>
      <c r="M69" s="305"/>
      <c r="N69" s="91"/>
    </row>
    <row r="70" spans="1:14" x14ac:dyDescent="0.2">
      <c r="A70" s="269"/>
      <c r="B70" s="274"/>
      <c r="C70" s="169">
        <f t="shared" si="6"/>
        <v>78</v>
      </c>
      <c r="D70" s="168">
        <f t="shared" si="6"/>
        <v>150</v>
      </c>
      <c r="E70" s="320"/>
      <c r="F70" s="316"/>
      <c r="G70" s="317"/>
      <c r="H70" s="78"/>
      <c r="I70" s="271"/>
      <c r="J70" s="276"/>
      <c r="K70" s="189">
        <f t="shared" si="7"/>
        <v>78</v>
      </c>
      <c r="L70" s="190">
        <f t="shared" si="7"/>
        <v>150</v>
      </c>
      <c r="M70" s="305"/>
      <c r="N70" s="91"/>
    </row>
    <row r="71" spans="1:14" x14ac:dyDescent="0.2">
      <c r="A71" s="269"/>
      <c r="B71" s="274"/>
      <c r="C71" s="169">
        <f t="shared" si="6"/>
        <v>89</v>
      </c>
      <c r="D71" s="168">
        <f t="shared" si="6"/>
        <v>150</v>
      </c>
      <c r="E71" s="320"/>
      <c r="F71" s="316"/>
      <c r="G71" s="317"/>
      <c r="H71" s="78"/>
      <c r="I71" s="271"/>
      <c r="J71" s="276"/>
      <c r="K71" s="189">
        <f t="shared" si="7"/>
        <v>89</v>
      </c>
      <c r="L71" s="190">
        <f t="shared" si="7"/>
        <v>150</v>
      </c>
      <c r="M71" s="305"/>
      <c r="N71" s="91"/>
    </row>
    <row r="72" spans="1:14" x14ac:dyDescent="0.2">
      <c r="A72" s="269"/>
      <c r="B72" s="274"/>
      <c r="C72" s="169">
        <f>A231</f>
        <v>95</v>
      </c>
      <c r="D72" s="168">
        <f>B231</f>
        <v>150</v>
      </c>
      <c r="E72" s="320"/>
      <c r="F72" s="316"/>
      <c r="G72" s="317"/>
      <c r="H72" s="78"/>
      <c r="I72" s="271"/>
      <c r="J72" s="276"/>
      <c r="K72" s="189">
        <f t="shared" si="7"/>
        <v>95</v>
      </c>
      <c r="L72" s="190">
        <f t="shared" si="7"/>
        <v>150</v>
      </c>
      <c r="M72" s="305"/>
      <c r="N72" s="91"/>
    </row>
    <row r="73" spans="1:14" ht="13.5" thickBot="1" x14ac:dyDescent="0.25">
      <c r="A73" s="279"/>
      <c r="B73" s="280"/>
      <c r="C73" s="173">
        <f>A232</f>
        <v>100</v>
      </c>
      <c r="D73" s="172">
        <f>B232</f>
        <v>150</v>
      </c>
      <c r="E73" s="321"/>
      <c r="F73" s="316"/>
      <c r="G73" s="317"/>
      <c r="H73" s="78"/>
      <c r="I73" s="282"/>
      <c r="J73" s="283"/>
      <c r="K73" s="193">
        <f t="shared" si="7"/>
        <v>100</v>
      </c>
      <c r="L73" s="194">
        <f t="shared" si="7"/>
        <v>150</v>
      </c>
      <c r="M73" s="306"/>
      <c r="N73" s="91"/>
    </row>
    <row r="74" spans="1:14" x14ac:dyDescent="0.2">
      <c r="A74" s="285" t="s">
        <v>62</v>
      </c>
      <c r="B74" s="270" t="str">
        <f>Walk!$B$74</f>
        <v>L Gl Max</v>
      </c>
      <c r="C74" s="164">
        <f t="shared" ref="C74:D79" si="8">A249</f>
        <v>0</v>
      </c>
      <c r="D74" s="163">
        <f t="shared" si="8"/>
        <v>0</v>
      </c>
      <c r="E74" s="217">
        <f>B246</f>
        <v>60</v>
      </c>
      <c r="F74" s="316"/>
      <c r="G74" s="317"/>
      <c r="H74" s="78"/>
      <c r="I74" s="288" t="s">
        <v>78</v>
      </c>
      <c r="J74" s="272" t="str">
        <f>Walk!$J$74</f>
        <v>R Quad</v>
      </c>
      <c r="K74" s="197">
        <f>A538</f>
        <v>0</v>
      </c>
      <c r="L74" s="198">
        <f>B538</f>
        <v>0</v>
      </c>
      <c r="M74" s="220">
        <f>B535</f>
        <v>30</v>
      </c>
      <c r="N74" s="91"/>
    </row>
    <row r="75" spans="1:14" x14ac:dyDescent="0.2">
      <c r="A75" s="269"/>
      <c r="B75" s="274"/>
      <c r="C75" s="169">
        <f t="shared" si="8"/>
        <v>10.26</v>
      </c>
      <c r="D75" s="168">
        <f t="shared" si="8"/>
        <v>0</v>
      </c>
      <c r="E75" s="274"/>
      <c r="F75" s="316"/>
      <c r="G75" s="317"/>
      <c r="H75" s="78"/>
      <c r="I75" s="271"/>
      <c r="J75" s="276"/>
      <c r="K75" s="189">
        <f t="shared" ref="K75:L81" si="9">A539</f>
        <v>5</v>
      </c>
      <c r="L75" s="190">
        <f t="shared" si="9"/>
        <v>0</v>
      </c>
      <c r="M75" s="276"/>
      <c r="N75" s="91"/>
    </row>
    <row r="76" spans="1:14" x14ac:dyDescent="0.2">
      <c r="A76" s="269"/>
      <c r="B76" s="274"/>
      <c r="C76" s="169">
        <f t="shared" si="8"/>
        <v>12.82</v>
      </c>
      <c r="D76" s="168">
        <f t="shared" si="8"/>
        <v>150</v>
      </c>
      <c r="E76" s="274"/>
      <c r="F76" s="316"/>
      <c r="G76" s="317"/>
      <c r="H76" s="78"/>
      <c r="I76" s="271"/>
      <c r="J76" s="276"/>
      <c r="K76" s="189">
        <f t="shared" si="9"/>
        <v>10.26</v>
      </c>
      <c r="L76" s="190">
        <f t="shared" si="9"/>
        <v>0</v>
      </c>
      <c r="M76" s="276"/>
      <c r="N76" s="91"/>
    </row>
    <row r="77" spans="1:14" x14ac:dyDescent="0.2">
      <c r="A77" s="269"/>
      <c r="B77" s="274"/>
      <c r="C77" s="169">
        <f t="shared" si="8"/>
        <v>56</v>
      </c>
      <c r="D77" s="168">
        <f t="shared" si="8"/>
        <v>150</v>
      </c>
      <c r="E77" s="274"/>
      <c r="F77" s="316"/>
      <c r="G77" s="317"/>
      <c r="H77" s="78"/>
      <c r="I77" s="271"/>
      <c r="J77" s="276"/>
      <c r="K77" s="189">
        <f t="shared" si="9"/>
        <v>12.82</v>
      </c>
      <c r="L77" s="190">
        <f t="shared" si="9"/>
        <v>25</v>
      </c>
      <c r="M77" s="276"/>
      <c r="N77" s="91"/>
    </row>
    <row r="78" spans="1:14" x14ac:dyDescent="0.2">
      <c r="A78" s="269"/>
      <c r="B78" s="274"/>
      <c r="C78" s="169">
        <f t="shared" si="8"/>
        <v>78</v>
      </c>
      <c r="D78" s="168">
        <f t="shared" si="8"/>
        <v>150</v>
      </c>
      <c r="E78" s="274"/>
      <c r="F78" s="316"/>
      <c r="G78" s="317"/>
      <c r="H78" s="78"/>
      <c r="I78" s="271"/>
      <c r="J78" s="276"/>
      <c r="K78" s="189">
        <f t="shared" si="9"/>
        <v>56</v>
      </c>
      <c r="L78" s="190">
        <f t="shared" si="9"/>
        <v>25</v>
      </c>
      <c r="M78" s="276"/>
      <c r="N78" s="91"/>
    </row>
    <row r="79" spans="1:14" x14ac:dyDescent="0.2">
      <c r="A79" s="269"/>
      <c r="B79" s="274"/>
      <c r="C79" s="169">
        <f t="shared" si="8"/>
        <v>89</v>
      </c>
      <c r="D79" s="168">
        <f t="shared" si="8"/>
        <v>150</v>
      </c>
      <c r="E79" s="274"/>
      <c r="F79" s="316"/>
      <c r="G79" s="317"/>
      <c r="H79" s="78"/>
      <c r="I79" s="271"/>
      <c r="J79" s="276"/>
      <c r="K79" s="189">
        <f t="shared" si="9"/>
        <v>78</v>
      </c>
      <c r="L79" s="190">
        <f t="shared" si="9"/>
        <v>25</v>
      </c>
      <c r="M79" s="276"/>
      <c r="N79" s="91"/>
    </row>
    <row r="80" spans="1:14" x14ac:dyDescent="0.2">
      <c r="A80" s="269"/>
      <c r="B80" s="274"/>
      <c r="C80" s="169">
        <f>A255</f>
        <v>95</v>
      </c>
      <c r="D80" s="168">
        <f>B255</f>
        <v>150</v>
      </c>
      <c r="E80" s="274"/>
      <c r="F80" s="316"/>
      <c r="G80" s="317"/>
      <c r="H80" s="78"/>
      <c r="I80" s="271"/>
      <c r="J80" s="276"/>
      <c r="K80" s="189">
        <f t="shared" si="9"/>
        <v>95</v>
      </c>
      <c r="L80" s="190">
        <f t="shared" si="9"/>
        <v>25</v>
      </c>
      <c r="M80" s="276"/>
      <c r="N80" s="91"/>
    </row>
    <row r="81" spans="1:14" ht="13.5" thickBot="1" x14ac:dyDescent="0.25">
      <c r="A81" s="269"/>
      <c r="B81" s="274"/>
      <c r="C81" s="178">
        <f>A256</f>
        <v>100</v>
      </c>
      <c r="D81" s="236">
        <f>B256</f>
        <v>150</v>
      </c>
      <c r="E81" s="274"/>
      <c r="F81" s="316"/>
      <c r="G81" s="317"/>
      <c r="H81" s="78"/>
      <c r="I81" s="282"/>
      <c r="J81" s="283"/>
      <c r="K81" s="193">
        <f t="shared" si="9"/>
        <v>100</v>
      </c>
      <c r="L81" s="194">
        <f t="shared" si="9"/>
        <v>25</v>
      </c>
      <c r="M81" s="283"/>
      <c r="N81" s="91"/>
    </row>
    <row r="82" spans="1:14" x14ac:dyDescent="0.2">
      <c r="A82" s="285" t="s">
        <v>63</v>
      </c>
      <c r="B82" s="286" t="str">
        <f>Walk!$B$82</f>
        <v>L Tensr</v>
      </c>
      <c r="C82" s="176">
        <f t="shared" ref="C82:D87" si="10">A273</f>
        <v>0</v>
      </c>
      <c r="D82" s="181">
        <f t="shared" si="10"/>
        <v>0</v>
      </c>
      <c r="E82" s="322">
        <f>B270</f>
        <v>60</v>
      </c>
      <c r="F82" s="316"/>
      <c r="G82" s="317"/>
      <c r="H82" s="78"/>
      <c r="I82" s="288" t="s">
        <v>79</v>
      </c>
      <c r="J82" s="272" t="str">
        <f>Walk!$J$82</f>
        <v>R Sart</v>
      </c>
      <c r="K82" s="197">
        <f>A562</f>
        <v>0</v>
      </c>
      <c r="L82" s="198">
        <f>B562</f>
        <v>0</v>
      </c>
      <c r="M82" s="304">
        <f>B559</f>
        <v>60</v>
      </c>
      <c r="N82" s="91"/>
    </row>
    <row r="83" spans="1:14" x14ac:dyDescent="0.2">
      <c r="A83" s="269"/>
      <c r="B83" s="274"/>
      <c r="C83" s="169">
        <f t="shared" si="10"/>
        <v>10</v>
      </c>
      <c r="D83" s="168">
        <f t="shared" si="10"/>
        <v>0</v>
      </c>
      <c r="E83" s="320"/>
      <c r="F83" s="316"/>
      <c r="G83" s="317"/>
      <c r="H83" s="78"/>
      <c r="I83" s="271"/>
      <c r="J83" s="276"/>
      <c r="K83" s="189">
        <f t="shared" ref="K83:L89" si="11">A563</f>
        <v>10</v>
      </c>
      <c r="L83" s="190">
        <f t="shared" si="11"/>
        <v>0</v>
      </c>
      <c r="M83" s="305"/>
      <c r="N83" s="91"/>
    </row>
    <row r="84" spans="1:14" x14ac:dyDescent="0.2">
      <c r="A84" s="269"/>
      <c r="B84" s="274"/>
      <c r="C84" s="169">
        <f t="shared" si="10"/>
        <v>50</v>
      </c>
      <c r="D84" s="168">
        <f t="shared" si="10"/>
        <v>0</v>
      </c>
      <c r="E84" s="320"/>
      <c r="F84" s="316"/>
      <c r="G84" s="317"/>
      <c r="H84" s="78"/>
      <c r="I84" s="271"/>
      <c r="J84" s="276"/>
      <c r="K84" s="189">
        <f t="shared" si="11"/>
        <v>50</v>
      </c>
      <c r="L84" s="190">
        <f t="shared" si="11"/>
        <v>0</v>
      </c>
      <c r="M84" s="305"/>
      <c r="N84" s="91"/>
    </row>
    <row r="85" spans="1:14" x14ac:dyDescent="0.2">
      <c r="A85" s="269"/>
      <c r="B85" s="274"/>
      <c r="C85" s="169">
        <f t="shared" si="10"/>
        <v>75</v>
      </c>
      <c r="D85" s="168">
        <f t="shared" si="10"/>
        <v>0</v>
      </c>
      <c r="E85" s="320"/>
      <c r="F85" s="316"/>
      <c r="G85" s="317"/>
      <c r="H85" s="78"/>
      <c r="I85" s="271"/>
      <c r="J85" s="276"/>
      <c r="K85" s="189">
        <f t="shared" si="11"/>
        <v>75</v>
      </c>
      <c r="L85" s="190">
        <f t="shared" si="11"/>
        <v>0</v>
      </c>
      <c r="M85" s="305"/>
      <c r="N85" s="91"/>
    </row>
    <row r="86" spans="1:14" x14ac:dyDescent="0.2">
      <c r="A86" s="269"/>
      <c r="B86" s="274"/>
      <c r="C86" s="169">
        <f t="shared" si="10"/>
        <v>88</v>
      </c>
      <c r="D86" s="168">
        <f t="shared" si="10"/>
        <v>0</v>
      </c>
      <c r="E86" s="320"/>
      <c r="F86" s="316"/>
      <c r="G86" s="317"/>
      <c r="H86" s="78"/>
      <c r="I86" s="271"/>
      <c r="J86" s="276"/>
      <c r="K86" s="189">
        <f t="shared" si="11"/>
        <v>88</v>
      </c>
      <c r="L86" s="190">
        <f t="shared" si="11"/>
        <v>0</v>
      </c>
      <c r="M86" s="305"/>
      <c r="N86" s="91"/>
    </row>
    <row r="87" spans="1:14" x14ac:dyDescent="0.2">
      <c r="A87" s="269"/>
      <c r="B87" s="274"/>
      <c r="C87" s="169">
        <f t="shared" si="10"/>
        <v>94</v>
      </c>
      <c r="D87" s="168">
        <f t="shared" si="10"/>
        <v>0</v>
      </c>
      <c r="E87" s="320"/>
      <c r="F87" s="316"/>
      <c r="G87" s="317"/>
      <c r="H87" s="78"/>
      <c r="I87" s="271"/>
      <c r="J87" s="276"/>
      <c r="K87" s="189">
        <f t="shared" si="11"/>
        <v>94</v>
      </c>
      <c r="L87" s="190">
        <f t="shared" si="11"/>
        <v>0</v>
      </c>
      <c r="M87" s="305"/>
      <c r="N87" s="91"/>
    </row>
    <row r="88" spans="1:14" x14ac:dyDescent="0.2">
      <c r="A88" s="269"/>
      <c r="B88" s="274"/>
      <c r="C88" s="169">
        <f>A279</f>
        <v>95</v>
      </c>
      <c r="D88" s="168">
        <f>B279</f>
        <v>0</v>
      </c>
      <c r="E88" s="320"/>
      <c r="F88" s="316"/>
      <c r="G88" s="317"/>
      <c r="H88" s="78"/>
      <c r="I88" s="271"/>
      <c r="J88" s="276"/>
      <c r="K88" s="189">
        <f t="shared" si="11"/>
        <v>95</v>
      </c>
      <c r="L88" s="190">
        <f t="shared" si="11"/>
        <v>0</v>
      </c>
      <c r="M88" s="305"/>
      <c r="N88" s="91"/>
    </row>
    <row r="89" spans="1:14" ht="13.5" thickBot="1" x14ac:dyDescent="0.25">
      <c r="A89" s="279"/>
      <c r="B89" s="280"/>
      <c r="C89" s="173">
        <f>A280</f>
        <v>100</v>
      </c>
      <c r="D89" s="172">
        <f>B280</f>
        <v>0</v>
      </c>
      <c r="E89" s="321"/>
      <c r="F89" s="316"/>
      <c r="G89" s="317"/>
      <c r="H89" s="78"/>
      <c r="I89" s="282"/>
      <c r="J89" s="283"/>
      <c r="K89" s="193">
        <f t="shared" si="11"/>
        <v>100</v>
      </c>
      <c r="L89" s="194">
        <f t="shared" si="11"/>
        <v>0</v>
      </c>
      <c r="M89" s="306"/>
      <c r="N89" s="91"/>
    </row>
    <row r="90" spans="1:14" x14ac:dyDescent="0.2">
      <c r="A90" s="285" t="s">
        <v>64</v>
      </c>
      <c r="B90" s="270" t="str">
        <f>Walk!$B$90</f>
        <v>L Sart</v>
      </c>
      <c r="C90" s="164">
        <f t="shared" ref="C90:D95" si="12">A297</f>
        <v>0</v>
      </c>
      <c r="D90" s="163">
        <f t="shared" si="12"/>
        <v>0</v>
      </c>
      <c r="E90" s="217">
        <f>B294</f>
        <v>60</v>
      </c>
      <c r="F90" s="316"/>
      <c r="G90" s="317"/>
      <c r="H90" s="78"/>
      <c r="I90" s="288" t="s">
        <v>80</v>
      </c>
      <c r="J90" s="272" t="str">
        <f>Walk!$J$90</f>
        <v>R Grac</v>
      </c>
      <c r="K90" s="197">
        <f>A586</f>
        <v>0</v>
      </c>
      <c r="L90" s="198">
        <f>B586</f>
        <v>0</v>
      </c>
      <c r="M90" s="220">
        <f>B583</f>
        <v>60</v>
      </c>
      <c r="N90" s="91"/>
    </row>
    <row r="91" spans="1:14" x14ac:dyDescent="0.2">
      <c r="A91" s="269"/>
      <c r="B91" s="274"/>
      <c r="C91" s="169">
        <f t="shared" si="12"/>
        <v>10</v>
      </c>
      <c r="D91" s="168">
        <f t="shared" si="12"/>
        <v>0</v>
      </c>
      <c r="E91" s="274"/>
      <c r="F91" s="316"/>
      <c r="G91" s="317"/>
      <c r="H91" s="78"/>
      <c r="I91" s="271"/>
      <c r="J91" s="276"/>
      <c r="K91" s="189">
        <f t="shared" ref="K91:L97" si="13">A587</f>
        <v>10</v>
      </c>
      <c r="L91" s="190">
        <f t="shared" si="13"/>
        <v>0</v>
      </c>
      <c r="M91" s="276"/>
      <c r="N91" s="91"/>
    </row>
    <row r="92" spans="1:14" x14ac:dyDescent="0.2">
      <c r="A92" s="298"/>
      <c r="B92" s="299"/>
      <c r="C92" s="169">
        <f t="shared" si="12"/>
        <v>50</v>
      </c>
      <c r="D92" s="168">
        <f t="shared" si="12"/>
        <v>0</v>
      </c>
      <c r="E92" s="274"/>
      <c r="F92" s="316"/>
      <c r="G92" s="317"/>
      <c r="H92" s="78"/>
      <c r="I92" s="271"/>
      <c r="J92" s="276"/>
      <c r="K92" s="189">
        <f t="shared" si="13"/>
        <v>50</v>
      </c>
      <c r="L92" s="190">
        <f t="shared" si="13"/>
        <v>0</v>
      </c>
      <c r="M92" s="276"/>
      <c r="N92" s="91"/>
    </row>
    <row r="93" spans="1:14" x14ac:dyDescent="0.2">
      <c r="A93" s="298"/>
      <c r="B93" s="299"/>
      <c r="C93" s="169">
        <f t="shared" si="12"/>
        <v>75</v>
      </c>
      <c r="D93" s="168">
        <f t="shared" si="12"/>
        <v>0</v>
      </c>
      <c r="E93" s="274"/>
      <c r="F93" s="316"/>
      <c r="G93" s="317"/>
      <c r="H93" s="78"/>
      <c r="I93" s="271"/>
      <c r="J93" s="276"/>
      <c r="K93" s="189">
        <f t="shared" si="13"/>
        <v>75</v>
      </c>
      <c r="L93" s="190">
        <f t="shared" si="13"/>
        <v>0</v>
      </c>
      <c r="M93" s="276"/>
      <c r="N93" s="91"/>
    </row>
    <row r="94" spans="1:14" x14ac:dyDescent="0.2">
      <c r="A94" s="298"/>
      <c r="B94" s="299"/>
      <c r="C94" s="169">
        <f t="shared" si="12"/>
        <v>88</v>
      </c>
      <c r="D94" s="168">
        <f t="shared" si="12"/>
        <v>0</v>
      </c>
      <c r="E94" s="274"/>
      <c r="F94" s="316"/>
      <c r="G94" s="317"/>
      <c r="H94" s="78"/>
      <c r="I94" s="271"/>
      <c r="J94" s="276"/>
      <c r="K94" s="189">
        <f t="shared" si="13"/>
        <v>88</v>
      </c>
      <c r="L94" s="190">
        <f t="shared" si="13"/>
        <v>0</v>
      </c>
      <c r="M94" s="276"/>
      <c r="N94" s="91"/>
    </row>
    <row r="95" spans="1:14" x14ac:dyDescent="0.2">
      <c r="A95" s="298"/>
      <c r="B95" s="299"/>
      <c r="C95" s="169">
        <f t="shared" si="12"/>
        <v>94</v>
      </c>
      <c r="D95" s="168">
        <f t="shared" si="12"/>
        <v>0</v>
      </c>
      <c r="E95" s="274"/>
      <c r="F95" s="316"/>
      <c r="G95" s="317"/>
      <c r="H95" s="78"/>
      <c r="I95" s="271"/>
      <c r="J95" s="276"/>
      <c r="K95" s="189">
        <f t="shared" si="13"/>
        <v>94</v>
      </c>
      <c r="L95" s="190">
        <f t="shared" si="13"/>
        <v>0</v>
      </c>
      <c r="M95" s="276"/>
      <c r="N95" s="91"/>
    </row>
    <row r="96" spans="1:14" x14ac:dyDescent="0.2">
      <c r="A96" s="298"/>
      <c r="B96" s="299"/>
      <c r="C96" s="169">
        <f>A303</f>
        <v>95</v>
      </c>
      <c r="D96" s="168">
        <f>B303</f>
        <v>0</v>
      </c>
      <c r="E96" s="274"/>
      <c r="F96" s="316"/>
      <c r="G96" s="317"/>
      <c r="H96" s="78"/>
      <c r="I96" s="271"/>
      <c r="J96" s="276"/>
      <c r="K96" s="189">
        <f t="shared" si="13"/>
        <v>95</v>
      </c>
      <c r="L96" s="190">
        <f t="shared" si="13"/>
        <v>0</v>
      </c>
      <c r="M96" s="276"/>
      <c r="N96" s="91"/>
    </row>
    <row r="97" spans="1:14" ht="13.5" thickBot="1" x14ac:dyDescent="0.25">
      <c r="A97" s="298"/>
      <c r="B97" s="299"/>
      <c r="C97" s="178">
        <f>A304</f>
        <v>100</v>
      </c>
      <c r="D97" s="236">
        <f>B304</f>
        <v>0</v>
      </c>
      <c r="E97" s="274"/>
      <c r="F97" s="316"/>
      <c r="G97" s="317"/>
      <c r="H97" s="78"/>
      <c r="I97" s="282"/>
      <c r="J97" s="283"/>
      <c r="K97" s="193">
        <f t="shared" si="13"/>
        <v>100</v>
      </c>
      <c r="L97" s="194">
        <f t="shared" si="13"/>
        <v>0</v>
      </c>
      <c r="M97" s="283"/>
      <c r="N97" s="91"/>
    </row>
    <row r="98" spans="1:14" x14ac:dyDescent="0.2">
      <c r="A98" s="285" t="s">
        <v>65</v>
      </c>
      <c r="B98" s="286" t="str">
        <f>Walk!$B$98</f>
        <v>L TA/Per</v>
      </c>
      <c r="C98" s="176">
        <f t="shared" ref="C98:D103" si="14">A321</f>
        <v>0</v>
      </c>
      <c r="D98" s="181">
        <f t="shared" si="14"/>
        <v>0</v>
      </c>
      <c r="E98" s="322">
        <f>B318</f>
        <v>60</v>
      </c>
      <c r="F98" s="316"/>
      <c r="G98" s="317"/>
      <c r="H98" s="78"/>
      <c r="I98" s="271" t="s">
        <v>81</v>
      </c>
      <c r="J98" s="272" t="str">
        <f>Walk!$J$98</f>
        <v>R TA</v>
      </c>
      <c r="K98" s="199">
        <f>A610</f>
        <v>0</v>
      </c>
      <c r="L98" s="198">
        <f>B610</f>
        <v>0</v>
      </c>
      <c r="M98" s="304">
        <f>B607</f>
        <v>60</v>
      </c>
      <c r="N98" s="91"/>
    </row>
    <row r="99" spans="1:14" x14ac:dyDescent="0.2">
      <c r="A99" s="269"/>
      <c r="B99" s="274"/>
      <c r="C99" s="169">
        <f t="shared" si="14"/>
        <v>10</v>
      </c>
      <c r="D99" s="168">
        <f t="shared" si="14"/>
        <v>0</v>
      </c>
      <c r="E99" s="320"/>
      <c r="F99" s="316"/>
      <c r="G99" s="317"/>
      <c r="H99" s="78"/>
      <c r="I99" s="271"/>
      <c r="J99" s="276"/>
      <c r="K99" s="191">
        <f t="shared" ref="K99:L105" si="15">A611</f>
        <v>10</v>
      </c>
      <c r="L99" s="190">
        <f t="shared" si="15"/>
        <v>0</v>
      </c>
      <c r="M99" s="305"/>
      <c r="N99" s="91"/>
    </row>
    <row r="100" spans="1:14" x14ac:dyDescent="0.2">
      <c r="A100" s="269"/>
      <c r="B100" s="274"/>
      <c r="C100" s="169">
        <f t="shared" si="14"/>
        <v>50</v>
      </c>
      <c r="D100" s="168">
        <f t="shared" si="14"/>
        <v>0</v>
      </c>
      <c r="E100" s="320"/>
      <c r="F100" s="316"/>
      <c r="G100" s="317"/>
      <c r="H100" s="78"/>
      <c r="I100" s="271"/>
      <c r="J100" s="276"/>
      <c r="K100" s="191">
        <f t="shared" si="15"/>
        <v>50</v>
      </c>
      <c r="L100" s="190">
        <f t="shared" si="15"/>
        <v>0</v>
      </c>
      <c r="M100" s="305"/>
      <c r="N100" s="91"/>
    </row>
    <row r="101" spans="1:14" x14ac:dyDescent="0.2">
      <c r="A101" s="269"/>
      <c r="B101" s="274"/>
      <c r="C101" s="169">
        <f t="shared" si="14"/>
        <v>75</v>
      </c>
      <c r="D101" s="168">
        <f t="shared" si="14"/>
        <v>0</v>
      </c>
      <c r="E101" s="320"/>
      <c r="F101" s="316"/>
      <c r="G101" s="317"/>
      <c r="H101" s="78"/>
      <c r="I101" s="271"/>
      <c r="J101" s="276"/>
      <c r="K101" s="191">
        <f t="shared" si="15"/>
        <v>75</v>
      </c>
      <c r="L101" s="190">
        <f t="shared" si="15"/>
        <v>0</v>
      </c>
      <c r="M101" s="305"/>
      <c r="N101" s="91"/>
    </row>
    <row r="102" spans="1:14" x14ac:dyDescent="0.2">
      <c r="A102" s="269"/>
      <c r="B102" s="274"/>
      <c r="C102" s="169">
        <f t="shared" si="14"/>
        <v>88</v>
      </c>
      <c r="D102" s="168">
        <f t="shared" si="14"/>
        <v>0</v>
      </c>
      <c r="E102" s="320"/>
      <c r="F102" s="316"/>
      <c r="G102" s="317"/>
      <c r="H102" s="78"/>
      <c r="I102" s="271"/>
      <c r="J102" s="276"/>
      <c r="K102" s="191">
        <f t="shared" si="15"/>
        <v>88</v>
      </c>
      <c r="L102" s="190">
        <f t="shared" si="15"/>
        <v>0</v>
      </c>
      <c r="M102" s="305"/>
      <c r="N102" s="91"/>
    </row>
    <row r="103" spans="1:14" x14ac:dyDescent="0.2">
      <c r="A103" s="269"/>
      <c r="B103" s="274"/>
      <c r="C103" s="169">
        <f t="shared" si="14"/>
        <v>94</v>
      </c>
      <c r="D103" s="168">
        <f t="shared" si="14"/>
        <v>0</v>
      </c>
      <c r="E103" s="320"/>
      <c r="F103" s="316"/>
      <c r="G103" s="317"/>
      <c r="H103" s="78"/>
      <c r="I103" s="271"/>
      <c r="J103" s="276"/>
      <c r="K103" s="191">
        <f t="shared" si="15"/>
        <v>94</v>
      </c>
      <c r="L103" s="190">
        <f t="shared" si="15"/>
        <v>0</v>
      </c>
      <c r="M103" s="305"/>
      <c r="N103" s="91"/>
    </row>
    <row r="104" spans="1:14" x14ac:dyDescent="0.2">
      <c r="A104" s="269"/>
      <c r="B104" s="274"/>
      <c r="C104" s="169">
        <f>A327</f>
        <v>95</v>
      </c>
      <c r="D104" s="168">
        <f>B327</f>
        <v>0</v>
      </c>
      <c r="E104" s="320"/>
      <c r="F104" s="316"/>
      <c r="G104" s="317"/>
      <c r="H104" s="78"/>
      <c r="I104" s="271"/>
      <c r="J104" s="276"/>
      <c r="K104" s="191">
        <f t="shared" si="15"/>
        <v>95</v>
      </c>
      <c r="L104" s="190">
        <f t="shared" si="15"/>
        <v>0</v>
      </c>
      <c r="M104" s="305"/>
      <c r="N104" s="91"/>
    </row>
    <row r="105" spans="1:14" ht="13.5" thickBot="1" x14ac:dyDescent="0.25">
      <c r="A105" s="279"/>
      <c r="B105" s="280"/>
      <c r="C105" s="173">
        <f>A328</f>
        <v>100</v>
      </c>
      <c r="D105" s="172">
        <f>B328</f>
        <v>0</v>
      </c>
      <c r="E105" s="321"/>
      <c r="F105" s="316"/>
      <c r="G105" s="317"/>
      <c r="H105" s="78"/>
      <c r="I105" s="271"/>
      <c r="J105" s="276"/>
      <c r="K105" s="201">
        <f t="shared" si="15"/>
        <v>100</v>
      </c>
      <c r="L105" s="194">
        <f t="shared" si="15"/>
        <v>0</v>
      </c>
      <c r="M105" s="306"/>
      <c r="N105" s="91"/>
    </row>
    <row r="106" spans="1:14" x14ac:dyDescent="0.2">
      <c r="A106" s="285" t="s">
        <v>67</v>
      </c>
      <c r="B106" s="270" t="str">
        <f>Walk!$B$106</f>
        <v>N/A</v>
      </c>
      <c r="C106" s="176">
        <f>A345</f>
        <v>0</v>
      </c>
      <c r="D106" s="181">
        <f>B345</f>
        <v>0</v>
      </c>
      <c r="E106" s="218">
        <f>B342</f>
        <v>60</v>
      </c>
      <c r="F106" s="316"/>
      <c r="G106" s="317"/>
      <c r="H106" s="78"/>
      <c r="I106" s="288" t="s">
        <v>82</v>
      </c>
      <c r="J106" s="272" t="str">
        <f>Walk!$J$106</f>
        <v>N/A</v>
      </c>
      <c r="K106" s="189">
        <f>A634</f>
        <v>0</v>
      </c>
      <c r="L106" s="192">
        <f>B634</f>
        <v>0</v>
      </c>
      <c r="M106" s="220">
        <f>B631</f>
        <v>60</v>
      </c>
      <c r="N106" s="91"/>
    </row>
    <row r="107" spans="1:14" x14ac:dyDescent="0.2">
      <c r="A107" s="269"/>
      <c r="B107" s="274"/>
      <c r="C107" s="164">
        <f t="shared" ref="C107:D113" si="16">A346</f>
        <v>7.89</v>
      </c>
      <c r="D107" s="163">
        <f t="shared" si="16"/>
        <v>0</v>
      </c>
      <c r="E107" s="274"/>
      <c r="F107" s="308"/>
      <c r="G107" s="308"/>
      <c r="H107" s="308"/>
      <c r="I107" s="271"/>
      <c r="J107" s="276"/>
      <c r="K107" s="206">
        <f t="shared" ref="K107:L113" si="17">A635</f>
        <v>7.89</v>
      </c>
      <c r="L107" s="207">
        <f t="shared" si="17"/>
        <v>0</v>
      </c>
      <c r="M107" s="276"/>
      <c r="N107" s="91"/>
    </row>
    <row r="108" spans="1:14" x14ac:dyDescent="0.2">
      <c r="A108" s="269"/>
      <c r="B108" s="274"/>
      <c r="C108" s="164">
        <f t="shared" si="16"/>
        <v>20</v>
      </c>
      <c r="D108" s="163">
        <f t="shared" si="16"/>
        <v>0</v>
      </c>
      <c r="E108" s="274"/>
      <c r="F108" s="308"/>
      <c r="G108" s="308"/>
      <c r="H108" s="308"/>
      <c r="I108" s="271"/>
      <c r="J108" s="276"/>
      <c r="K108" s="206">
        <f t="shared" si="17"/>
        <v>20</v>
      </c>
      <c r="L108" s="207">
        <f t="shared" si="17"/>
        <v>0</v>
      </c>
      <c r="M108" s="276"/>
      <c r="N108" s="91"/>
    </row>
    <row r="109" spans="1:14" x14ac:dyDescent="0.2">
      <c r="A109" s="269"/>
      <c r="B109" s="274"/>
      <c r="C109" s="164">
        <f t="shared" si="16"/>
        <v>55.26</v>
      </c>
      <c r="D109" s="163">
        <f t="shared" si="16"/>
        <v>0</v>
      </c>
      <c r="E109" s="274"/>
      <c r="F109" s="308"/>
      <c r="G109" s="308"/>
      <c r="H109" s="308"/>
      <c r="I109" s="271"/>
      <c r="J109" s="276"/>
      <c r="K109" s="206">
        <f t="shared" si="17"/>
        <v>55.26</v>
      </c>
      <c r="L109" s="207">
        <f t="shared" si="17"/>
        <v>0</v>
      </c>
      <c r="M109" s="276"/>
      <c r="N109" s="91"/>
    </row>
    <row r="110" spans="1:14" x14ac:dyDescent="0.2">
      <c r="A110" s="269"/>
      <c r="B110" s="274"/>
      <c r="C110" s="164">
        <f t="shared" si="16"/>
        <v>60</v>
      </c>
      <c r="D110" s="163">
        <f t="shared" si="16"/>
        <v>0</v>
      </c>
      <c r="E110" s="274"/>
      <c r="F110" s="323"/>
      <c r="G110" s="323"/>
      <c r="H110" s="308"/>
      <c r="I110" s="271"/>
      <c r="J110" s="276"/>
      <c r="K110" s="206">
        <f t="shared" si="17"/>
        <v>60</v>
      </c>
      <c r="L110" s="207">
        <f t="shared" si="17"/>
        <v>0</v>
      </c>
      <c r="M110" s="276"/>
      <c r="N110" s="91"/>
    </row>
    <row r="111" spans="1:14" x14ac:dyDescent="0.2">
      <c r="A111" s="269"/>
      <c r="B111" s="274"/>
      <c r="C111" s="164">
        <f t="shared" si="16"/>
        <v>65</v>
      </c>
      <c r="D111" s="163">
        <f t="shared" si="16"/>
        <v>0</v>
      </c>
      <c r="E111" s="274"/>
      <c r="F111" s="323"/>
      <c r="G111" s="323"/>
      <c r="H111" s="308"/>
      <c r="I111" s="271"/>
      <c r="J111" s="276"/>
      <c r="K111" s="206">
        <f t="shared" si="17"/>
        <v>65</v>
      </c>
      <c r="L111" s="207">
        <f t="shared" si="17"/>
        <v>0</v>
      </c>
      <c r="M111" s="276"/>
      <c r="N111" s="91"/>
    </row>
    <row r="112" spans="1:14" x14ac:dyDescent="0.2">
      <c r="A112" s="298"/>
      <c r="B112" s="299"/>
      <c r="C112" s="164">
        <f t="shared" si="16"/>
        <v>71.05</v>
      </c>
      <c r="D112" s="163">
        <f t="shared" si="16"/>
        <v>0</v>
      </c>
      <c r="E112" s="274"/>
      <c r="F112" s="323"/>
      <c r="G112" s="323"/>
      <c r="H112" s="308"/>
      <c r="I112" s="271"/>
      <c r="J112" s="276"/>
      <c r="K112" s="206">
        <f t="shared" si="17"/>
        <v>71.05</v>
      </c>
      <c r="L112" s="207">
        <f t="shared" si="17"/>
        <v>0</v>
      </c>
      <c r="M112" s="276"/>
      <c r="N112" s="91"/>
    </row>
    <row r="113" spans="1:14" ht="13.5" thickBot="1" x14ac:dyDescent="0.25">
      <c r="A113" s="301"/>
      <c r="B113" s="302"/>
      <c r="C113" s="186">
        <f t="shared" si="16"/>
        <v>100</v>
      </c>
      <c r="D113" s="183">
        <f t="shared" si="16"/>
        <v>0</v>
      </c>
      <c r="E113" s="280"/>
      <c r="F113" s="323"/>
      <c r="G113" s="323"/>
      <c r="H113" s="308"/>
      <c r="I113" s="271"/>
      <c r="J113" s="276"/>
      <c r="K113" s="211">
        <f t="shared" si="17"/>
        <v>100</v>
      </c>
      <c r="L113" s="212">
        <f t="shared" si="17"/>
        <v>0</v>
      </c>
      <c r="M113" s="283"/>
      <c r="N113" s="91"/>
    </row>
    <row r="114" spans="1:14" x14ac:dyDescent="0.2">
      <c r="A114" s="303" t="s">
        <v>68</v>
      </c>
      <c r="B114" s="270" t="str">
        <f>Walk!$B$114</f>
        <v>N/A</v>
      </c>
      <c r="C114" s="176">
        <f>A369</f>
        <v>0</v>
      </c>
      <c r="D114" s="181">
        <f>B369</f>
        <v>0</v>
      </c>
      <c r="E114" s="322">
        <f>B366</f>
        <v>60</v>
      </c>
      <c r="F114" s="323"/>
      <c r="G114" s="323"/>
      <c r="H114" s="308"/>
      <c r="I114" s="288" t="s">
        <v>86</v>
      </c>
      <c r="J114" s="272" t="str">
        <f>Walk!$J$114</f>
        <v>N/A</v>
      </c>
      <c r="K114" s="197">
        <f>A658</f>
        <v>0</v>
      </c>
      <c r="L114" s="198">
        <f>B658</f>
        <v>0</v>
      </c>
      <c r="M114" s="304">
        <f>B655</f>
        <v>60</v>
      </c>
      <c r="N114" s="91"/>
    </row>
    <row r="115" spans="1:14" x14ac:dyDescent="0.2">
      <c r="A115" s="298"/>
      <c r="B115" s="299"/>
      <c r="C115" s="164">
        <f t="shared" ref="C115:D121" si="18">A370</f>
        <v>7.89</v>
      </c>
      <c r="D115" s="163">
        <f t="shared" si="18"/>
        <v>0</v>
      </c>
      <c r="E115" s="320"/>
      <c r="F115" s="324"/>
      <c r="G115" s="323"/>
      <c r="H115" s="308"/>
      <c r="I115" s="271"/>
      <c r="J115" s="276"/>
      <c r="K115" s="189">
        <f t="shared" ref="K115:L121" si="19">A659</f>
        <v>7.89</v>
      </c>
      <c r="L115" s="190">
        <f t="shared" si="19"/>
        <v>0</v>
      </c>
      <c r="M115" s="305"/>
      <c r="N115" s="91"/>
    </row>
    <row r="116" spans="1:14" x14ac:dyDescent="0.2">
      <c r="A116" s="298"/>
      <c r="B116" s="299"/>
      <c r="C116" s="164">
        <f t="shared" si="18"/>
        <v>20</v>
      </c>
      <c r="D116" s="163">
        <f t="shared" si="18"/>
        <v>0</v>
      </c>
      <c r="E116" s="320"/>
      <c r="F116" s="324"/>
      <c r="G116" s="323"/>
      <c r="H116" s="308"/>
      <c r="I116" s="271"/>
      <c r="J116" s="276"/>
      <c r="K116" s="189">
        <f t="shared" si="19"/>
        <v>20</v>
      </c>
      <c r="L116" s="190">
        <f t="shared" si="19"/>
        <v>0</v>
      </c>
      <c r="M116" s="305"/>
      <c r="N116" s="91"/>
    </row>
    <row r="117" spans="1:14" x14ac:dyDescent="0.2">
      <c r="A117" s="298"/>
      <c r="B117" s="299"/>
      <c r="C117" s="164">
        <f t="shared" si="18"/>
        <v>55.26</v>
      </c>
      <c r="D117" s="163">
        <f t="shared" si="18"/>
        <v>0</v>
      </c>
      <c r="E117" s="320"/>
      <c r="F117" s="323"/>
      <c r="G117" s="323"/>
      <c r="H117" s="308"/>
      <c r="I117" s="271"/>
      <c r="J117" s="276"/>
      <c r="K117" s="189">
        <f t="shared" si="19"/>
        <v>55.26</v>
      </c>
      <c r="L117" s="190">
        <f t="shared" si="19"/>
        <v>0</v>
      </c>
      <c r="M117" s="305"/>
      <c r="N117" s="91"/>
    </row>
    <row r="118" spans="1:14" ht="12.75" customHeight="1" x14ac:dyDescent="0.2">
      <c r="A118" s="269"/>
      <c r="B118" s="274"/>
      <c r="C118" s="164">
        <f t="shared" si="18"/>
        <v>60</v>
      </c>
      <c r="D118" s="163">
        <f t="shared" si="18"/>
        <v>0</v>
      </c>
      <c r="E118" s="320"/>
      <c r="F118" s="78"/>
      <c r="G118" s="323"/>
      <c r="H118" s="308"/>
      <c r="I118" s="271"/>
      <c r="J118" s="276"/>
      <c r="K118" s="189">
        <f t="shared" si="19"/>
        <v>60</v>
      </c>
      <c r="L118" s="190">
        <f t="shared" si="19"/>
        <v>0</v>
      </c>
      <c r="M118" s="305"/>
    </row>
    <row r="119" spans="1:14" ht="12.75" customHeight="1" x14ac:dyDescent="0.2">
      <c r="A119" s="269"/>
      <c r="B119" s="274"/>
      <c r="C119" s="164">
        <f t="shared" si="18"/>
        <v>65</v>
      </c>
      <c r="D119" s="163">
        <f t="shared" si="18"/>
        <v>0</v>
      </c>
      <c r="E119" s="320"/>
      <c r="F119" s="78"/>
      <c r="G119" s="323"/>
      <c r="H119" s="308"/>
      <c r="I119" s="271"/>
      <c r="J119" s="276"/>
      <c r="K119" s="189">
        <f t="shared" si="19"/>
        <v>65</v>
      </c>
      <c r="L119" s="190">
        <f t="shared" si="19"/>
        <v>0</v>
      </c>
      <c r="M119" s="305"/>
    </row>
    <row r="120" spans="1:14" x14ac:dyDescent="0.2">
      <c r="A120" s="269"/>
      <c r="B120" s="274"/>
      <c r="C120" s="164">
        <f t="shared" si="18"/>
        <v>71.05</v>
      </c>
      <c r="D120" s="163">
        <f t="shared" si="18"/>
        <v>0</v>
      </c>
      <c r="E120" s="320"/>
      <c r="F120" s="323"/>
      <c r="G120" s="323"/>
      <c r="H120" s="308"/>
      <c r="I120" s="271"/>
      <c r="J120" s="276"/>
      <c r="K120" s="189">
        <f t="shared" si="19"/>
        <v>71.05</v>
      </c>
      <c r="L120" s="190">
        <f t="shared" si="19"/>
        <v>0</v>
      </c>
      <c r="M120" s="305"/>
    </row>
    <row r="121" spans="1:14" ht="13.5" thickBot="1" x14ac:dyDescent="0.25">
      <c r="A121" s="279"/>
      <c r="B121" s="280"/>
      <c r="C121" s="186">
        <f t="shared" si="18"/>
        <v>100</v>
      </c>
      <c r="D121" s="183">
        <f t="shared" si="18"/>
        <v>0</v>
      </c>
      <c r="E121" s="321"/>
      <c r="F121" s="323"/>
      <c r="G121" s="323"/>
      <c r="H121" s="308"/>
      <c r="I121" s="282"/>
      <c r="J121" s="283"/>
      <c r="K121" s="193">
        <f t="shared" si="19"/>
        <v>100</v>
      </c>
      <c r="L121" s="194">
        <f t="shared" si="19"/>
        <v>0</v>
      </c>
      <c r="M121" s="306"/>
    </row>
    <row r="122" spans="1:14" x14ac:dyDescent="0.2">
      <c r="A122" s="285" t="s">
        <v>71</v>
      </c>
      <c r="B122" s="270" t="str">
        <f>Walk!$B$122</f>
        <v>N/A</v>
      </c>
      <c r="C122" s="176">
        <f>A393</f>
        <v>0</v>
      </c>
      <c r="D122" s="181">
        <f>B393</f>
        <v>0</v>
      </c>
      <c r="E122" s="218">
        <f>B390</f>
        <v>60</v>
      </c>
      <c r="F122" s="323"/>
      <c r="G122" s="323"/>
      <c r="H122" s="308"/>
      <c r="I122" s="271" t="s">
        <v>87</v>
      </c>
      <c r="J122" s="272" t="str">
        <f>Walk!$J$122</f>
        <v>N/A</v>
      </c>
      <c r="K122" s="189">
        <f>A682</f>
        <v>0</v>
      </c>
      <c r="L122" s="192">
        <f>B682</f>
        <v>0</v>
      </c>
      <c r="M122" s="220">
        <f>B679</f>
        <v>60</v>
      </c>
    </row>
    <row r="123" spans="1:14" x14ac:dyDescent="0.2">
      <c r="A123" s="269"/>
      <c r="B123" s="274"/>
      <c r="C123" s="164">
        <f t="shared" ref="C123:D129" si="20">A394</f>
        <v>7.89</v>
      </c>
      <c r="D123" s="163">
        <f t="shared" si="20"/>
        <v>0</v>
      </c>
      <c r="E123" s="274"/>
      <c r="F123" s="323"/>
      <c r="G123" s="323"/>
      <c r="H123" s="308"/>
      <c r="I123" s="271"/>
      <c r="J123" s="276"/>
      <c r="K123" s="206">
        <f t="shared" ref="K123:L129" si="21">A683</f>
        <v>7.89</v>
      </c>
      <c r="L123" s="207">
        <f t="shared" si="21"/>
        <v>0</v>
      </c>
      <c r="M123" s="276"/>
    </row>
    <row r="124" spans="1:14" x14ac:dyDescent="0.2">
      <c r="A124" s="269"/>
      <c r="B124" s="274"/>
      <c r="C124" s="164">
        <f t="shared" si="20"/>
        <v>20</v>
      </c>
      <c r="D124" s="163">
        <f t="shared" si="20"/>
        <v>0</v>
      </c>
      <c r="E124" s="274"/>
      <c r="F124" s="323"/>
      <c r="G124" s="323"/>
      <c r="H124" s="308"/>
      <c r="I124" s="271"/>
      <c r="J124" s="276"/>
      <c r="K124" s="206">
        <f t="shared" si="21"/>
        <v>20</v>
      </c>
      <c r="L124" s="207">
        <f t="shared" si="21"/>
        <v>0</v>
      </c>
      <c r="M124" s="276"/>
    </row>
    <row r="125" spans="1:14" x14ac:dyDescent="0.2">
      <c r="A125" s="269"/>
      <c r="B125" s="274"/>
      <c r="C125" s="164">
        <f t="shared" si="20"/>
        <v>55.26</v>
      </c>
      <c r="D125" s="163">
        <f t="shared" si="20"/>
        <v>0</v>
      </c>
      <c r="E125" s="274"/>
      <c r="F125" s="323"/>
      <c r="G125" s="323"/>
      <c r="H125" s="308"/>
      <c r="I125" s="271"/>
      <c r="J125" s="276"/>
      <c r="K125" s="206">
        <f t="shared" si="21"/>
        <v>55.26</v>
      </c>
      <c r="L125" s="207">
        <f t="shared" si="21"/>
        <v>0</v>
      </c>
      <c r="M125" s="276"/>
    </row>
    <row r="126" spans="1:14" x14ac:dyDescent="0.2">
      <c r="A126" s="269"/>
      <c r="B126" s="274"/>
      <c r="C126" s="164">
        <f t="shared" si="20"/>
        <v>60</v>
      </c>
      <c r="D126" s="163">
        <f t="shared" si="20"/>
        <v>0</v>
      </c>
      <c r="E126" s="274"/>
      <c r="F126" s="323"/>
      <c r="G126" s="323"/>
      <c r="H126" s="308"/>
      <c r="I126" s="271"/>
      <c r="J126" s="276"/>
      <c r="K126" s="206">
        <f t="shared" si="21"/>
        <v>60</v>
      </c>
      <c r="L126" s="207">
        <f t="shared" si="21"/>
        <v>0</v>
      </c>
      <c r="M126" s="276"/>
    </row>
    <row r="127" spans="1:14" x14ac:dyDescent="0.2">
      <c r="A127" s="269"/>
      <c r="B127" s="274"/>
      <c r="C127" s="164">
        <f t="shared" si="20"/>
        <v>65</v>
      </c>
      <c r="D127" s="163">
        <f t="shared" si="20"/>
        <v>0</v>
      </c>
      <c r="E127" s="274"/>
      <c r="F127" s="323"/>
      <c r="G127" s="323"/>
      <c r="H127" s="308"/>
      <c r="I127" s="271"/>
      <c r="J127" s="276"/>
      <c r="K127" s="206">
        <f t="shared" si="21"/>
        <v>65</v>
      </c>
      <c r="L127" s="207">
        <f t="shared" si="21"/>
        <v>0</v>
      </c>
      <c r="M127" s="276"/>
    </row>
    <row r="128" spans="1:14" x14ac:dyDescent="0.2">
      <c r="A128" s="269"/>
      <c r="B128" s="274"/>
      <c r="C128" s="164">
        <f t="shared" si="20"/>
        <v>71.05</v>
      </c>
      <c r="D128" s="163">
        <f t="shared" si="20"/>
        <v>0</v>
      </c>
      <c r="E128" s="274"/>
      <c r="F128" s="323"/>
      <c r="G128" s="323"/>
      <c r="H128" s="308"/>
      <c r="I128" s="271"/>
      <c r="J128" s="276"/>
      <c r="K128" s="206">
        <f t="shared" si="21"/>
        <v>71.05</v>
      </c>
      <c r="L128" s="207">
        <f t="shared" si="21"/>
        <v>0</v>
      </c>
      <c r="M128" s="276"/>
    </row>
    <row r="129" spans="1:13" ht="13.5" thickBot="1" x14ac:dyDescent="0.25">
      <c r="A129" s="279"/>
      <c r="B129" s="280"/>
      <c r="C129" s="186">
        <f t="shared" si="20"/>
        <v>100</v>
      </c>
      <c r="D129" s="183">
        <f t="shared" si="20"/>
        <v>0</v>
      </c>
      <c r="E129" s="280"/>
      <c r="F129" s="323"/>
      <c r="G129" s="323"/>
      <c r="H129" s="308"/>
      <c r="I129" s="271"/>
      <c r="J129" s="276"/>
      <c r="K129" s="211">
        <f t="shared" si="21"/>
        <v>100</v>
      </c>
      <c r="L129" s="212">
        <f t="shared" si="21"/>
        <v>0</v>
      </c>
      <c r="M129" s="276"/>
    </row>
    <row r="130" spans="1:13" x14ac:dyDescent="0.2">
      <c r="A130" s="285" t="s">
        <v>73</v>
      </c>
      <c r="B130" s="270" t="str">
        <f>Walk!$B$130</f>
        <v>N/A</v>
      </c>
      <c r="C130" s="176">
        <f>A417</f>
        <v>0</v>
      </c>
      <c r="D130" s="181">
        <f>B417</f>
        <v>0</v>
      </c>
      <c r="E130" s="322">
        <f>B414</f>
        <v>60</v>
      </c>
      <c r="F130" s="323"/>
      <c r="G130" s="323"/>
      <c r="H130" s="308"/>
      <c r="I130" s="288" t="s">
        <v>88</v>
      </c>
      <c r="J130" s="272" t="str">
        <f>Walk!$J$130</f>
        <v>N/A</v>
      </c>
      <c r="K130" s="197">
        <f>A706</f>
        <v>0</v>
      </c>
      <c r="L130" s="198">
        <f>B706</f>
        <v>0</v>
      </c>
      <c r="M130" s="304">
        <f>B703</f>
        <v>60</v>
      </c>
    </row>
    <row r="131" spans="1:13" x14ac:dyDescent="0.2">
      <c r="A131" s="269"/>
      <c r="B131" s="274"/>
      <c r="C131" s="164">
        <f t="shared" ref="C131:D137" si="22">A418</f>
        <v>7.89</v>
      </c>
      <c r="D131" s="163">
        <f t="shared" si="22"/>
        <v>0</v>
      </c>
      <c r="E131" s="320"/>
      <c r="F131" s="323"/>
      <c r="G131" s="323"/>
      <c r="H131" s="308"/>
      <c r="I131" s="271"/>
      <c r="J131" s="276"/>
      <c r="K131" s="189">
        <f t="shared" ref="K131:L137" si="23">A707</f>
        <v>7.89</v>
      </c>
      <c r="L131" s="190">
        <f t="shared" si="23"/>
        <v>0</v>
      </c>
      <c r="M131" s="305"/>
    </row>
    <row r="132" spans="1:13" x14ac:dyDescent="0.2">
      <c r="A132" s="298"/>
      <c r="B132" s="299"/>
      <c r="C132" s="164">
        <f t="shared" si="22"/>
        <v>20</v>
      </c>
      <c r="D132" s="163">
        <f t="shared" si="22"/>
        <v>0</v>
      </c>
      <c r="E132" s="320"/>
      <c r="F132" s="323"/>
      <c r="G132" s="323"/>
      <c r="H132" s="308"/>
      <c r="I132" s="271"/>
      <c r="J132" s="276"/>
      <c r="K132" s="189">
        <f t="shared" si="23"/>
        <v>20</v>
      </c>
      <c r="L132" s="190">
        <f t="shared" si="23"/>
        <v>0</v>
      </c>
      <c r="M132" s="305"/>
    </row>
    <row r="133" spans="1:13" x14ac:dyDescent="0.2">
      <c r="A133" s="298"/>
      <c r="B133" s="299"/>
      <c r="C133" s="164">
        <f t="shared" si="22"/>
        <v>55.26</v>
      </c>
      <c r="D133" s="163">
        <f t="shared" si="22"/>
        <v>0</v>
      </c>
      <c r="E133" s="320"/>
      <c r="F133" s="323"/>
      <c r="G133" s="323"/>
      <c r="H133" s="308"/>
      <c r="I133" s="271"/>
      <c r="J133" s="276"/>
      <c r="K133" s="189">
        <f t="shared" si="23"/>
        <v>55.26</v>
      </c>
      <c r="L133" s="190">
        <f t="shared" si="23"/>
        <v>0</v>
      </c>
      <c r="M133" s="305"/>
    </row>
    <row r="134" spans="1:13" x14ac:dyDescent="0.2">
      <c r="A134" s="298"/>
      <c r="B134" s="299"/>
      <c r="C134" s="164">
        <f t="shared" si="22"/>
        <v>60</v>
      </c>
      <c r="D134" s="163">
        <f t="shared" si="22"/>
        <v>0</v>
      </c>
      <c r="E134" s="320"/>
      <c r="F134" s="323"/>
      <c r="G134" s="323"/>
      <c r="H134" s="308"/>
      <c r="I134" s="271"/>
      <c r="J134" s="276"/>
      <c r="K134" s="189">
        <f t="shared" si="23"/>
        <v>60</v>
      </c>
      <c r="L134" s="190">
        <f t="shared" si="23"/>
        <v>0</v>
      </c>
      <c r="M134" s="305"/>
    </row>
    <row r="135" spans="1:13" x14ac:dyDescent="0.2">
      <c r="A135" s="298"/>
      <c r="B135" s="299"/>
      <c r="C135" s="164">
        <f t="shared" si="22"/>
        <v>65</v>
      </c>
      <c r="D135" s="163">
        <f t="shared" si="22"/>
        <v>0</v>
      </c>
      <c r="E135" s="320"/>
      <c r="F135" s="323"/>
      <c r="G135" s="323"/>
      <c r="H135" s="308"/>
      <c r="I135" s="271"/>
      <c r="J135" s="276"/>
      <c r="K135" s="189">
        <f t="shared" si="23"/>
        <v>65</v>
      </c>
      <c r="L135" s="190">
        <f t="shared" si="23"/>
        <v>0</v>
      </c>
      <c r="M135" s="305"/>
    </row>
    <row r="136" spans="1:13" x14ac:dyDescent="0.2">
      <c r="A136" s="298"/>
      <c r="B136" s="299"/>
      <c r="C136" s="164">
        <f t="shared" si="22"/>
        <v>71.05</v>
      </c>
      <c r="D136" s="163">
        <f t="shared" si="22"/>
        <v>0</v>
      </c>
      <c r="E136" s="320"/>
      <c r="F136" s="323"/>
      <c r="G136" s="323"/>
      <c r="H136" s="308"/>
      <c r="I136" s="271"/>
      <c r="J136" s="276"/>
      <c r="K136" s="189">
        <f t="shared" si="23"/>
        <v>71.05</v>
      </c>
      <c r="L136" s="190">
        <f t="shared" si="23"/>
        <v>0</v>
      </c>
      <c r="M136" s="305"/>
    </row>
    <row r="137" spans="1:13" ht="13.5" thickBot="1" x14ac:dyDescent="0.25">
      <c r="A137" s="301"/>
      <c r="B137" s="302"/>
      <c r="C137" s="186">
        <f t="shared" si="22"/>
        <v>100</v>
      </c>
      <c r="D137" s="183">
        <f t="shared" si="22"/>
        <v>0</v>
      </c>
      <c r="E137" s="321"/>
      <c r="F137" s="323"/>
      <c r="G137" s="323"/>
      <c r="H137" s="308"/>
      <c r="I137" s="282"/>
      <c r="J137" s="283"/>
      <c r="K137" s="193">
        <f t="shared" si="23"/>
        <v>100</v>
      </c>
      <c r="L137" s="194">
        <f t="shared" si="23"/>
        <v>0</v>
      </c>
      <c r="M137" s="306"/>
    </row>
    <row r="138" spans="1:13" x14ac:dyDescent="0.2">
      <c r="A138" s="316"/>
      <c r="B138" s="317"/>
      <c r="C138" s="323"/>
      <c r="D138" s="323"/>
      <c r="E138" s="323"/>
      <c r="F138" s="323"/>
      <c r="G138" s="323"/>
      <c r="H138" s="308"/>
      <c r="I138" s="308"/>
      <c r="J138" s="308"/>
      <c r="K138" s="308"/>
      <c r="L138" s="308"/>
      <c r="M138" s="308"/>
    </row>
    <row r="139" spans="1:13" ht="12.75" customHeight="1" x14ac:dyDescent="0.25">
      <c r="A139" s="360" t="s">
        <v>49</v>
      </c>
      <c r="B139" s="361"/>
      <c r="C139" s="361"/>
      <c r="D139" s="361"/>
      <c r="E139" s="361"/>
      <c r="F139" s="325"/>
      <c r="G139" s="323"/>
      <c r="H139" s="308"/>
      <c r="I139" s="308"/>
      <c r="J139" s="308"/>
      <c r="K139" s="308"/>
      <c r="L139" s="308"/>
      <c r="M139" s="308"/>
    </row>
    <row r="140" spans="1:13" ht="12.75" customHeight="1" x14ac:dyDescent="0.25">
      <c r="A140" s="155"/>
      <c r="B140" s="155"/>
      <c r="C140" s="155"/>
      <c r="D140" s="223"/>
      <c r="E140" s="223"/>
      <c r="F140" s="223"/>
      <c r="G140" s="155"/>
      <c r="H140" s="92"/>
      <c r="I140" s="92"/>
      <c r="J140" s="92"/>
      <c r="K140" s="92"/>
      <c r="L140" s="92"/>
      <c r="M140" s="92"/>
    </row>
    <row r="141" spans="1:13" x14ac:dyDescent="0.2">
      <c r="A141" s="155"/>
      <c r="B141" s="155"/>
      <c r="C141" s="155"/>
      <c r="D141" s="155"/>
      <c r="E141" s="155"/>
      <c r="F141" s="155"/>
      <c r="G141" s="155"/>
      <c r="H141" s="92"/>
      <c r="I141" s="92"/>
      <c r="J141" s="92"/>
      <c r="K141" s="92"/>
      <c r="L141" s="92"/>
      <c r="M141" s="92"/>
    </row>
    <row r="142" spans="1:13" x14ac:dyDescent="0.2">
      <c r="A142" s="156"/>
      <c r="B142" s="156"/>
      <c r="C142" s="155"/>
      <c r="D142" s="155"/>
      <c r="E142" s="155"/>
      <c r="F142" s="155"/>
      <c r="G142" s="155"/>
      <c r="H142" s="92"/>
      <c r="I142" s="92"/>
      <c r="J142" s="92"/>
      <c r="K142" s="92"/>
      <c r="L142" s="92"/>
      <c r="M142" s="92"/>
    </row>
    <row r="143" spans="1:13" x14ac:dyDescent="0.2">
      <c r="A143" s="155"/>
      <c r="B143" s="70"/>
      <c r="C143" s="155"/>
      <c r="D143" s="155"/>
      <c r="E143" s="155"/>
      <c r="F143" s="155"/>
      <c r="G143" s="155"/>
      <c r="H143" s="92"/>
      <c r="I143" s="92"/>
      <c r="J143" s="92"/>
      <c r="K143" s="92"/>
      <c r="L143" s="92"/>
      <c r="M143" s="92"/>
    </row>
    <row r="144" spans="1:13" x14ac:dyDescent="0.2">
      <c r="A144" s="155"/>
      <c r="B144" s="155"/>
      <c r="C144" s="155"/>
      <c r="D144" s="155"/>
      <c r="E144" s="155"/>
      <c r="F144" s="155"/>
      <c r="G144" s="155"/>
      <c r="H144" s="92"/>
      <c r="I144" s="92"/>
      <c r="J144" s="92"/>
      <c r="K144" s="92"/>
      <c r="L144" s="92"/>
      <c r="M144" s="92"/>
    </row>
    <row r="145" spans="1:13" x14ac:dyDescent="0.2">
      <c r="A145" s="156"/>
      <c r="B145" s="156"/>
      <c r="C145" s="155"/>
      <c r="D145" s="362" t="s">
        <v>97</v>
      </c>
      <c r="E145" s="362"/>
      <c r="F145" s="362"/>
      <c r="G145" s="155"/>
      <c r="H145" s="92"/>
      <c r="I145" s="92"/>
      <c r="J145" s="92"/>
      <c r="K145" s="92"/>
      <c r="L145" s="92"/>
      <c r="M145" s="92"/>
    </row>
    <row r="146" spans="1:13" x14ac:dyDescent="0.2">
      <c r="A146" s="74"/>
      <c r="B146" s="72"/>
      <c r="C146" s="155"/>
      <c r="D146" s="362"/>
      <c r="E146" s="362"/>
      <c r="F146" s="362"/>
      <c r="G146" s="155"/>
      <c r="H146" s="92"/>
      <c r="I146" s="92"/>
      <c r="J146" s="92"/>
      <c r="K146" s="92"/>
      <c r="L146" s="92"/>
      <c r="M146" s="92"/>
    </row>
    <row r="147" spans="1:13" x14ac:dyDescent="0.2">
      <c r="A147" s="74"/>
      <c r="B147" s="72"/>
      <c r="C147" s="155"/>
      <c r="D147" s="155"/>
      <c r="E147" s="155"/>
      <c r="F147" s="155"/>
      <c r="G147" s="155"/>
      <c r="H147" s="92"/>
      <c r="I147" s="92"/>
      <c r="J147" s="92"/>
      <c r="K147" s="92"/>
      <c r="L147" s="92"/>
      <c r="M147" s="92"/>
    </row>
    <row r="148" spans="1:13" ht="13.5" thickBot="1" x14ac:dyDescent="0.25">
      <c r="A148" s="74"/>
      <c r="B148" s="72"/>
      <c r="C148" s="155"/>
      <c r="D148" s="155"/>
      <c r="E148" s="155"/>
      <c r="F148" s="155"/>
      <c r="G148" s="155"/>
      <c r="H148" s="92"/>
      <c r="I148" s="92"/>
      <c r="J148" s="92"/>
      <c r="K148" s="92"/>
      <c r="L148" s="92"/>
      <c r="M148" s="92"/>
    </row>
    <row r="149" spans="1:13" ht="13.5" thickBot="1" x14ac:dyDescent="0.25">
      <c r="A149" s="127" t="s">
        <v>57</v>
      </c>
      <c r="B149" s="26" t="s">
        <v>48</v>
      </c>
      <c r="C149" s="124"/>
      <c r="D149" s="124"/>
      <c r="E149" s="124"/>
      <c r="F149" s="124"/>
      <c r="G149" s="124"/>
      <c r="H149" s="92"/>
      <c r="I149" s="92"/>
      <c r="J149" s="92"/>
      <c r="K149" s="92"/>
      <c r="L149" s="92"/>
      <c r="M149" s="92"/>
    </row>
    <row r="150" spans="1:13" ht="13.5" thickBot="1" x14ac:dyDescent="0.25">
      <c r="A150" s="13" t="s">
        <v>58</v>
      </c>
      <c r="B150" s="245">
        <v>30</v>
      </c>
      <c r="C150" s="124"/>
      <c r="D150" s="124"/>
      <c r="E150" s="124"/>
      <c r="F150" s="124"/>
      <c r="G150" s="124"/>
      <c r="H150" s="92"/>
      <c r="I150" s="92"/>
      <c r="J150" s="92"/>
      <c r="K150" s="92"/>
      <c r="L150" s="92"/>
      <c r="M150" s="92"/>
    </row>
    <row r="151" spans="1:13" ht="13.5" thickBot="1" x14ac:dyDescent="0.25">
      <c r="A151" s="1"/>
      <c r="B151" s="24"/>
      <c r="C151" s="124"/>
      <c r="D151" s="124"/>
      <c r="E151" s="124"/>
      <c r="F151" s="124"/>
      <c r="G151" s="124"/>
      <c r="H151" s="92"/>
      <c r="I151" s="92"/>
      <c r="J151" s="92"/>
      <c r="K151" s="92"/>
      <c r="L151" s="92"/>
      <c r="M151" s="92"/>
    </row>
    <row r="152" spans="1:13" ht="13.5" thickBot="1" x14ac:dyDescent="0.25">
      <c r="A152" s="129" t="s">
        <v>1</v>
      </c>
      <c r="B152" s="130" t="s">
        <v>16</v>
      </c>
      <c r="C152" s="124"/>
      <c r="D152" s="124"/>
      <c r="E152" s="124"/>
      <c r="F152" s="124"/>
      <c r="G152" s="124"/>
      <c r="H152" s="92"/>
      <c r="I152" s="92"/>
      <c r="J152" s="92"/>
      <c r="K152" s="92"/>
      <c r="L152" s="92"/>
      <c r="M152" s="92"/>
    </row>
    <row r="153" spans="1:13" x14ac:dyDescent="0.2">
      <c r="A153" s="51">
        <v>0</v>
      </c>
      <c r="B153" s="54">
        <v>0</v>
      </c>
      <c r="C153" s="124"/>
      <c r="D153" s="124"/>
      <c r="E153" s="124"/>
      <c r="F153" s="124"/>
      <c r="G153" s="124"/>
      <c r="H153" s="92"/>
      <c r="I153" s="92"/>
      <c r="J153" s="92"/>
      <c r="K153" s="92"/>
      <c r="L153" s="92"/>
      <c r="M153" s="92"/>
    </row>
    <row r="154" spans="1:13" x14ac:dyDescent="0.2">
      <c r="A154" s="52">
        <v>5</v>
      </c>
      <c r="B154" s="55">
        <v>0</v>
      </c>
      <c r="C154" s="124"/>
      <c r="D154" s="124"/>
      <c r="E154" s="124"/>
      <c r="F154" s="124"/>
      <c r="G154" s="124"/>
      <c r="H154" s="92"/>
      <c r="I154" s="92"/>
      <c r="J154" s="92"/>
      <c r="K154" s="92"/>
      <c r="L154" s="92"/>
      <c r="M154" s="92"/>
    </row>
    <row r="155" spans="1:13" x14ac:dyDescent="0.2">
      <c r="A155" s="52">
        <v>10.26</v>
      </c>
      <c r="B155" s="55">
        <v>0</v>
      </c>
      <c r="C155" s="124"/>
      <c r="D155" s="124"/>
      <c r="E155" s="124"/>
      <c r="F155" s="124"/>
      <c r="G155" s="124"/>
      <c r="H155" s="93"/>
      <c r="I155" s="93"/>
      <c r="J155" s="93"/>
      <c r="K155" s="93"/>
      <c r="L155" s="93"/>
      <c r="M155" s="93"/>
    </row>
    <row r="156" spans="1:13" x14ac:dyDescent="0.2">
      <c r="A156" s="52">
        <v>12.82</v>
      </c>
      <c r="B156" s="55">
        <v>119</v>
      </c>
      <c r="C156" s="124"/>
      <c r="D156" s="124"/>
      <c r="E156" s="124"/>
      <c r="F156" s="124"/>
      <c r="G156" s="124"/>
      <c r="H156" s="93"/>
      <c r="I156" s="93"/>
      <c r="J156" s="93"/>
      <c r="K156" s="93"/>
      <c r="L156" s="93"/>
      <c r="M156" s="93"/>
    </row>
    <row r="157" spans="1:13" x14ac:dyDescent="0.2">
      <c r="A157" s="52">
        <v>56</v>
      </c>
      <c r="B157" s="55">
        <v>119</v>
      </c>
      <c r="C157" s="124"/>
      <c r="D157" s="124"/>
      <c r="E157" s="124"/>
      <c r="F157" s="124"/>
      <c r="G157" s="124"/>
      <c r="H157" s="93"/>
      <c r="I157" s="93"/>
      <c r="J157" s="93"/>
      <c r="K157" s="93"/>
      <c r="L157" s="93"/>
      <c r="M157" s="93"/>
    </row>
    <row r="158" spans="1:13" x14ac:dyDescent="0.2">
      <c r="A158" s="52">
        <v>78</v>
      </c>
      <c r="B158" s="55">
        <v>119</v>
      </c>
      <c r="C158" s="124"/>
      <c r="D158" s="124"/>
      <c r="E158" s="124"/>
      <c r="F158" s="124"/>
      <c r="G158" s="124"/>
      <c r="H158" s="93"/>
      <c r="I158" s="93"/>
      <c r="J158" s="93"/>
      <c r="K158" s="93"/>
      <c r="L158" s="93"/>
      <c r="M158" s="93"/>
    </row>
    <row r="159" spans="1:13" x14ac:dyDescent="0.2">
      <c r="A159" s="52">
        <v>90</v>
      </c>
      <c r="B159" s="55">
        <v>119</v>
      </c>
      <c r="C159" s="124"/>
      <c r="D159" s="124"/>
      <c r="E159" s="124"/>
      <c r="F159" s="124"/>
      <c r="G159" s="124"/>
      <c r="H159" s="93"/>
      <c r="I159" s="93"/>
      <c r="J159" s="93"/>
      <c r="K159" s="93"/>
      <c r="L159" s="93"/>
      <c r="M159" s="93"/>
    </row>
    <row r="160" spans="1:13" ht="13.5" thickBot="1" x14ac:dyDescent="0.25">
      <c r="A160" s="53">
        <v>100</v>
      </c>
      <c r="B160" s="56">
        <v>119</v>
      </c>
      <c r="C160" s="124"/>
      <c r="D160" s="124"/>
      <c r="E160" s="124"/>
      <c r="F160" s="124"/>
      <c r="G160" s="124"/>
    </row>
    <row r="161" spans="1:7" ht="13.5" thickBot="1" x14ac:dyDescent="0.25">
      <c r="A161" s="124"/>
      <c r="B161" s="124"/>
      <c r="C161" s="124"/>
      <c r="D161" s="124"/>
      <c r="E161" s="124"/>
      <c r="F161" s="124"/>
      <c r="G161" s="124"/>
    </row>
    <row r="162" spans="1:7" ht="13.5" thickBot="1" x14ac:dyDescent="0.25">
      <c r="A162" s="243" t="s">
        <v>17</v>
      </c>
      <c r="B162" s="26" t="s">
        <v>16</v>
      </c>
      <c r="C162" s="124"/>
      <c r="D162" s="124"/>
      <c r="E162" s="124"/>
      <c r="F162" s="124"/>
      <c r="G162" s="124"/>
    </row>
    <row r="163" spans="1:7" x14ac:dyDescent="0.2">
      <c r="A163" s="39">
        <f t="shared" ref="A163:A170" si="24">A153*F$4/100</f>
        <v>0</v>
      </c>
      <c r="B163" s="40">
        <f t="shared" ref="B163:B170" si="25">B153</f>
        <v>0</v>
      </c>
      <c r="C163" s="124"/>
      <c r="D163" s="124"/>
      <c r="E163" s="124"/>
      <c r="F163" s="124"/>
      <c r="G163" s="124"/>
    </row>
    <row r="164" spans="1:7" x14ac:dyDescent="0.2">
      <c r="A164" s="41">
        <f t="shared" si="24"/>
        <v>9.7500000000000003E-2</v>
      </c>
      <c r="B164" s="42">
        <f t="shared" si="25"/>
        <v>0</v>
      </c>
      <c r="C164" s="124"/>
      <c r="D164" s="124"/>
      <c r="E164" s="124"/>
      <c r="F164" s="124"/>
      <c r="G164" s="124"/>
    </row>
    <row r="165" spans="1:7" x14ac:dyDescent="0.2">
      <c r="A165" s="41">
        <f t="shared" si="24"/>
        <v>0.20006999999999997</v>
      </c>
      <c r="B165" s="42">
        <f t="shared" si="25"/>
        <v>0</v>
      </c>
      <c r="C165" s="124"/>
      <c r="D165" s="124"/>
      <c r="E165" s="124"/>
      <c r="F165" s="124"/>
      <c r="G165" s="124"/>
    </row>
    <row r="166" spans="1:7" x14ac:dyDescent="0.2">
      <c r="A166" s="41">
        <f t="shared" si="24"/>
        <v>0.24998999999999999</v>
      </c>
      <c r="B166" s="42">
        <f t="shared" si="25"/>
        <v>119</v>
      </c>
      <c r="C166" s="124"/>
      <c r="D166" s="124"/>
      <c r="E166" s="124"/>
      <c r="F166" s="124"/>
      <c r="G166" s="124"/>
    </row>
    <row r="167" spans="1:7" x14ac:dyDescent="0.2">
      <c r="A167" s="41">
        <f t="shared" si="24"/>
        <v>1.0920000000000001</v>
      </c>
      <c r="B167" s="42">
        <f t="shared" si="25"/>
        <v>119</v>
      </c>
      <c r="C167" s="124"/>
      <c r="D167" s="124"/>
      <c r="E167" s="124"/>
      <c r="F167" s="124"/>
      <c r="G167" s="124"/>
    </row>
    <row r="168" spans="1:7" x14ac:dyDescent="0.2">
      <c r="A168" s="41">
        <f t="shared" si="24"/>
        <v>1.5209999999999999</v>
      </c>
      <c r="B168" s="42">
        <f t="shared" si="25"/>
        <v>119</v>
      </c>
      <c r="C168" s="124"/>
      <c r="D168" s="124"/>
      <c r="E168" s="124"/>
      <c r="F168" s="124"/>
      <c r="G168" s="124"/>
    </row>
    <row r="169" spans="1:7" x14ac:dyDescent="0.2">
      <c r="A169" s="41">
        <f t="shared" si="24"/>
        <v>1.7549999999999999</v>
      </c>
      <c r="B169" s="42">
        <f t="shared" si="25"/>
        <v>119</v>
      </c>
      <c r="C169" s="124"/>
      <c r="D169" s="124"/>
      <c r="E169" s="124"/>
      <c r="F169" s="124"/>
      <c r="G169" s="124"/>
    </row>
    <row r="170" spans="1:7" ht="13.5" thickBot="1" x14ac:dyDescent="0.25">
      <c r="A170" s="43">
        <f t="shared" si="24"/>
        <v>1.95</v>
      </c>
      <c r="B170" s="44">
        <f t="shared" si="25"/>
        <v>119</v>
      </c>
      <c r="C170" s="124"/>
      <c r="D170" s="124"/>
      <c r="E170" s="124"/>
      <c r="F170" s="124"/>
      <c r="G170" s="124"/>
    </row>
    <row r="171" spans="1:7" x14ac:dyDescent="0.2">
      <c r="A171" s="124"/>
      <c r="B171" s="124"/>
      <c r="C171" s="124"/>
      <c r="D171" s="124"/>
      <c r="E171" s="124"/>
      <c r="F171" s="124"/>
      <c r="G171" s="124"/>
    </row>
    <row r="172" spans="1:7" ht="13.5" thickBot="1" x14ac:dyDescent="0.25">
      <c r="A172" s="132"/>
      <c r="B172" s="132"/>
      <c r="C172" s="124"/>
      <c r="D172" s="124"/>
      <c r="E172" s="124"/>
      <c r="F172" s="124"/>
      <c r="G172" s="124"/>
    </row>
    <row r="173" spans="1:7" ht="13.5" thickBot="1" x14ac:dyDescent="0.25">
      <c r="A173" s="129" t="s">
        <v>57</v>
      </c>
      <c r="B173" s="130" t="s">
        <v>48</v>
      </c>
      <c r="C173" s="124"/>
      <c r="D173" s="124"/>
      <c r="E173" s="124"/>
      <c r="F173" s="124"/>
      <c r="G173" s="124"/>
    </row>
    <row r="174" spans="1:7" ht="13.5" thickBot="1" x14ac:dyDescent="0.25">
      <c r="A174" s="133" t="s">
        <v>59</v>
      </c>
      <c r="B174" s="246">
        <v>60</v>
      </c>
      <c r="C174" s="124"/>
      <c r="D174" s="124"/>
      <c r="E174" s="124"/>
      <c r="F174" s="124"/>
      <c r="G174" s="124"/>
    </row>
    <row r="175" spans="1:7" ht="13.5" thickBot="1" x14ac:dyDescent="0.25">
      <c r="A175" s="132"/>
      <c r="B175" s="132"/>
      <c r="C175" s="124"/>
      <c r="D175" s="124"/>
      <c r="E175" s="124"/>
      <c r="F175" s="124"/>
      <c r="G175" s="124"/>
    </row>
    <row r="176" spans="1:7" ht="13.5" thickBot="1" x14ac:dyDescent="0.25">
      <c r="A176" s="129" t="s">
        <v>1</v>
      </c>
      <c r="B176" s="130" t="s">
        <v>16</v>
      </c>
      <c r="C176" s="124"/>
      <c r="D176" s="124"/>
      <c r="E176" s="124"/>
      <c r="F176" s="124"/>
      <c r="G176" s="124"/>
    </row>
    <row r="177" spans="1:7" x14ac:dyDescent="0.2">
      <c r="A177" s="57">
        <v>0</v>
      </c>
      <c r="B177" s="54">
        <v>0</v>
      </c>
      <c r="C177" s="124"/>
      <c r="D177" s="124"/>
      <c r="E177" s="124"/>
      <c r="F177" s="124"/>
      <c r="G177" s="124"/>
    </row>
    <row r="178" spans="1:7" x14ac:dyDescent="0.2">
      <c r="A178" s="52">
        <v>10</v>
      </c>
      <c r="B178" s="55">
        <v>0</v>
      </c>
      <c r="C178" s="124"/>
      <c r="D178" s="124"/>
      <c r="E178" s="124"/>
      <c r="F178" s="124"/>
      <c r="G178" s="124"/>
    </row>
    <row r="179" spans="1:7" x14ac:dyDescent="0.2">
      <c r="A179" s="52">
        <v>50</v>
      </c>
      <c r="B179" s="55">
        <v>0</v>
      </c>
      <c r="C179" s="124"/>
      <c r="D179" s="124"/>
      <c r="E179" s="124"/>
      <c r="F179" s="124"/>
      <c r="G179" s="124"/>
    </row>
    <row r="180" spans="1:7" x14ac:dyDescent="0.2">
      <c r="A180" s="52">
        <v>75</v>
      </c>
      <c r="B180" s="55">
        <v>0</v>
      </c>
      <c r="C180" s="124"/>
      <c r="D180" s="124"/>
      <c r="E180" s="124"/>
      <c r="F180" s="124"/>
      <c r="G180" s="124"/>
    </row>
    <row r="181" spans="1:7" x14ac:dyDescent="0.2">
      <c r="A181" s="52">
        <v>88</v>
      </c>
      <c r="B181" s="55">
        <v>0</v>
      </c>
      <c r="C181" s="124"/>
      <c r="D181" s="124"/>
      <c r="E181" s="124"/>
      <c r="F181" s="124"/>
      <c r="G181" s="124"/>
    </row>
    <row r="182" spans="1:7" x14ac:dyDescent="0.2">
      <c r="A182" s="52">
        <v>94</v>
      </c>
      <c r="B182" s="55">
        <v>0</v>
      </c>
      <c r="C182" s="124"/>
      <c r="D182" s="124"/>
      <c r="E182" s="124"/>
      <c r="F182" s="124"/>
      <c r="G182" s="124"/>
    </row>
    <row r="183" spans="1:7" x14ac:dyDescent="0.2">
      <c r="A183" s="52">
        <v>95</v>
      </c>
      <c r="B183" s="55">
        <v>0</v>
      </c>
      <c r="C183" s="124"/>
      <c r="D183" s="124"/>
      <c r="E183" s="124"/>
      <c r="F183" s="124"/>
      <c r="G183" s="124"/>
    </row>
    <row r="184" spans="1:7" ht="13.5" thickBot="1" x14ac:dyDescent="0.25">
      <c r="A184" s="53">
        <v>100</v>
      </c>
      <c r="B184" s="56">
        <v>0</v>
      </c>
      <c r="C184" s="124"/>
      <c r="D184" s="124"/>
      <c r="E184" s="124"/>
      <c r="F184" s="124"/>
      <c r="G184" s="124"/>
    </row>
    <row r="185" spans="1:7" ht="13.5" thickBot="1" x14ac:dyDescent="0.25">
      <c r="A185" s="124"/>
      <c r="B185" s="124"/>
      <c r="C185" s="124"/>
      <c r="D185" s="124"/>
      <c r="E185" s="124"/>
      <c r="F185" s="124"/>
      <c r="G185" s="124"/>
    </row>
    <row r="186" spans="1:7" ht="13.5" thickBot="1" x14ac:dyDescent="0.25">
      <c r="A186" s="127" t="s">
        <v>17</v>
      </c>
      <c r="B186" s="26" t="s">
        <v>16</v>
      </c>
      <c r="C186" s="124"/>
      <c r="D186" s="124"/>
      <c r="E186" s="124"/>
      <c r="F186" s="124"/>
      <c r="G186" s="124"/>
    </row>
    <row r="187" spans="1:7" x14ac:dyDescent="0.2">
      <c r="A187" s="39">
        <f t="shared" ref="A187:A194" si="26">A177*F$4/100</f>
        <v>0</v>
      </c>
      <c r="B187" s="40">
        <f t="shared" ref="B187:B194" si="27">B177</f>
        <v>0</v>
      </c>
      <c r="C187" s="124"/>
      <c r="D187" s="124"/>
      <c r="E187" s="124"/>
      <c r="F187" s="124"/>
      <c r="G187" s="124"/>
    </row>
    <row r="188" spans="1:7" x14ac:dyDescent="0.2">
      <c r="A188" s="41">
        <f t="shared" si="26"/>
        <v>0.19500000000000001</v>
      </c>
      <c r="B188" s="42">
        <f t="shared" si="27"/>
        <v>0</v>
      </c>
      <c r="C188" s="124"/>
      <c r="D188" s="124"/>
      <c r="E188" s="124"/>
      <c r="F188" s="124"/>
      <c r="G188" s="124"/>
    </row>
    <row r="189" spans="1:7" x14ac:dyDescent="0.2">
      <c r="A189" s="41">
        <f t="shared" si="26"/>
        <v>0.97499999999999998</v>
      </c>
      <c r="B189" s="42">
        <f t="shared" si="27"/>
        <v>0</v>
      </c>
      <c r="C189" s="124"/>
      <c r="D189" s="124"/>
      <c r="E189" s="124"/>
      <c r="F189" s="124"/>
      <c r="G189" s="124"/>
    </row>
    <row r="190" spans="1:7" x14ac:dyDescent="0.2">
      <c r="A190" s="41">
        <f t="shared" si="26"/>
        <v>1.4624999999999999</v>
      </c>
      <c r="B190" s="42">
        <f t="shared" si="27"/>
        <v>0</v>
      </c>
      <c r="C190" s="124"/>
      <c r="D190" s="124"/>
      <c r="E190" s="124"/>
      <c r="F190" s="124"/>
      <c r="G190" s="124"/>
    </row>
    <row r="191" spans="1:7" x14ac:dyDescent="0.2">
      <c r="A191" s="41">
        <f t="shared" si="26"/>
        <v>1.716</v>
      </c>
      <c r="B191" s="42">
        <f t="shared" si="27"/>
        <v>0</v>
      </c>
      <c r="C191" s="124"/>
      <c r="D191" s="124"/>
      <c r="E191" s="124"/>
      <c r="F191" s="124"/>
      <c r="G191" s="124"/>
    </row>
    <row r="192" spans="1:7" x14ac:dyDescent="0.2">
      <c r="A192" s="131">
        <f t="shared" si="26"/>
        <v>1.8329999999999997</v>
      </c>
      <c r="B192" s="137">
        <f t="shared" si="27"/>
        <v>0</v>
      </c>
      <c r="C192" s="124"/>
      <c r="D192" s="124"/>
      <c r="E192" s="124"/>
      <c r="F192" s="124"/>
      <c r="G192" s="124"/>
    </row>
    <row r="193" spans="1:7" x14ac:dyDescent="0.2">
      <c r="A193" s="131">
        <f t="shared" si="26"/>
        <v>1.8525</v>
      </c>
      <c r="B193" s="137">
        <f t="shared" si="27"/>
        <v>0</v>
      </c>
      <c r="C193" s="124"/>
      <c r="D193" s="124"/>
      <c r="E193" s="124"/>
      <c r="F193" s="124"/>
      <c r="G193" s="124"/>
    </row>
    <row r="194" spans="1:7" ht="13.5" thickBot="1" x14ac:dyDescent="0.25">
      <c r="A194" s="138">
        <f t="shared" si="26"/>
        <v>1.95</v>
      </c>
      <c r="B194" s="139">
        <f t="shared" si="27"/>
        <v>0</v>
      </c>
      <c r="C194" s="1"/>
      <c r="D194" s="1"/>
      <c r="E194" s="1"/>
      <c r="F194" s="1"/>
      <c r="G194" s="1"/>
    </row>
    <row r="195" spans="1:7" x14ac:dyDescent="0.2">
      <c r="A195" s="140"/>
      <c r="B195" s="140"/>
      <c r="C195" s="1"/>
      <c r="D195" s="1"/>
      <c r="E195" s="1"/>
      <c r="F195" s="1"/>
      <c r="G195" s="1"/>
    </row>
    <row r="196" spans="1:7" ht="13.5" thickBot="1" x14ac:dyDescent="0.25">
      <c r="A196" s="140"/>
      <c r="B196" s="140"/>
      <c r="C196" s="1"/>
      <c r="D196" s="1"/>
      <c r="E196" s="1"/>
      <c r="F196" s="1"/>
      <c r="G196" s="1"/>
    </row>
    <row r="197" spans="1:7" ht="13.5" thickBot="1" x14ac:dyDescent="0.25">
      <c r="A197" s="141" t="s">
        <v>57</v>
      </c>
      <c r="B197" s="130" t="s">
        <v>48</v>
      </c>
      <c r="C197" s="1"/>
      <c r="D197" s="1"/>
      <c r="E197" s="1"/>
      <c r="F197" s="1"/>
      <c r="G197" s="1"/>
    </row>
    <row r="198" spans="1:7" ht="13.5" thickBot="1" x14ac:dyDescent="0.25">
      <c r="A198" s="13" t="s">
        <v>60</v>
      </c>
      <c r="B198" s="245">
        <v>30</v>
      </c>
      <c r="C198" s="1"/>
      <c r="D198" s="1"/>
      <c r="E198" s="1"/>
      <c r="F198" s="1"/>
      <c r="G198" s="1"/>
    </row>
    <row r="199" spans="1:7" ht="13.5" thickBot="1" x14ac:dyDescent="0.25">
      <c r="A199"/>
      <c r="B199"/>
      <c r="C199"/>
      <c r="D199"/>
      <c r="E199"/>
      <c r="F199"/>
      <c r="G199"/>
    </row>
    <row r="200" spans="1:7" ht="13.5" thickBot="1" x14ac:dyDescent="0.25">
      <c r="A200" s="127" t="s">
        <v>1</v>
      </c>
      <c r="B200" s="26" t="s">
        <v>16</v>
      </c>
      <c r="C200"/>
      <c r="D200"/>
      <c r="E200"/>
      <c r="F200"/>
      <c r="G200"/>
    </row>
    <row r="201" spans="1:7" x14ac:dyDescent="0.2">
      <c r="A201" s="57">
        <v>0</v>
      </c>
      <c r="B201" s="54">
        <v>0</v>
      </c>
      <c r="C201"/>
      <c r="D201"/>
      <c r="E201"/>
      <c r="F201"/>
      <c r="G201"/>
    </row>
    <row r="202" spans="1:7" x14ac:dyDescent="0.2">
      <c r="A202" s="52">
        <v>5</v>
      </c>
      <c r="B202" s="55">
        <v>0</v>
      </c>
      <c r="C202"/>
      <c r="D202"/>
      <c r="E202"/>
      <c r="F202"/>
      <c r="G202"/>
    </row>
    <row r="203" spans="1:7" x14ac:dyDescent="0.2">
      <c r="A203" s="52">
        <v>10.256410000000001</v>
      </c>
      <c r="B203" s="55">
        <v>0</v>
      </c>
      <c r="C203"/>
      <c r="D203"/>
      <c r="E203"/>
      <c r="F203"/>
      <c r="G203"/>
    </row>
    <row r="204" spans="1:7" x14ac:dyDescent="0.2">
      <c r="A204" s="52">
        <v>12.820513</v>
      </c>
      <c r="B204" s="55">
        <v>60</v>
      </c>
      <c r="C204"/>
      <c r="D204"/>
      <c r="E204"/>
      <c r="F204"/>
      <c r="G204"/>
    </row>
    <row r="205" spans="1:7" x14ac:dyDescent="0.2">
      <c r="A205" s="52">
        <v>89.743589999999998</v>
      </c>
      <c r="B205" s="55">
        <v>60</v>
      </c>
      <c r="C205"/>
      <c r="D205"/>
      <c r="E205"/>
      <c r="F205"/>
      <c r="G205"/>
    </row>
    <row r="206" spans="1:7" x14ac:dyDescent="0.2">
      <c r="A206" s="52">
        <v>95</v>
      </c>
      <c r="B206" s="55">
        <v>43</v>
      </c>
      <c r="C206"/>
      <c r="D206"/>
      <c r="E206"/>
      <c r="F206"/>
      <c r="G206"/>
    </row>
    <row r="207" spans="1:7" x14ac:dyDescent="0.2">
      <c r="A207" s="52">
        <v>98</v>
      </c>
      <c r="B207" s="55">
        <v>36</v>
      </c>
      <c r="C207"/>
      <c r="D207"/>
      <c r="E207"/>
      <c r="F207"/>
      <c r="G207"/>
    </row>
    <row r="208" spans="1:7" ht="13.5" thickBot="1" x14ac:dyDescent="0.25">
      <c r="A208" s="53">
        <v>100</v>
      </c>
      <c r="B208" s="56">
        <v>25</v>
      </c>
      <c r="C208"/>
      <c r="D208"/>
      <c r="E208"/>
      <c r="F208"/>
      <c r="G208"/>
    </row>
    <row r="209" spans="1:7" ht="13.5" thickBot="1" x14ac:dyDescent="0.25">
      <c r="A209"/>
      <c r="B209"/>
      <c r="C209"/>
      <c r="D209"/>
      <c r="E209"/>
      <c r="F209"/>
      <c r="G209"/>
    </row>
    <row r="210" spans="1:7" ht="13.5" thickBot="1" x14ac:dyDescent="0.25">
      <c r="A210" s="127" t="s">
        <v>17</v>
      </c>
      <c r="B210" s="26" t="s">
        <v>16</v>
      </c>
      <c r="C210"/>
      <c r="D210"/>
      <c r="E210"/>
      <c r="F210"/>
      <c r="G210"/>
    </row>
    <row r="211" spans="1:7" x14ac:dyDescent="0.2">
      <c r="A211" s="39">
        <f t="shared" ref="A211:A218" si="28">A201*F$4/100</f>
        <v>0</v>
      </c>
      <c r="B211" s="40">
        <f t="shared" ref="B211:B218" si="29">B201</f>
        <v>0</v>
      </c>
      <c r="C211"/>
      <c r="D211"/>
      <c r="E211"/>
      <c r="F211"/>
      <c r="G211"/>
    </row>
    <row r="212" spans="1:7" x14ac:dyDescent="0.2">
      <c r="A212" s="131">
        <f t="shared" si="28"/>
        <v>9.7500000000000003E-2</v>
      </c>
      <c r="B212" s="137">
        <f t="shared" si="29"/>
        <v>0</v>
      </c>
      <c r="C212"/>
      <c r="D212"/>
      <c r="E212"/>
      <c r="F212"/>
      <c r="G212"/>
    </row>
    <row r="213" spans="1:7" x14ac:dyDescent="0.2">
      <c r="A213" s="131">
        <f t="shared" si="28"/>
        <v>0.19999999500000001</v>
      </c>
      <c r="B213" s="137">
        <f t="shared" si="29"/>
        <v>0</v>
      </c>
      <c r="C213"/>
      <c r="D213"/>
      <c r="E213"/>
      <c r="F213"/>
      <c r="G213"/>
    </row>
    <row r="214" spans="1:7" x14ac:dyDescent="0.2">
      <c r="A214" s="131">
        <f t="shared" si="28"/>
        <v>0.25000000350000001</v>
      </c>
      <c r="B214" s="137">
        <f t="shared" si="29"/>
        <v>60</v>
      </c>
      <c r="C214"/>
      <c r="D214"/>
      <c r="E214"/>
      <c r="F214"/>
      <c r="G214"/>
    </row>
    <row r="215" spans="1:7" x14ac:dyDescent="0.2">
      <c r="A215" s="131">
        <f t="shared" si="28"/>
        <v>1.750000005</v>
      </c>
      <c r="B215" s="137">
        <f t="shared" si="29"/>
        <v>60</v>
      </c>
      <c r="C215"/>
      <c r="D215"/>
      <c r="E215"/>
      <c r="F215"/>
      <c r="G215"/>
    </row>
    <row r="216" spans="1:7" x14ac:dyDescent="0.2">
      <c r="A216" s="131">
        <f t="shared" si="28"/>
        <v>1.8525</v>
      </c>
      <c r="B216" s="137">
        <f t="shared" si="29"/>
        <v>43</v>
      </c>
      <c r="C216"/>
      <c r="D216"/>
      <c r="E216"/>
      <c r="F216"/>
      <c r="G216"/>
    </row>
    <row r="217" spans="1:7" x14ac:dyDescent="0.2">
      <c r="A217" s="131">
        <f t="shared" si="28"/>
        <v>1.911</v>
      </c>
      <c r="B217" s="137">
        <f t="shared" si="29"/>
        <v>36</v>
      </c>
      <c r="C217"/>
      <c r="D217"/>
      <c r="E217"/>
      <c r="F217"/>
      <c r="G217"/>
    </row>
    <row r="218" spans="1:7" ht="13.5" thickBot="1" x14ac:dyDescent="0.25">
      <c r="A218" s="43">
        <f t="shared" si="28"/>
        <v>1.95</v>
      </c>
      <c r="B218" s="44">
        <f t="shared" si="29"/>
        <v>25</v>
      </c>
      <c r="C218"/>
      <c r="D218"/>
      <c r="E218"/>
      <c r="F218"/>
      <c r="G218"/>
    </row>
    <row r="219" spans="1:7" x14ac:dyDescent="0.2">
      <c r="A219"/>
      <c r="B219"/>
      <c r="C219"/>
      <c r="D219"/>
      <c r="E219"/>
      <c r="F219"/>
      <c r="G219"/>
    </row>
    <row r="220" spans="1:7" ht="13.5" thickBot="1" x14ac:dyDescent="0.25">
      <c r="A220"/>
      <c r="B220"/>
      <c r="C220"/>
      <c r="D220"/>
      <c r="E220"/>
      <c r="F220"/>
      <c r="G220"/>
    </row>
    <row r="221" spans="1:7" ht="13.5" thickBot="1" x14ac:dyDescent="0.25">
      <c r="A221" s="127" t="s">
        <v>57</v>
      </c>
      <c r="B221" s="26" t="s">
        <v>48</v>
      </c>
      <c r="C221"/>
      <c r="D221"/>
      <c r="E221"/>
      <c r="F221"/>
      <c r="G221"/>
    </row>
    <row r="222" spans="1:7" ht="13.5" thickBot="1" x14ac:dyDescent="0.25">
      <c r="A222" s="13" t="s">
        <v>61</v>
      </c>
      <c r="B222" s="245">
        <v>60</v>
      </c>
      <c r="C222"/>
      <c r="D222"/>
      <c r="E222"/>
      <c r="F222"/>
      <c r="G222"/>
    </row>
    <row r="223" spans="1:7" ht="13.5" thickBot="1" x14ac:dyDescent="0.25">
      <c r="A223"/>
      <c r="B223"/>
      <c r="C223"/>
      <c r="D223"/>
      <c r="E223"/>
      <c r="F223"/>
      <c r="G223"/>
    </row>
    <row r="224" spans="1:7" ht="13.5" thickBot="1" x14ac:dyDescent="0.25">
      <c r="A224" s="127" t="s">
        <v>1</v>
      </c>
      <c r="B224" s="26" t="s">
        <v>16</v>
      </c>
      <c r="C224"/>
      <c r="D224"/>
      <c r="E224"/>
      <c r="F224"/>
      <c r="G224"/>
    </row>
    <row r="225" spans="1:7" x14ac:dyDescent="0.2">
      <c r="A225" s="57">
        <v>0</v>
      </c>
      <c r="B225" s="54">
        <v>0</v>
      </c>
      <c r="C225"/>
      <c r="D225"/>
      <c r="E225"/>
      <c r="F225"/>
      <c r="G225"/>
    </row>
    <row r="226" spans="1:7" x14ac:dyDescent="0.2">
      <c r="A226" s="52">
        <v>10.26</v>
      </c>
      <c r="B226" s="55">
        <v>0</v>
      </c>
      <c r="C226"/>
      <c r="D226"/>
      <c r="E226"/>
      <c r="F226"/>
      <c r="G226"/>
    </row>
    <row r="227" spans="1:7" x14ac:dyDescent="0.2">
      <c r="A227" s="52">
        <v>12.82</v>
      </c>
      <c r="B227" s="55">
        <v>150</v>
      </c>
      <c r="C227"/>
      <c r="D227"/>
      <c r="E227"/>
      <c r="F227"/>
      <c r="G227"/>
    </row>
    <row r="228" spans="1:7" x14ac:dyDescent="0.2">
      <c r="A228" s="52">
        <v>56</v>
      </c>
      <c r="B228" s="55">
        <v>150</v>
      </c>
      <c r="C228"/>
      <c r="D228"/>
      <c r="E228"/>
      <c r="F228"/>
      <c r="G228"/>
    </row>
    <row r="229" spans="1:7" x14ac:dyDescent="0.2">
      <c r="A229" s="52">
        <v>78</v>
      </c>
      <c r="B229" s="55">
        <v>150</v>
      </c>
      <c r="C229"/>
      <c r="D229"/>
      <c r="E229"/>
      <c r="F229"/>
      <c r="G229"/>
    </row>
    <row r="230" spans="1:7" x14ac:dyDescent="0.2">
      <c r="A230" s="52">
        <v>89</v>
      </c>
      <c r="B230" s="55">
        <v>150</v>
      </c>
      <c r="C230"/>
      <c r="D230"/>
      <c r="E230"/>
      <c r="F230"/>
      <c r="G230"/>
    </row>
    <row r="231" spans="1:7" x14ac:dyDescent="0.2">
      <c r="A231" s="52">
        <v>95</v>
      </c>
      <c r="B231" s="55">
        <v>150</v>
      </c>
      <c r="C231"/>
      <c r="D231"/>
      <c r="E231"/>
      <c r="F231"/>
      <c r="G231"/>
    </row>
    <row r="232" spans="1:7" ht="13.5" thickBot="1" x14ac:dyDescent="0.25">
      <c r="A232" s="53">
        <v>100</v>
      </c>
      <c r="B232" s="56">
        <v>150</v>
      </c>
      <c r="C232"/>
      <c r="D232"/>
      <c r="E232"/>
      <c r="F232"/>
      <c r="G232"/>
    </row>
    <row r="233" spans="1:7" ht="13.5" thickBot="1" x14ac:dyDescent="0.25">
      <c r="A233" s="134"/>
      <c r="B233" s="134"/>
      <c r="C233"/>
      <c r="D233"/>
      <c r="E233"/>
      <c r="F233"/>
      <c r="G233"/>
    </row>
    <row r="234" spans="1:7" ht="13.5" thickBot="1" x14ac:dyDescent="0.25">
      <c r="A234" s="129" t="s">
        <v>17</v>
      </c>
      <c r="B234" s="130" t="s">
        <v>16</v>
      </c>
      <c r="C234"/>
      <c r="D234"/>
      <c r="E234"/>
      <c r="F234"/>
      <c r="G234"/>
    </row>
    <row r="235" spans="1:7" x14ac:dyDescent="0.2">
      <c r="A235" s="143">
        <f t="shared" ref="A235:A242" si="30">A225*F$4/100</f>
        <v>0</v>
      </c>
      <c r="B235" s="144">
        <f t="shared" ref="B235:B242" si="31">B225</f>
        <v>0</v>
      </c>
      <c r="C235"/>
      <c r="D235"/>
      <c r="E235"/>
      <c r="F235"/>
      <c r="G235"/>
    </row>
    <row r="236" spans="1:7" x14ac:dyDescent="0.2">
      <c r="A236" s="131">
        <f t="shared" si="30"/>
        <v>0.20006999999999997</v>
      </c>
      <c r="B236" s="137">
        <f t="shared" si="31"/>
        <v>0</v>
      </c>
      <c r="C236"/>
      <c r="D236"/>
      <c r="E236"/>
      <c r="F236"/>
      <c r="G236"/>
    </row>
    <row r="237" spans="1:7" x14ac:dyDescent="0.2">
      <c r="A237" s="131">
        <f t="shared" si="30"/>
        <v>0.24998999999999999</v>
      </c>
      <c r="B237" s="137">
        <f t="shared" si="31"/>
        <v>150</v>
      </c>
      <c r="C237"/>
      <c r="D237"/>
      <c r="E237"/>
      <c r="F237"/>
      <c r="G237"/>
    </row>
    <row r="238" spans="1:7" x14ac:dyDescent="0.2">
      <c r="A238" s="41">
        <f t="shared" si="30"/>
        <v>1.0920000000000001</v>
      </c>
      <c r="B238" s="42">
        <f t="shared" si="31"/>
        <v>150</v>
      </c>
      <c r="C238"/>
      <c r="D238"/>
      <c r="E238"/>
      <c r="F238"/>
      <c r="G238"/>
    </row>
    <row r="239" spans="1:7" x14ac:dyDescent="0.2">
      <c r="A239" s="41">
        <f t="shared" si="30"/>
        <v>1.5209999999999999</v>
      </c>
      <c r="B239" s="42">
        <f t="shared" si="31"/>
        <v>150</v>
      </c>
      <c r="C239"/>
      <c r="D239"/>
      <c r="E239"/>
      <c r="F239"/>
      <c r="G239"/>
    </row>
    <row r="240" spans="1:7" x14ac:dyDescent="0.2">
      <c r="A240" s="41">
        <f t="shared" si="30"/>
        <v>1.7354999999999998</v>
      </c>
      <c r="B240" s="42">
        <f t="shared" si="31"/>
        <v>150</v>
      </c>
      <c r="C240"/>
      <c r="D240"/>
      <c r="E240"/>
      <c r="F240"/>
      <c r="G240"/>
    </row>
    <row r="241" spans="1:7" x14ac:dyDescent="0.2">
      <c r="A241" s="41">
        <f t="shared" si="30"/>
        <v>1.8525</v>
      </c>
      <c r="B241" s="42">
        <f t="shared" si="31"/>
        <v>150</v>
      </c>
      <c r="C241"/>
      <c r="D241"/>
      <c r="E241"/>
      <c r="F241"/>
      <c r="G241"/>
    </row>
    <row r="242" spans="1:7" ht="13.5" thickBot="1" x14ac:dyDescent="0.25">
      <c r="A242" s="43">
        <f t="shared" si="30"/>
        <v>1.95</v>
      </c>
      <c r="B242" s="44">
        <f t="shared" si="31"/>
        <v>150</v>
      </c>
      <c r="C242"/>
      <c r="D242"/>
      <c r="E242"/>
      <c r="F242"/>
      <c r="G242"/>
    </row>
    <row r="243" spans="1:7" x14ac:dyDescent="0.2">
      <c r="A243"/>
      <c r="B243"/>
      <c r="C243"/>
      <c r="D243"/>
      <c r="E243"/>
      <c r="F243"/>
      <c r="G243"/>
    </row>
    <row r="244" spans="1:7" ht="13.5" thickBot="1" x14ac:dyDescent="0.25">
      <c r="A244"/>
      <c r="B244"/>
      <c r="C244"/>
      <c r="D244"/>
      <c r="E244"/>
      <c r="F244"/>
      <c r="G244"/>
    </row>
    <row r="245" spans="1:7" ht="13.5" thickBot="1" x14ac:dyDescent="0.25">
      <c r="A245" s="127" t="s">
        <v>57</v>
      </c>
      <c r="B245" s="26" t="s">
        <v>48</v>
      </c>
      <c r="C245"/>
      <c r="D245"/>
      <c r="E245"/>
      <c r="F245"/>
      <c r="G245"/>
    </row>
    <row r="246" spans="1:7" ht="13.5" thickBot="1" x14ac:dyDescent="0.25">
      <c r="A246" s="13" t="s">
        <v>62</v>
      </c>
      <c r="B246" s="245">
        <v>60</v>
      </c>
      <c r="C246"/>
      <c r="D246"/>
      <c r="E246"/>
      <c r="F246"/>
      <c r="G246"/>
    </row>
    <row r="247" spans="1:7" ht="13.5" thickBot="1" x14ac:dyDescent="0.25">
      <c r="A247"/>
      <c r="B247"/>
      <c r="C247"/>
      <c r="D247"/>
      <c r="E247"/>
      <c r="F247"/>
      <c r="G247"/>
    </row>
    <row r="248" spans="1:7" ht="13.5" thickBot="1" x14ac:dyDescent="0.25">
      <c r="A248" s="127" t="s">
        <v>1</v>
      </c>
      <c r="B248" s="26" t="s">
        <v>16</v>
      </c>
      <c r="C248"/>
      <c r="D248"/>
      <c r="E248"/>
      <c r="F248"/>
      <c r="G248"/>
    </row>
    <row r="249" spans="1:7" x14ac:dyDescent="0.2">
      <c r="A249" s="57">
        <v>0</v>
      </c>
      <c r="B249" s="54">
        <v>0</v>
      </c>
      <c r="C249"/>
      <c r="D249"/>
      <c r="E249"/>
      <c r="F249"/>
      <c r="G249"/>
    </row>
    <row r="250" spans="1:7" x14ac:dyDescent="0.2">
      <c r="A250" s="52">
        <v>10.26</v>
      </c>
      <c r="B250" s="55">
        <v>0</v>
      </c>
      <c r="C250"/>
      <c r="D250"/>
      <c r="E250"/>
      <c r="F250"/>
      <c r="G250"/>
    </row>
    <row r="251" spans="1:7" x14ac:dyDescent="0.2">
      <c r="A251" s="52">
        <v>12.82</v>
      </c>
      <c r="B251" s="55">
        <v>150</v>
      </c>
      <c r="C251"/>
      <c r="D251"/>
      <c r="E251"/>
      <c r="F251"/>
      <c r="G251"/>
    </row>
    <row r="252" spans="1:7" x14ac:dyDescent="0.2">
      <c r="A252" s="52">
        <v>56</v>
      </c>
      <c r="B252" s="55">
        <v>150</v>
      </c>
      <c r="C252"/>
      <c r="D252"/>
      <c r="E252"/>
      <c r="F252"/>
      <c r="G252"/>
    </row>
    <row r="253" spans="1:7" x14ac:dyDescent="0.2">
      <c r="A253" s="52">
        <v>78</v>
      </c>
      <c r="B253" s="55">
        <v>150</v>
      </c>
      <c r="C253"/>
      <c r="D253"/>
      <c r="E253"/>
      <c r="F253"/>
      <c r="G253"/>
    </row>
    <row r="254" spans="1:7" x14ac:dyDescent="0.2">
      <c r="A254" s="52">
        <v>89</v>
      </c>
      <c r="B254" s="55">
        <v>150</v>
      </c>
      <c r="C254"/>
      <c r="D254"/>
      <c r="E254"/>
      <c r="F254"/>
      <c r="G254"/>
    </row>
    <row r="255" spans="1:7" x14ac:dyDescent="0.2">
      <c r="A255" s="52">
        <v>95</v>
      </c>
      <c r="B255" s="55">
        <v>150</v>
      </c>
      <c r="C255"/>
      <c r="D255"/>
      <c r="E255"/>
      <c r="F255"/>
      <c r="G255"/>
    </row>
    <row r="256" spans="1:7" ht="13.5" thickBot="1" x14ac:dyDescent="0.25">
      <c r="A256" s="53">
        <v>100</v>
      </c>
      <c r="B256" s="56">
        <v>150</v>
      </c>
      <c r="C256"/>
      <c r="D256"/>
      <c r="E256"/>
      <c r="F256"/>
      <c r="G256"/>
    </row>
    <row r="257" spans="1:7" ht="13.5" thickBot="1" x14ac:dyDescent="0.25">
      <c r="A257"/>
      <c r="B257"/>
      <c r="C257"/>
      <c r="D257"/>
      <c r="E257"/>
      <c r="F257"/>
      <c r="G257"/>
    </row>
    <row r="258" spans="1:7" ht="13.5" thickBot="1" x14ac:dyDescent="0.25">
      <c r="A258" s="127" t="s">
        <v>17</v>
      </c>
      <c r="B258" s="26" t="s">
        <v>16</v>
      </c>
      <c r="C258"/>
      <c r="D258"/>
      <c r="E258"/>
      <c r="F258"/>
      <c r="G258"/>
    </row>
    <row r="259" spans="1:7" x14ac:dyDescent="0.2">
      <c r="A259" s="39">
        <f t="shared" ref="A259:A266" si="32">A249*F$4/100</f>
        <v>0</v>
      </c>
      <c r="B259" s="40">
        <f t="shared" ref="B259:B266" si="33">B249</f>
        <v>0</v>
      </c>
      <c r="C259"/>
      <c r="D259"/>
      <c r="E259"/>
      <c r="F259"/>
      <c r="G259"/>
    </row>
    <row r="260" spans="1:7" x14ac:dyDescent="0.2">
      <c r="A260" s="41">
        <f t="shared" si="32"/>
        <v>0.20006999999999997</v>
      </c>
      <c r="B260" s="42">
        <f t="shared" si="33"/>
        <v>0</v>
      </c>
      <c r="C260"/>
      <c r="D260"/>
      <c r="E260"/>
      <c r="F260"/>
      <c r="G260"/>
    </row>
    <row r="261" spans="1:7" x14ac:dyDescent="0.2">
      <c r="A261" s="41">
        <f t="shared" si="32"/>
        <v>0.24998999999999999</v>
      </c>
      <c r="B261" s="42">
        <f t="shared" si="33"/>
        <v>150</v>
      </c>
      <c r="C261"/>
      <c r="D261"/>
      <c r="E261"/>
      <c r="F261"/>
      <c r="G261"/>
    </row>
    <row r="262" spans="1:7" x14ac:dyDescent="0.2">
      <c r="A262" s="41">
        <f t="shared" si="32"/>
        <v>1.0920000000000001</v>
      </c>
      <c r="B262" s="42">
        <f t="shared" si="33"/>
        <v>150</v>
      </c>
      <c r="C262"/>
      <c r="D262"/>
      <c r="E262"/>
      <c r="F262"/>
      <c r="G262"/>
    </row>
    <row r="263" spans="1:7" x14ac:dyDescent="0.2">
      <c r="A263" s="41">
        <f t="shared" si="32"/>
        <v>1.5209999999999999</v>
      </c>
      <c r="B263" s="42">
        <f t="shared" si="33"/>
        <v>150</v>
      </c>
      <c r="C263"/>
      <c r="D263"/>
      <c r="E263"/>
      <c r="F263"/>
      <c r="G263"/>
    </row>
    <row r="264" spans="1:7" x14ac:dyDescent="0.2">
      <c r="A264" s="41">
        <f t="shared" si="32"/>
        <v>1.7354999999999998</v>
      </c>
      <c r="B264" s="42">
        <f t="shared" si="33"/>
        <v>150</v>
      </c>
      <c r="C264"/>
      <c r="D264"/>
      <c r="E264"/>
      <c r="F264"/>
      <c r="G264"/>
    </row>
    <row r="265" spans="1:7" x14ac:dyDescent="0.2">
      <c r="A265" s="41">
        <f t="shared" si="32"/>
        <v>1.8525</v>
      </c>
      <c r="B265" s="42">
        <f t="shared" si="33"/>
        <v>150</v>
      </c>
      <c r="C265"/>
      <c r="D265"/>
      <c r="E265"/>
      <c r="F265"/>
      <c r="G265"/>
    </row>
    <row r="266" spans="1:7" ht="13.5" thickBot="1" x14ac:dyDescent="0.25">
      <c r="A266" s="43">
        <f t="shared" si="32"/>
        <v>1.95</v>
      </c>
      <c r="B266" s="145">
        <f t="shared" si="33"/>
        <v>150</v>
      </c>
      <c r="C266"/>
      <c r="D266"/>
      <c r="E266"/>
      <c r="F266"/>
      <c r="G266"/>
    </row>
    <row r="267" spans="1:7" x14ac:dyDescent="0.2">
      <c r="A267"/>
      <c r="B267"/>
      <c r="C267"/>
      <c r="D267"/>
      <c r="E267"/>
      <c r="F267"/>
      <c r="G267"/>
    </row>
    <row r="268" spans="1:7" ht="13.5" thickBot="1" x14ac:dyDescent="0.25">
      <c r="A268"/>
      <c r="B268"/>
      <c r="C268"/>
      <c r="D268"/>
      <c r="E268"/>
      <c r="F268"/>
      <c r="G268"/>
    </row>
    <row r="269" spans="1:7" ht="13.5" thickBot="1" x14ac:dyDescent="0.25">
      <c r="A269" s="129" t="s">
        <v>57</v>
      </c>
      <c r="B269" s="130" t="s">
        <v>48</v>
      </c>
      <c r="C269"/>
      <c r="D269"/>
      <c r="E269"/>
      <c r="F269"/>
      <c r="G269"/>
    </row>
    <row r="270" spans="1:7" ht="13.5" thickBot="1" x14ac:dyDescent="0.25">
      <c r="A270" s="133" t="s">
        <v>63</v>
      </c>
      <c r="B270" s="246">
        <v>60</v>
      </c>
      <c r="C270"/>
      <c r="D270"/>
      <c r="E270"/>
      <c r="F270"/>
      <c r="G270"/>
    </row>
    <row r="271" spans="1:7" ht="13.5" thickBot="1" x14ac:dyDescent="0.25">
      <c r="A271" s="146"/>
      <c r="B271" s="146"/>
      <c r="C271"/>
      <c r="D271"/>
      <c r="E271"/>
      <c r="F271"/>
      <c r="G271"/>
    </row>
    <row r="272" spans="1:7" ht="13.5" thickBot="1" x14ac:dyDescent="0.25">
      <c r="A272" s="129" t="s">
        <v>1</v>
      </c>
      <c r="B272" s="130" t="s">
        <v>16</v>
      </c>
      <c r="C272"/>
      <c r="D272"/>
      <c r="E272"/>
      <c r="F272"/>
      <c r="G272"/>
    </row>
    <row r="273" spans="1:7" x14ac:dyDescent="0.2">
      <c r="A273" s="57">
        <v>0</v>
      </c>
      <c r="B273" s="54">
        <v>0</v>
      </c>
      <c r="C273"/>
      <c r="D273"/>
      <c r="E273"/>
      <c r="F273"/>
      <c r="G273"/>
    </row>
    <row r="274" spans="1:7" x14ac:dyDescent="0.2">
      <c r="A274" s="52">
        <v>10</v>
      </c>
      <c r="B274" s="55">
        <v>0</v>
      </c>
      <c r="C274"/>
      <c r="D274"/>
      <c r="E274"/>
      <c r="F274"/>
      <c r="G274"/>
    </row>
    <row r="275" spans="1:7" x14ac:dyDescent="0.2">
      <c r="A275" s="52">
        <v>50</v>
      </c>
      <c r="B275" s="55">
        <v>0</v>
      </c>
      <c r="C275"/>
      <c r="D275"/>
      <c r="E275"/>
      <c r="F275"/>
      <c r="G275"/>
    </row>
    <row r="276" spans="1:7" x14ac:dyDescent="0.2">
      <c r="A276" s="52">
        <v>75</v>
      </c>
      <c r="B276" s="55">
        <v>0</v>
      </c>
      <c r="C276"/>
      <c r="D276"/>
      <c r="E276"/>
      <c r="F276"/>
      <c r="G276"/>
    </row>
    <row r="277" spans="1:7" x14ac:dyDescent="0.2">
      <c r="A277" s="52">
        <v>88</v>
      </c>
      <c r="B277" s="55">
        <v>0</v>
      </c>
      <c r="C277"/>
      <c r="D277"/>
      <c r="E277"/>
      <c r="F277"/>
      <c r="G277"/>
    </row>
    <row r="278" spans="1:7" x14ac:dyDescent="0.2">
      <c r="A278" s="52">
        <v>94</v>
      </c>
      <c r="B278" s="55">
        <v>0</v>
      </c>
      <c r="C278"/>
      <c r="D278"/>
      <c r="E278"/>
      <c r="F278"/>
      <c r="G278"/>
    </row>
    <row r="279" spans="1:7" x14ac:dyDescent="0.2">
      <c r="A279" s="52">
        <v>95</v>
      </c>
      <c r="B279" s="55">
        <v>0</v>
      </c>
      <c r="C279"/>
      <c r="D279"/>
      <c r="E279"/>
      <c r="F279"/>
      <c r="G279"/>
    </row>
    <row r="280" spans="1:7" ht="13.5" thickBot="1" x14ac:dyDescent="0.25">
      <c r="A280" s="53">
        <v>100</v>
      </c>
      <c r="B280" s="56">
        <v>0</v>
      </c>
      <c r="C280"/>
      <c r="D280"/>
      <c r="E280"/>
      <c r="F280"/>
      <c r="G280"/>
    </row>
    <row r="281" spans="1:7" ht="13.5" thickBot="1" x14ac:dyDescent="0.25">
      <c r="A281"/>
      <c r="B281"/>
      <c r="C281"/>
      <c r="D281"/>
      <c r="E281"/>
      <c r="F281"/>
      <c r="G281"/>
    </row>
    <row r="282" spans="1:7" ht="13.5" thickBot="1" x14ac:dyDescent="0.25">
      <c r="A282" s="127" t="s">
        <v>17</v>
      </c>
      <c r="B282" s="26" t="s">
        <v>16</v>
      </c>
      <c r="C282"/>
      <c r="D282"/>
      <c r="E282"/>
      <c r="F282"/>
      <c r="G282"/>
    </row>
    <row r="283" spans="1:7" x14ac:dyDescent="0.2">
      <c r="A283" s="39">
        <f t="shared" ref="A283:A290" si="34">A273*F$4/100</f>
        <v>0</v>
      </c>
      <c r="B283" s="40">
        <f t="shared" ref="B283:B290" si="35">B273</f>
        <v>0</v>
      </c>
      <c r="C283"/>
      <c r="D283"/>
      <c r="E283"/>
      <c r="F283"/>
      <c r="G283"/>
    </row>
    <row r="284" spans="1:7" x14ac:dyDescent="0.2">
      <c r="A284" s="41">
        <f t="shared" si="34"/>
        <v>0.19500000000000001</v>
      </c>
      <c r="B284" s="42">
        <f t="shared" si="35"/>
        <v>0</v>
      </c>
      <c r="C284"/>
      <c r="D284"/>
      <c r="E284"/>
      <c r="F284"/>
      <c r="G284"/>
    </row>
    <row r="285" spans="1:7" x14ac:dyDescent="0.2">
      <c r="A285" s="41">
        <f t="shared" si="34"/>
        <v>0.97499999999999998</v>
      </c>
      <c r="B285" s="42">
        <f t="shared" si="35"/>
        <v>0</v>
      </c>
      <c r="C285"/>
      <c r="D285"/>
      <c r="E285"/>
      <c r="F285"/>
      <c r="G285"/>
    </row>
    <row r="286" spans="1:7" x14ac:dyDescent="0.2">
      <c r="A286" s="41">
        <f t="shared" si="34"/>
        <v>1.4624999999999999</v>
      </c>
      <c r="B286" s="135">
        <f t="shared" si="35"/>
        <v>0</v>
      </c>
      <c r="C286"/>
      <c r="D286"/>
      <c r="E286"/>
      <c r="F286"/>
      <c r="G286"/>
    </row>
    <row r="287" spans="1:7" x14ac:dyDescent="0.2">
      <c r="A287" s="41">
        <f t="shared" si="34"/>
        <v>1.716</v>
      </c>
      <c r="B287" s="42">
        <f t="shared" si="35"/>
        <v>0</v>
      </c>
      <c r="C287"/>
      <c r="D287"/>
      <c r="E287"/>
      <c r="F287"/>
      <c r="G287"/>
    </row>
    <row r="288" spans="1:7" x14ac:dyDescent="0.2">
      <c r="A288" s="41">
        <f t="shared" si="34"/>
        <v>1.8329999999999997</v>
      </c>
      <c r="B288" s="42">
        <f t="shared" si="35"/>
        <v>0</v>
      </c>
      <c r="C288"/>
      <c r="D288"/>
      <c r="E288"/>
      <c r="F288"/>
      <c r="G288"/>
    </row>
    <row r="289" spans="1:9" x14ac:dyDescent="0.2">
      <c r="A289" s="148">
        <f t="shared" si="34"/>
        <v>1.8525</v>
      </c>
      <c r="B289" s="149">
        <f t="shared" si="35"/>
        <v>0</v>
      </c>
      <c r="C289"/>
      <c r="D289"/>
      <c r="E289"/>
      <c r="F289"/>
      <c r="G289"/>
      <c r="I289" s="94"/>
    </row>
    <row r="290" spans="1:9" ht="13.5" thickBot="1" x14ac:dyDescent="0.25">
      <c r="A290" s="150">
        <f t="shared" si="34"/>
        <v>1.95</v>
      </c>
      <c r="B290" s="151">
        <f t="shared" si="35"/>
        <v>0</v>
      </c>
      <c r="C290"/>
      <c r="D290"/>
      <c r="E290"/>
      <c r="F290"/>
      <c r="G290"/>
    </row>
    <row r="291" spans="1:9" x14ac:dyDescent="0.2">
      <c r="A291" s="146"/>
      <c r="B291" s="146"/>
      <c r="C291"/>
      <c r="D291"/>
      <c r="E291"/>
      <c r="F291"/>
      <c r="G291"/>
    </row>
    <row r="292" spans="1:9" ht="13.5" thickBot="1" x14ac:dyDescent="0.25">
      <c r="A292" s="146"/>
      <c r="B292" s="146"/>
      <c r="C292"/>
      <c r="D292"/>
      <c r="E292"/>
      <c r="F292"/>
      <c r="G292"/>
    </row>
    <row r="293" spans="1:9" ht="13.5" thickBot="1" x14ac:dyDescent="0.25">
      <c r="A293" s="129" t="s">
        <v>57</v>
      </c>
      <c r="B293" s="130" t="s">
        <v>48</v>
      </c>
      <c r="C293"/>
      <c r="D293"/>
      <c r="E293"/>
      <c r="F293"/>
      <c r="G293"/>
    </row>
    <row r="294" spans="1:9" ht="13.5" thickBot="1" x14ac:dyDescent="0.25">
      <c r="A294" s="133" t="s">
        <v>64</v>
      </c>
      <c r="B294" s="246">
        <v>60</v>
      </c>
      <c r="C294"/>
      <c r="D294"/>
      <c r="E294"/>
      <c r="F294"/>
      <c r="G294"/>
    </row>
    <row r="295" spans="1:9" ht="13.5" thickBot="1" x14ac:dyDescent="0.25">
      <c r="A295"/>
      <c r="B295"/>
      <c r="C295"/>
      <c r="D295"/>
      <c r="E295"/>
      <c r="F295"/>
      <c r="G295"/>
    </row>
    <row r="296" spans="1:9" ht="13.5" thickBot="1" x14ac:dyDescent="0.25">
      <c r="A296" s="127" t="s">
        <v>1</v>
      </c>
      <c r="B296" s="26" t="s">
        <v>16</v>
      </c>
      <c r="C296"/>
      <c r="D296"/>
      <c r="E296"/>
      <c r="F296"/>
      <c r="G296"/>
    </row>
    <row r="297" spans="1:9" x14ac:dyDescent="0.2">
      <c r="A297" s="57">
        <v>0</v>
      </c>
      <c r="B297" s="54">
        <v>0</v>
      </c>
      <c r="C297"/>
      <c r="D297"/>
      <c r="E297"/>
      <c r="F297"/>
      <c r="G297"/>
    </row>
    <row r="298" spans="1:9" x14ac:dyDescent="0.2">
      <c r="A298" s="52">
        <v>10</v>
      </c>
      <c r="B298" s="55">
        <v>0</v>
      </c>
      <c r="C298"/>
      <c r="D298"/>
      <c r="E298"/>
      <c r="F298"/>
      <c r="G298"/>
    </row>
    <row r="299" spans="1:9" x14ac:dyDescent="0.2">
      <c r="A299" s="52">
        <v>50</v>
      </c>
      <c r="B299" s="55">
        <v>0</v>
      </c>
      <c r="C299"/>
      <c r="D299"/>
      <c r="E299"/>
      <c r="F299"/>
      <c r="G299"/>
    </row>
    <row r="300" spans="1:9" x14ac:dyDescent="0.2">
      <c r="A300" s="52">
        <v>75</v>
      </c>
      <c r="B300" s="55">
        <v>0</v>
      </c>
      <c r="C300"/>
      <c r="D300"/>
      <c r="E300"/>
      <c r="F300"/>
      <c r="G300"/>
    </row>
    <row r="301" spans="1:9" x14ac:dyDescent="0.2">
      <c r="A301" s="52">
        <v>88</v>
      </c>
      <c r="B301" s="55">
        <v>0</v>
      </c>
      <c r="C301"/>
      <c r="D301"/>
      <c r="E301"/>
      <c r="F301"/>
      <c r="G301"/>
    </row>
    <row r="302" spans="1:9" x14ac:dyDescent="0.2">
      <c r="A302" s="52">
        <v>94</v>
      </c>
      <c r="B302" s="55">
        <v>0</v>
      </c>
      <c r="C302"/>
      <c r="D302"/>
      <c r="E302"/>
      <c r="F302"/>
      <c r="G302"/>
    </row>
    <row r="303" spans="1:9" x14ac:dyDescent="0.2">
      <c r="A303" s="52">
        <v>95</v>
      </c>
      <c r="B303" s="55">
        <v>0</v>
      </c>
      <c r="C303"/>
      <c r="D303"/>
      <c r="E303"/>
      <c r="F303"/>
      <c r="G303"/>
    </row>
    <row r="304" spans="1:9" ht="13.5" thickBot="1" x14ac:dyDescent="0.25">
      <c r="A304" s="53">
        <v>100</v>
      </c>
      <c r="B304" s="56">
        <v>0</v>
      </c>
      <c r="C304"/>
      <c r="D304"/>
      <c r="E304"/>
      <c r="F304"/>
      <c r="G304"/>
    </row>
    <row r="305" spans="1:7" ht="13.5" thickBot="1" x14ac:dyDescent="0.25">
      <c r="A305"/>
      <c r="B305"/>
      <c r="C305"/>
      <c r="D305"/>
      <c r="E305"/>
      <c r="F305"/>
      <c r="G305"/>
    </row>
    <row r="306" spans="1:7" ht="13.5" thickBot="1" x14ac:dyDescent="0.25">
      <c r="A306" s="127" t="s">
        <v>17</v>
      </c>
      <c r="B306" s="130" t="s">
        <v>16</v>
      </c>
      <c r="C306"/>
      <c r="D306"/>
      <c r="E306"/>
      <c r="F306"/>
      <c r="G306"/>
    </row>
    <row r="307" spans="1:7" x14ac:dyDescent="0.2">
      <c r="A307" s="234">
        <f t="shared" ref="A307:A314" si="36">A297*F$4/100</f>
        <v>0</v>
      </c>
      <c r="B307" s="235">
        <f t="shared" ref="B307:B314" si="37">B297</f>
        <v>0</v>
      </c>
      <c r="C307"/>
      <c r="D307"/>
      <c r="E307"/>
      <c r="F307"/>
      <c r="G307"/>
    </row>
    <row r="308" spans="1:7" x14ac:dyDescent="0.2">
      <c r="A308" s="136">
        <f t="shared" si="36"/>
        <v>0.19500000000000001</v>
      </c>
      <c r="B308" s="135">
        <f t="shared" si="37"/>
        <v>0</v>
      </c>
      <c r="C308"/>
      <c r="D308"/>
      <c r="E308"/>
      <c r="F308"/>
      <c r="G308"/>
    </row>
    <row r="309" spans="1:7" x14ac:dyDescent="0.2">
      <c r="A309" s="131">
        <f t="shared" si="36"/>
        <v>0.97499999999999998</v>
      </c>
      <c r="B309" s="137">
        <f t="shared" si="37"/>
        <v>0</v>
      </c>
      <c r="C309"/>
      <c r="D309"/>
      <c r="E309"/>
      <c r="F309"/>
      <c r="G309"/>
    </row>
    <row r="310" spans="1:7" x14ac:dyDescent="0.2">
      <c r="A310" s="131">
        <f t="shared" si="36"/>
        <v>1.4624999999999999</v>
      </c>
      <c r="B310" s="137">
        <f t="shared" si="37"/>
        <v>0</v>
      </c>
      <c r="C310"/>
      <c r="D310"/>
      <c r="E310"/>
      <c r="F310"/>
      <c r="G310"/>
    </row>
    <row r="311" spans="1:7" x14ac:dyDescent="0.2">
      <c r="A311" s="131">
        <f t="shared" si="36"/>
        <v>1.716</v>
      </c>
      <c r="B311" s="137">
        <f t="shared" si="37"/>
        <v>0</v>
      </c>
      <c r="C311"/>
      <c r="D311"/>
      <c r="E311"/>
      <c r="F311"/>
      <c r="G311"/>
    </row>
    <row r="312" spans="1:7" x14ac:dyDescent="0.2">
      <c r="A312" s="131">
        <f t="shared" si="36"/>
        <v>1.8329999999999997</v>
      </c>
      <c r="B312" s="137">
        <f t="shared" si="37"/>
        <v>0</v>
      </c>
      <c r="C312"/>
      <c r="D312"/>
      <c r="E312"/>
      <c r="F312"/>
      <c r="G312"/>
    </row>
    <row r="313" spans="1:7" x14ac:dyDescent="0.2">
      <c r="A313" s="131">
        <f t="shared" si="36"/>
        <v>1.8525</v>
      </c>
      <c r="B313" s="137">
        <f t="shared" si="37"/>
        <v>0</v>
      </c>
      <c r="C313"/>
      <c r="D313"/>
      <c r="E313"/>
      <c r="F313"/>
      <c r="G313"/>
    </row>
    <row r="314" spans="1:7" ht="13.5" thickBot="1" x14ac:dyDescent="0.25">
      <c r="A314" s="138">
        <f t="shared" si="36"/>
        <v>1.95</v>
      </c>
      <c r="B314" s="139">
        <f t="shared" si="37"/>
        <v>0</v>
      </c>
      <c r="C314"/>
      <c r="D314"/>
      <c r="E314"/>
      <c r="F314"/>
      <c r="G314"/>
    </row>
    <row r="315" spans="1:7" x14ac:dyDescent="0.2">
      <c r="A315"/>
      <c r="B315"/>
      <c r="C315"/>
      <c r="D315"/>
      <c r="E315"/>
      <c r="F315"/>
      <c r="G315"/>
    </row>
    <row r="316" spans="1:7" ht="13.5" thickBot="1" x14ac:dyDescent="0.25">
      <c r="A316"/>
      <c r="B316"/>
      <c r="C316"/>
      <c r="D316"/>
      <c r="E316"/>
      <c r="F316"/>
      <c r="G316"/>
    </row>
    <row r="317" spans="1:7" ht="13.5" thickBot="1" x14ac:dyDescent="0.25">
      <c r="A317" s="127" t="s">
        <v>57</v>
      </c>
      <c r="B317" s="26" t="s">
        <v>48</v>
      </c>
      <c r="C317"/>
      <c r="D317"/>
      <c r="E317"/>
      <c r="F317"/>
      <c r="G317"/>
    </row>
    <row r="318" spans="1:7" ht="13.5" thickBot="1" x14ac:dyDescent="0.25">
      <c r="A318" s="13" t="s">
        <v>65</v>
      </c>
      <c r="B318" s="245">
        <v>60</v>
      </c>
      <c r="C318"/>
      <c r="D318"/>
      <c r="E318"/>
      <c r="F318"/>
      <c r="G318"/>
    </row>
    <row r="319" spans="1:7" ht="13.5" thickBot="1" x14ac:dyDescent="0.25">
      <c r="A319"/>
      <c r="B319"/>
      <c r="C319"/>
      <c r="D319"/>
      <c r="E319"/>
      <c r="F319"/>
      <c r="G319"/>
    </row>
    <row r="320" spans="1:7" ht="13.5" thickBot="1" x14ac:dyDescent="0.25">
      <c r="A320" s="127" t="s">
        <v>1</v>
      </c>
      <c r="B320" s="26" t="s">
        <v>16</v>
      </c>
      <c r="C320"/>
      <c r="D320"/>
      <c r="E320"/>
      <c r="F320"/>
      <c r="G320"/>
    </row>
    <row r="321" spans="1:7" x14ac:dyDescent="0.2">
      <c r="A321" s="57">
        <v>0</v>
      </c>
      <c r="B321" s="54">
        <v>0</v>
      </c>
      <c r="C321"/>
      <c r="D321"/>
      <c r="E321"/>
      <c r="F321"/>
      <c r="G321"/>
    </row>
    <row r="322" spans="1:7" x14ac:dyDescent="0.2">
      <c r="A322" s="52">
        <v>10</v>
      </c>
      <c r="B322" s="55">
        <v>0</v>
      </c>
      <c r="C322"/>
      <c r="D322"/>
      <c r="E322"/>
      <c r="F322"/>
      <c r="G322"/>
    </row>
    <row r="323" spans="1:7" x14ac:dyDescent="0.2">
      <c r="A323" s="52">
        <v>50</v>
      </c>
      <c r="B323" s="55">
        <v>0</v>
      </c>
      <c r="C323"/>
      <c r="D323"/>
      <c r="E323"/>
      <c r="F323"/>
      <c r="G323"/>
    </row>
    <row r="324" spans="1:7" x14ac:dyDescent="0.2">
      <c r="A324" s="52">
        <v>75</v>
      </c>
      <c r="B324" s="55">
        <v>0</v>
      </c>
      <c r="C324"/>
      <c r="D324"/>
      <c r="E324"/>
      <c r="F324"/>
      <c r="G324"/>
    </row>
    <row r="325" spans="1:7" x14ac:dyDescent="0.2">
      <c r="A325" s="52">
        <v>88</v>
      </c>
      <c r="B325" s="55">
        <v>0</v>
      </c>
      <c r="C325"/>
      <c r="D325"/>
      <c r="E325"/>
      <c r="F325"/>
      <c r="G325"/>
    </row>
    <row r="326" spans="1:7" x14ac:dyDescent="0.2">
      <c r="A326" s="52">
        <v>94</v>
      </c>
      <c r="B326" s="55">
        <v>0</v>
      </c>
      <c r="C326"/>
      <c r="D326"/>
      <c r="E326"/>
      <c r="F326"/>
      <c r="G326"/>
    </row>
    <row r="327" spans="1:7" x14ac:dyDescent="0.2">
      <c r="A327" s="52">
        <v>95</v>
      </c>
      <c r="B327" s="55">
        <v>0</v>
      </c>
      <c r="C327"/>
      <c r="D327"/>
      <c r="E327"/>
      <c r="F327"/>
      <c r="G327"/>
    </row>
    <row r="328" spans="1:7" ht="13.5" thickBot="1" x14ac:dyDescent="0.25">
      <c r="A328" s="53">
        <v>100</v>
      </c>
      <c r="B328" s="56">
        <v>0</v>
      </c>
      <c r="C328"/>
      <c r="D328"/>
      <c r="E328"/>
      <c r="F328"/>
      <c r="G328"/>
    </row>
    <row r="329" spans="1:7" ht="13.5" thickBot="1" x14ac:dyDescent="0.25">
      <c r="A329" s="146"/>
      <c r="B329" s="146"/>
      <c r="C329"/>
      <c r="D329"/>
      <c r="E329"/>
      <c r="F329"/>
      <c r="G329"/>
    </row>
    <row r="330" spans="1:7" ht="13.5" thickBot="1" x14ac:dyDescent="0.25">
      <c r="A330" s="129" t="s">
        <v>17</v>
      </c>
      <c r="B330" s="130" t="s">
        <v>16</v>
      </c>
      <c r="C330"/>
      <c r="D330"/>
      <c r="E330"/>
      <c r="F330"/>
      <c r="G330"/>
    </row>
    <row r="331" spans="1:7" x14ac:dyDescent="0.2">
      <c r="A331" s="143">
        <f t="shared" ref="A331:A338" si="38">A321*F$4/100</f>
        <v>0</v>
      </c>
      <c r="B331" s="144">
        <f t="shared" ref="B331:B338" si="39">B321</f>
        <v>0</v>
      </c>
      <c r="C331"/>
      <c r="D331"/>
      <c r="E331"/>
      <c r="F331"/>
      <c r="G331"/>
    </row>
    <row r="332" spans="1:7" x14ac:dyDescent="0.2">
      <c r="A332" s="148">
        <f t="shared" si="38"/>
        <v>0.19500000000000001</v>
      </c>
      <c r="B332" s="149">
        <f t="shared" si="39"/>
        <v>0</v>
      </c>
      <c r="C332"/>
      <c r="D332"/>
      <c r="E332"/>
      <c r="F332"/>
      <c r="G332"/>
    </row>
    <row r="333" spans="1:7" x14ac:dyDescent="0.2">
      <c r="A333" s="148">
        <f t="shared" si="38"/>
        <v>0.97499999999999998</v>
      </c>
      <c r="B333" s="149">
        <f t="shared" si="39"/>
        <v>0</v>
      </c>
      <c r="C333"/>
      <c r="D333"/>
      <c r="E333"/>
      <c r="F333"/>
      <c r="G333"/>
    </row>
    <row r="334" spans="1:7" x14ac:dyDescent="0.2">
      <c r="A334" s="148">
        <f t="shared" si="38"/>
        <v>1.4624999999999999</v>
      </c>
      <c r="B334" s="149">
        <f t="shared" si="39"/>
        <v>0</v>
      </c>
      <c r="C334"/>
      <c r="D334"/>
      <c r="E334"/>
      <c r="F334"/>
      <c r="G334"/>
    </row>
    <row r="335" spans="1:7" x14ac:dyDescent="0.2">
      <c r="A335" s="41">
        <f t="shared" si="38"/>
        <v>1.716</v>
      </c>
      <c r="B335" s="42">
        <f t="shared" si="39"/>
        <v>0</v>
      </c>
      <c r="C335"/>
      <c r="D335"/>
      <c r="E335"/>
      <c r="F335"/>
      <c r="G335"/>
    </row>
    <row r="336" spans="1:7" x14ac:dyDescent="0.2">
      <c r="A336" s="41">
        <f t="shared" si="38"/>
        <v>1.8329999999999997</v>
      </c>
      <c r="B336" s="42">
        <f t="shared" si="39"/>
        <v>0</v>
      </c>
      <c r="C336"/>
      <c r="D336"/>
      <c r="E336"/>
      <c r="F336"/>
      <c r="G336"/>
    </row>
    <row r="337" spans="1:7" x14ac:dyDescent="0.2">
      <c r="A337" s="41">
        <f t="shared" si="38"/>
        <v>1.8525</v>
      </c>
      <c r="B337" s="42">
        <f t="shared" si="39"/>
        <v>0</v>
      </c>
      <c r="C337"/>
      <c r="D337"/>
      <c r="E337"/>
      <c r="F337"/>
      <c r="G337"/>
    </row>
    <row r="338" spans="1:7" ht="13.5" thickBot="1" x14ac:dyDescent="0.25">
      <c r="A338" s="43">
        <f t="shared" si="38"/>
        <v>1.95</v>
      </c>
      <c r="B338" s="44">
        <f t="shared" si="39"/>
        <v>0</v>
      </c>
      <c r="C338"/>
      <c r="D338"/>
      <c r="E338"/>
      <c r="F338"/>
      <c r="G338"/>
    </row>
    <row r="339" spans="1:7" x14ac:dyDescent="0.2">
      <c r="A339"/>
      <c r="B339"/>
      <c r="C339"/>
      <c r="D339"/>
      <c r="E339"/>
      <c r="F339"/>
      <c r="G339"/>
    </row>
    <row r="340" spans="1:7" ht="13.5" thickBot="1" x14ac:dyDescent="0.25">
      <c r="A340"/>
      <c r="B340"/>
      <c r="C340"/>
      <c r="D340"/>
      <c r="E340"/>
      <c r="F340"/>
      <c r="G340"/>
    </row>
    <row r="341" spans="1:7" ht="13.5" thickBot="1" x14ac:dyDescent="0.25">
      <c r="A341" s="127" t="s">
        <v>57</v>
      </c>
      <c r="B341" s="26" t="s">
        <v>48</v>
      </c>
      <c r="C341"/>
      <c r="D341"/>
      <c r="E341"/>
      <c r="F341"/>
      <c r="G341"/>
    </row>
    <row r="342" spans="1:7" ht="13.5" thickBot="1" x14ac:dyDescent="0.25">
      <c r="A342" s="13" t="s">
        <v>67</v>
      </c>
      <c r="B342" s="245">
        <v>60</v>
      </c>
      <c r="C342" s="128"/>
      <c r="D342" s="128"/>
      <c r="E342" s="128"/>
      <c r="F342" s="128"/>
      <c r="G342" s="128"/>
    </row>
    <row r="343" spans="1:7" ht="13.5" thickBot="1" x14ac:dyDescent="0.25">
      <c r="A343"/>
      <c r="B343"/>
      <c r="C343" s="77"/>
      <c r="D343" s="77"/>
      <c r="E343" s="77"/>
      <c r="F343" s="77"/>
      <c r="G343" s="77"/>
    </row>
    <row r="344" spans="1:7" ht="13.5" thickBot="1" x14ac:dyDescent="0.25">
      <c r="A344" s="127" t="s">
        <v>1</v>
      </c>
      <c r="B344" s="26" t="s">
        <v>16</v>
      </c>
      <c r="C344" s="9"/>
      <c r="D344" s="9"/>
      <c r="E344" s="9"/>
      <c r="F344" s="9"/>
      <c r="G344" s="9"/>
    </row>
    <row r="345" spans="1:7" x14ac:dyDescent="0.2">
      <c r="A345" s="57">
        <v>0</v>
      </c>
      <c r="B345" s="54">
        <v>0</v>
      </c>
      <c r="C345"/>
      <c r="D345"/>
      <c r="E345"/>
      <c r="F345"/>
      <c r="G345"/>
    </row>
    <row r="346" spans="1:7" x14ac:dyDescent="0.2">
      <c r="A346" s="52">
        <v>7.89</v>
      </c>
      <c r="B346" s="55">
        <v>0</v>
      </c>
      <c r="C346" s="123"/>
      <c r="D346" s="123"/>
      <c r="E346"/>
      <c r="F346" s="123"/>
      <c r="G346" s="123"/>
    </row>
    <row r="347" spans="1:7" x14ac:dyDescent="0.2">
      <c r="A347" s="52">
        <v>20</v>
      </c>
      <c r="B347" s="55">
        <v>0</v>
      </c>
      <c r="C347" s="20"/>
      <c r="D347" s="76"/>
      <c r="E347"/>
      <c r="F347" s="124"/>
      <c r="G347" s="76"/>
    </row>
    <row r="348" spans="1:7" x14ac:dyDescent="0.2">
      <c r="A348" s="52">
        <v>55.26</v>
      </c>
      <c r="B348" s="55">
        <v>0</v>
      </c>
      <c r="C348" s="20"/>
      <c r="D348" s="76"/>
      <c r="E348"/>
      <c r="F348" s="124"/>
      <c r="G348" s="76"/>
    </row>
    <row r="349" spans="1:7" x14ac:dyDescent="0.2">
      <c r="A349" s="52">
        <v>60</v>
      </c>
      <c r="B349" s="55">
        <v>0</v>
      </c>
      <c r="C349" s="20"/>
      <c r="D349" s="76"/>
      <c r="E349"/>
      <c r="F349" s="124"/>
      <c r="G349" s="76"/>
    </row>
    <row r="350" spans="1:7" x14ac:dyDescent="0.2">
      <c r="A350" s="52">
        <v>65</v>
      </c>
      <c r="B350" s="55">
        <v>0</v>
      </c>
      <c r="C350" s="20"/>
      <c r="D350" s="76"/>
      <c r="E350"/>
      <c r="F350" s="124"/>
      <c r="G350" s="76"/>
    </row>
    <row r="351" spans="1:7" x14ac:dyDescent="0.2">
      <c r="A351" s="52">
        <v>71.05</v>
      </c>
      <c r="B351" s="55">
        <v>0</v>
      </c>
      <c r="C351" s="20"/>
      <c r="D351" s="76"/>
      <c r="E351"/>
      <c r="F351" s="124"/>
      <c r="G351" s="76"/>
    </row>
    <row r="352" spans="1:7" ht="13.5" thickBot="1" x14ac:dyDescent="0.25">
      <c r="A352" s="53">
        <v>100</v>
      </c>
      <c r="B352" s="56">
        <v>0</v>
      </c>
      <c r="C352" s="20"/>
      <c r="D352" s="76"/>
      <c r="E352"/>
      <c r="F352" s="124"/>
      <c r="G352" s="76"/>
    </row>
    <row r="353" spans="1:7" ht="13.5" thickBot="1" x14ac:dyDescent="0.25">
      <c r="A353" s="146"/>
      <c r="B353" s="146"/>
      <c r="C353" s="20"/>
      <c r="D353" s="76"/>
      <c r="E353"/>
      <c r="F353" s="124"/>
      <c r="G353" s="76"/>
    </row>
    <row r="354" spans="1:7" ht="13.5" thickBot="1" x14ac:dyDescent="0.25">
      <c r="A354" s="129" t="s">
        <v>17</v>
      </c>
      <c r="B354" s="130" t="s">
        <v>16</v>
      </c>
      <c r="C354" s="20"/>
      <c r="D354" s="76"/>
      <c r="E354"/>
      <c r="F354" s="124"/>
      <c r="G354" s="8"/>
    </row>
    <row r="355" spans="1:7" x14ac:dyDescent="0.2">
      <c r="A355" s="39">
        <f t="shared" ref="A355:A362" si="40">A345*F$4/100</f>
        <v>0</v>
      </c>
      <c r="B355" s="40">
        <f t="shared" ref="B355:B362" si="41">B345</f>
        <v>0</v>
      </c>
      <c r="C355"/>
      <c r="D355"/>
      <c r="E355"/>
      <c r="F355"/>
      <c r="G355"/>
    </row>
    <row r="356" spans="1:7" x14ac:dyDescent="0.2">
      <c r="A356" s="41">
        <f t="shared" si="40"/>
        <v>0.15385499999999999</v>
      </c>
      <c r="B356" s="42">
        <f t="shared" si="41"/>
        <v>0</v>
      </c>
      <c r="C356" s="29"/>
      <c r="D356" s="29"/>
      <c r="E356" s="29"/>
      <c r="F356" s="29"/>
      <c r="G356" s="29"/>
    </row>
    <row r="357" spans="1:7" x14ac:dyDescent="0.2">
      <c r="A357" s="41">
        <f t="shared" si="40"/>
        <v>0.39</v>
      </c>
      <c r="B357" s="42">
        <f t="shared" si="41"/>
        <v>0</v>
      </c>
      <c r="C357" s="29"/>
      <c r="D357" s="29"/>
      <c r="E357" s="29"/>
      <c r="F357" s="29"/>
      <c r="G357" s="29"/>
    </row>
    <row r="358" spans="1:7" x14ac:dyDescent="0.2">
      <c r="A358" s="41">
        <f t="shared" si="40"/>
        <v>1.0775699999999999</v>
      </c>
      <c r="B358" s="42">
        <f t="shared" si="41"/>
        <v>0</v>
      </c>
      <c r="C358" s="29"/>
      <c r="D358" s="29"/>
      <c r="E358" s="29"/>
      <c r="F358" s="29"/>
      <c r="G358" s="29"/>
    </row>
    <row r="359" spans="1:7" x14ac:dyDescent="0.2">
      <c r="A359" s="41">
        <f t="shared" si="40"/>
        <v>1.17</v>
      </c>
      <c r="B359" s="42">
        <f t="shared" si="41"/>
        <v>0</v>
      </c>
      <c r="C359" s="29"/>
      <c r="D359" s="29"/>
      <c r="E359" s="29"/>
      <c r="F359" s="29"/>
      <c r="G359" s="29"/>
    </row>
    <row r="360" spans="1:7" x14ac:dyDescent="0.2">
      <c r="A360" s="41">
        <f t="shared" si="40"/>
        <v>1.2675000000000001</v>
      </c>
      <c r="B360" s="42">
        <f t="shared" si="41"/>
        <v>0</v>
      </c>
      <c r="C360" s="29"/>
      <c r="D360" s="29"/>
      <c r="E360" s="29"/>
      <c r="F360" s="29"/>
      <c r="G360" s="29"/>
    </row>
    <row r="361" spans="1:7" x14ac:dyDescent="0.2">
      <c r="A361" s="41">
        <f t="shared" si="40"/>
        <v>1.3854749999999998</v>
      </c>
      <c r="B361" s="42">
        <f t="shared" si="41"/>
        <v>0</v>
      </c>
      <c r="C361" s="29"/>
      <c r="D361" s="29"/>
      <c r="E361" s="29"/>
      <c r="F361" s="29"/>
      <c r="G361" s="29"/>
    </row>
    <row r="362" spans="1:7" ht="13.5" thickBot="1" x14ac:dyDescent="0.25">
      <c r="A362" s="43">
        <f t="shared" si="40"/>
        <v>1.95</v>
      </c>
      <c r="B362" s="44">
        <f t="shared" si="41"/>
        <v>0</v>
      </c>
      <c r="C362" s="29"/>
      <c r="D362" s="29"/>
      <c r="E362" s="29"/>
      <c r="F362" s="29"/>
      <c r="G362" s="29"/>
    </row>
    <row r="363" spans="1:7" x14ac:dyDescent="0.2">
      <c r="A363" s="74"/>
      <c r="B363" s="72"/>
      <c r="C363" s="29"/>
      <c r="D363" s="29"/>
      <c r="E363" s="29"/>
      <c r="F363" s="29"/>
      <c r="G363" s="29"/>
    </row>
    <row r="364" spans="1:7" ht="13.5" thickBot="1" x14ac:dyDescent="0.25">
      <c r="A364" s="74"/>
      <c r="B364" s="72"/>
      <c r="C364" s="29"/>
      <c r="D364" s="29"/>
      <c r="E364" s="29"/>
      <c r="F364" s="29"/>
      <c r="G364" s="29"/>
    </row>
    <row r="365" spans="1:7" ht="13.5" thickBot="1" x14ac:dyDescent="0.25">
      <c r="A365" s="127" t="s">
        <v>57</v>
      </c>
      <c r="B365" s="26" t="s">
        <v>48</v>
      </c>
      <c r="C365" s="29"/>
      <c r="D365" s="29"/>
      <c r="E365" s="29"/>
      <c r="F365" s="29"/>
      <c r="G365" s="29"/>
    </row>
    <row r="366" spans="1:7" ht="13.5" thickBot="1" x14ac:dyDescent="0.25">
      <c r="A366" s="13" t="s">
        <v>69</v>
      </c>
      <c r="B366" s="245">
        <v>60</v>
      </c>
      <c r="C366" s="29"/>
      <c r="D366" s="29"/>
      <c r="E366" s="29"/>
      <c r="F366" s="29"/>
      <c r="G366" s="29"/>
    </row>
    <row r="367" spans="1:7" ht="13.5" thickBot="1" x14ac:dyDescent="0.25">
      <c r="A367"/>
      <c r="B367"/>
      <c r="C367" s="29"/>
      <c r="D367" s="29"/>
      <c r="E367" s="29"/>
      <c r="F367" s="29"/>
      <c r="G367" s="29"/>
    </row>
    <row r="368" spans="1:7" ht="13.5" thickBot="1" x14ac:dyDescent="0.25">
      <c r="A368" s="127" t="s">
        <v>1</v>
      </c>
      <c r="B368" s="26" t="s">
        <v>16</v>
      </c>
      <c r="C368" s="29"/>
      <c r="D368" s="29"/>
      <c r="E368" s="29"/>
      <c r="F368" s="29"/>
      <c r="G368" s="29"/>
    </row>
    <row r="369" spans="1:7" x14ac:dyDescent="0.2">
      <c r="A369" s="57">
        <v>0</v>
      </c>
      <c r="B369" s="54">
        <v>0</v>
      </c>
      <c r="C369" s="29"/>
      <c r="D369" s="29"/>
      <c r="E369" s="29"/>
      <c r="F369" s="29"/>
      <c r="G369" s="29"/>
    </row>
    <row r="370" spans="1:7" x14ac:dyDescent="0.2">
      <c r="A370" s="52">
        <v>7.89</v>
      </c>
      <c r="B370" s="55">
        <v>0</v>
      </c>
      <c r="C370" s="29"/>
      <c r="D370" s="29"/>
      <c r="E370" s="29"/>
      <c r="F370" s="29"/>
      <c r="G370" s="29"/>
    </row>
    <row r="371" spans="1:7" x14ac:dyDescent="0.2">
      <c r="A371" s="52">
        <v>20</v>
      </c>
      <c r="B371" s="55">
        <v>0</v>
      </c>
      <c r="C371" s="29"/>
      <c r="D371" s="29"/>
      <c r="E371" s="29"/>
      <c r="F371" s="29"/>
      <c r="G371" s="29"/>
    </row>
    <row r="372" spans="1:7" x14ac:dyDescent="0.2">
      <c r="A372" s="52">
        <v>55.26</v>
      </c>
      <c r="B372" s="55">
        <v>0</v>
      </c>
      <c r="C372" s="29"/>
      <c r="D372" s="29"/>
      <c r="E372" s="29"/>
      <c r="F372" s="29"/>
      <c r="G372" s="29"/>
    </row>
    <row r="373" spans="1:7" x14ac:dyDescent="0.2">
      <c r="A373" s="52">
        <v>60</v>
      </c>
      <c r="B373" s="55">
        <v>0</v>
      </c>
      <c r="C373" s="29"/>
      <c r="D373" s="29"/>
      <c r="E373" s="29"/>
      <c r="F373" s="29"/>
      <c r="G373" s="29"/>
    </row>
    <row r="374" spans="1:7" x14ac:dyDescent="0.2">
      <c r="A374" s="52">
        <v>65</v>
      </c>
      <c r="B374" s="55">
        <v>0</v>
      </c>
      <c r="C374" s="29"/>
      <c r="D374" s="29"/>
      <c r="E374" s="29"/>
      <c r="F374" s="29"/>
      <c r="G374" s="29"/>
    </row>
    <row r="375" spans="1:7" x14ac:dyDescent="0.2">
      <c r="A375" s="52">
        <v>71.05</v>
      </c>
      <c r="B375" s="55">
        <v>0</v>
      </c>
      <c r="C375" s="29"/>
      <c r="D375" s="29"/>
      <c r="E375" s="29"/>
      <c r="F375" s="29"/>
      <c r="G375" s="29"/>
    </row>
    <row r="376" spans="1:7" ht="13.5" thickBot="1" x14ac:dyDescent="0.25">
      <c r="A376" s="53">
        <v>100</v>
      </c>
      <c r="B376" s="56">
        <v>0</v>
      </c>
      <c r="C376" s="29"/>
      <c r="D376" s="29"/>
      <c r="E376" s="29"/>
      <c r="F376" s="29"/>
      <c r="G376" s="29"/>
    </row>
    <row r="377" spans="1:7" ht="13.5" thickBot="1" x14ac:dyDescent="0.25">
      <c r="A377"/>
      <c r="B377"/>
      <c r="C377" s="29"/>
      <c r="D377" s="29"/>
      <c r="E377" s="29"/>
      <c r="F377" s="29"/>
      <c r="G377" s="29"/>
    </row>
    <row r="378" spans="1:7" ht="13.5" thickBot="1" x14ac:dyDescent="0.25">
      <c r="A378" s="127" t="s">
        <v>17</v>
      </c>
      <c r="B378" s="26" t="s">
        <v>16</v>
      </c>
      <c r="C378" s="29"/>
      <c r="D378" s="29"/>
      <c r="E378" s="29"/>
      <c r="F378" s="29"/>
      <c r="G378" s="29"/>
    </row>
    <row r="379" spans="1:7" x14ac:dyDescent="0.2">
      <c r="A379" s="39">
        <f t="shared" ref="A379:A386" si="42">A369*F$4/100</f>
        <v>0</v>
      </c>
      <c r="B379" s="40">
        <f t="shared" ref="B379:B386" si="43">B369</f>
        <v>0</v>
      </c>
      <c r="C379" s="29"/>
      <c r="D379" s="29"/>
      <c r="E379" s="29"/>
      <c r="F379" s="29"/>
      <c r="G379" s="29"/>
    </row>
    <row r="380" spans="1:7" x14ac:dyDescent="0.2">
      <c r="A380" s="41">
        <f t="shared" si="42"/>
        <v>0.15385499999999999</v>
      </c>
      <c r="B380" s="42">
        <f t="shared" si="43"/>
        <v>0</v>
      </c>
      <c r="C380" s="29"/>
      <c r="D380" s="29"/>
      <c r="E380" s="29"/>
      <c r="F380" s="29"/>
      <c r="G380" s="29"/>
    </row>
    <row r="381" spans="1:7" x14ac:dyDescent="0.2">
      <c r="A381" s="41">
        <f t="shared" si="42"/>
        <v>0.39</v>
      </c>
      <c r="B381" s="42">
        <f t="shared" si="43"/>
        <v>0</v>
      </c>
      <c r="C381" s="29"/>
      <c r="D381" s="29"/>
      <c r="E381" s="29"/>
      <c r="F381" s="29"/>
      <c r="G381" s="29"/>
    </row>
    <row r="382" spans="1:7" x14ac:dyDescent="0.2">
      <c r="A382" s="41">
        <f t="shared" si="42"/>
        <v>1.0775699999999999</v>
      </c>
      <c r="B382" s="42">
        <f t="shared" si="43"/>
        <v>0</v>
      </c>
      <c r="C382" s="29"/>
      <c r="D382" s="29"/>
      <c r="E382" s="29"/>
      <c r="F382" s="29"/>
      <c r="G382" s="29"/>
    </row>
    <row r="383" spans="1:7" x14ac:dyDescent="0.2">
      <c r="A383" s="41">
        <f t="shared" si="42"/>
        <v>1.17</v>
      </c>
      <c r="B383" s="42">
        <f t="shared" si="43"/>
        <v>0</v>
      </c>
      <c r="C383" s="29"/>
      <c r="D383" s="29"/>
      <c r="E383" s="29"/>
      <c r="F383" s="29"/>
      <c r="G383" s="29"/>
    </row>
    <row r="384" spans="1:7" x14ac:dyDescent="0.2">
      <c r="A384" s="41">
        <f t="shared" si="42"/>
        <v>1.2675000000000001</v>
      </c>
      <c r="B384" s="42">
        <f t="shared" si="43"/>
        <v>0</v>
      </c>
      <c r="C384" s="29"/>
      <c r="D384" s="29"/>
      <c r="E384" s="29"/>
      <c r="F384" s="29"/>
      <c r="G384" s="29"/>
    </row>
    <row r="385" spans="1:7" x14ac:dyDescent="0.2">
      <c r="A385" s="41">
        <f t="shared" si="42"/>
        <v>1.3854749999999998</v>
      </c>
      <c r="B385" s="42">
        <f t="shared" si="43"/>
        <v>0</v>
      </c>
      <c r="C385" s="29"/>
      <c r="D385" s="29"/>
      <c r="E385" s="29"/>
      <c r="F385" s="29"/>
      <c r="G385" s="29"/>
    </row>
    <row r="386" spans="1:7" ht="13.5" thickBot="1" x14ac:dyDescent="0.25">
      <c r="A386" s="43">
        <f t="shared" si="42"/>
        <v>1.95</v>
      </c>
      <c r="B386" s="151">
        <f t="shared" si="43"/>
        <v>0</v>
      </c>
      <c r="C386" s="29"/>
      <c r="D386" s="29"/>
      <c r="E386" s="29"/>
      <c r="F386" s="29"/>
      <c r="G386" s="29"/>
    </row>
    <row r="387" spans="1:7" x14ac:dyDescent="0.2">
      <c r="A387" s="73"/>
      <c r="B387" s="72"/>
      <c r="C387" s="29"/>
      <c r="D387" s="29"/>
      <c r="E387" s="29"/>
      <c r="F387" s="29"/>
      <c r="G387" s="29"/>
    </row>
    <row r="388" spans="1:7" ht="13.5" thickBot="1" x14ac:dyDescent="0.25">
      <c r="A388" s="69"/>
      <c r="B388" s="69"/>
      <c r="C388" s="29"/>
      <c r="D388" s="29"/>
      <c r="E388" s="29"/>
      <c r="F388" s="29"/>
      <c r="G388" s="29"/>
    </row>
    <row r="389" spans="1:7" ht="13.5" thickBot="1" x14ac:dyDescent="0.25">
      <c r="A389" s="129" t="s">
        <v>57</v>
      </c>
      <c r="B389" s="130" t="s">
        <v>48</v>
      </c>
      <c r="C389" s="29"/>
      <c r="D389" s="29"/>
      <c r="E389" s="29"/>
      <c r="F389" s="29"/>
      <c r="G389" s="29"/>
    </row>
    <row r="390" spans="1:7" ht="13.5" thickBot="1" x14ac:dyDescent="0.25">
      <c r="A390" s="133" t="s">
        <v>70</v>
      </c>
      <c r="B390" s="246">
        <v>60</v>
      </c>
      <c r="C390" s="29"/>
      <c r="D390" s="29"/>
      <c r="E390" s="29"/>
      <c r="F390" s="29"/>
      <c r="G390" s="29"/>
    </row>
    <row r="391" spans="1:7" ht="13.5" thickBot="1" x14ac:dyDescent="0.25">
      <c r="A391" s="146"/>
      <c r="B391" s="146"/>
      <c r="C391" s="29"/>
      <c r="D391" s="29"/>
      <c r="E391" s="29"/>
      <c r="F391" s="29"/>
      <c r="G391" s="29"/>
    </row>
    <row r="392" spans="1:7" ht="13.5" thickBot="1" x14ac:dyDescent="0.25">
      <c r="A392" s="129" t="s">
        <v>1</v>
      </c>
      <c r="B392" s="130" t="s">
        <v>16</v>
      </c>
      <c r="C392" s="29"/>
      <c r="D392" s="29"/>
      <c r="E392" s="29"/>
      <c r="F392" s="29"/>
      <c r="G392" s="29"/>
    </row>
    <row r="393" spans="1:7" x14ac:dyDescent="0.2">
      <c r="A393" s="57">
        <v>0</v>
      </c>
      <c r="B393" s="54">
        <v>0</v>
      </c>
      <c r="C393" s="29"/>
      <c r="D393" s="29"/>
      <c r="E393" s="29"/>
      <c r="F393" s="29"/>
      <c r="G393" s="29"/>
    </row>
    <row r="394" spans="1:7" x14ac:dyDescent="0.2">
      <c r="A394" s="52">
        <v>7.89</v>
      </c>
      <c r="B394" s="55">
        <v>0</v>
      </c>
      <c r="C394" s="29"/>
      <c r="D394" s="29"/>
      <c r="E394" s="29"/>
      <c r="F394" s="29"/>
      <c r="G394" s="29"/>
    </row>
    <row r="395" spans="1:7" x14ac:dyDescent="0.2">
      <c r="A395" s="52">
        <v>20</v>
      </c>
      <c r="B395" s="55">
        <v>0</v>
      </c>
      <c r="C395" s="29"/>
      <c r="D395" s="29"/>
      <c r="E395" s="29"/>
      <c r="F395" s="29"/>
      <c r="G395" s="29"/>
    </row>
    <row r="396" spans="1:7" x14ac:dyDescent="0.2">
      <c r="A396" s="52">
        <v>55.26</v>
      </c>
      <c r="B396" s="55">
        <v>0</v>
      </c>
      <c r="C396" s="29"/>
      <c r="D396" s="29"/>
      <c r="E396" s="29"/>
      <c r="F396" s="29"/>
      <c r="G396" s="29"/>
    </row>
    <row r="397" spans="1:7" x14ac:dyDescent="0.2">
      <c r="A397" s="52">
        <v>60</v>
      </c>
      <c r="B397" s="55">
        <v>0</v>
      </c>
      <c r="C397" s="29"/>
      <c r="D397" s="29"/>
      <c r="E397" s="29"/>
      <c r="F397" s="29"/>
      <c r="G397" s="29"/>
    </row>
    <row r="398" spans="1:7" x14ac:dyDescent="0.2">
      <c r="A398" s="52">
        <v>65</v>
      </c>
      <c r="B398" s="55">
        <v>0</v>
      </c>
      <c r="C398" s="29"/>
      <c r="D398" s="29"/>
      <c r="E398" s="29"/>
      <c r="F398" s="29"/>
      <c r="G398" s="29"/>
    </row>
    <row r="399" spans="1:7" x14ac:dyDescent="0.2">
      <c r="A399" s="52">
        <v>71.05</v>
      </c>
      <c r="B399" s="55">
        <v>0</v>
      </c>
      <c r="C399" s="29"/>
      <c r="D399" s="29"/>
      <c r="E399" s="29"/>
      <c r="F399" s="29"/>
      <c r="G399" s="29"/>
    </row>
    <row r="400" spans="1:7" ht="13.5" thickBot="1" x14ac:dyDescent="0.25">
      <c r="A400" s="53">
        <v>100</v>
      </c>
      <c r="B400" s="56">
        <v>0</v>
      </c>
      <c r="C400" s="29"/>
      <c r="D400" s="29"/>
      <c r="E400" s="29"/>
      <c r="F400" s="29"/>
      <c r="G400" s="29"/>
    </row>
    <row r="401" spans="1:7" ht="13.5" thickBot="1" x14ac:dyDescent="0.25">
      <c r="A401"/>
      <c r="B401"/>
      <c r="C401" s="29"/>
      <c r="D401" s="29"/>
      <c r="E401" s="29"/>
      <c r="F401" s="29"/>
      <c r="G401" s="29"/>
    </row>
    <row r="402" spans="1:7" ht="13.5" thickBot="1" x14ac:dyDescent="0.25">
      <c r="A402" s="127" t="s">
        <v>17</v>
      </c>
      <c r="B402" s="26" t="s">
        <v>16</v>
      </c>
      <c r="C402" s="29"/>
      <c r="D402" s="29"/>
      <c r="E402" s="29"/>
      <c r="F402" s="29"/>
      <c r="G402" s="29"/>
    </row>
    <row r="403" spans="1:7" x14ac:dyDescent="0.2">
      <c r="A403" s="39">
        <f t="shared" ref="A403:A410" si="44">A393*F$4/100</f>
        <v>0</v>
      </c>
      <c r="B403" s="40">
        <f t="shared" ref="B403:B410" si="45">B393</f>
        <v>0</v>
      </c>
      <c r="C403" s="29"/>
      <c r="D403" s="29"/>
      <c r="E403" s="29"/>
      <c r="F403" s="29"/>
      <c r="G403" s="29"/>
    </row>
    <row r="404" spans="1:7" x14ac:dyDescent="0.2">
      <c r="A404" s="41">
        <f t="shared" si="44"/>
        <v>0.15385499999999999</v>
      </c>
      <c r="B404" s="42">
        <f t="shared" si="45"/>
        <v>0</v>
      </c>
      <c r="C404" s="29"/>
      <c r="D404" s="29"/>
      <c r="E404" s="29"/>
      <c r="F404" s="29"/>
      <c r="G404" s="29"/>
    </row>
    <row r="405" spans="1:7" x14ac:dyDescent="0.2">
      <c r="A405" s="41">
        <f t="shared" si="44"/>
        <v>0.39</v>
      </c>
      <c r="B405" s="42">
        <f t="shared" si="45"/>
        <v>0</v>
      </c>
      <c r="C405" s="29"/>
      <c r="D405" s="29"/>
      <c r="E405" s="29"/>
      <c r="F405" s="29"/>
      <c r="G405" s="29"/>
    </row>
    <row r="406" spans="1:7" x14ac:dyDescent="0.2">
      <c r="A406" s="41">
        <f t="shared" si="44"/>
        <v>1.0775699999999999</v>
      </c>
      <c r="B406" s="42">
        <f t="shared" si="45"/>
        <v>0</v>
      </c>
      <c r="C406" s="29"/>
      <c r="D406" s="29"/>
      <c r="E406" s="29"/>
      <c r="F406" s="29"/>
      <c r="G406" s="29"/>
    </row>
    <row r="407" spans="1:7" x14ac:dyDescent="0.2">
      <c r="A407" s="41">
        <f t="shared" si="44"/>
        <v>1.17</v>
      </c>
      <c r="B407" s="42">
        <f t="shared" si="45"/>
        <v>0</v>
      </c>
      <c r="C407" s="29"/>
      <c r="D407" s="29"/>
      <c r="E407" s="29"/>
      <c r="F407" s="29"/>
      <c r="G407" s="29"/>
    </row>
    <row r="408" spans="1:7" x14ac:dyDescent="0.2">
      <c r="A408" s="41">
        <f t="shared" si="44"/>
        <v>1.2675000000000001</v>
      </c>
      <c r="B408" s="42">
        <f t="shared" si="45"/>
        <v>0</v>
      </c>
      <c r="C408" s="29"/>
      <c r="D408" s="29"/>
      <c r="E408" s="29"/>
      <c r="F408" s="29"/>
      <c r="G408" s="29"/>
    </row>
    <row r="409" spans="1:7" x14ac:dyDescent="0.2">
      <c r="A409" s="41">
        <f t="shared" si="44"/>
        <v>1.3854749999999998</v>
      </c>
      <c r="B409" s="42">
        <f t="shared" si="45"/>
        <v>0</v>
      </c>
      <c r="C409" s="29"/>
      <c r="D409" s="29"/>
      <c r="E409" s="29"/>
      <c r="F409" s="29"/>
      <c r="G409" s="29"/>
    </row>
    <row r="410" spans="1:7" ht="13.5" thickBot="1" x14ac:dyDescent="0.25">
      <c r="A410" s="43">
        <f t="shared" si="44"/>
        <v>1.95</v>
      </c>
      <c r="B410" s="44">
        <f t="shared" si="45"/>
        <v>0</v>
      </c>
      <c r="C410" s="29"/>
      <c r="D410" s="29"/>
      <c r="E410" s="29"/>
      <c r="F410" s="29"/>
      <c r="G410" s="29"/>
    </row>
    <row r="411" spans="1:7" x14ac:dyDescent="0.2">
      <c r="A411" s="21"/>
      <c r="B411" s="22"/>
      <c r="C411" s="29"/>
      <c r="D411" s="29"/>
      <c r="E411" s="29"/>
      <c r="F411" s="29"/>
      <c r="G411" s="29"/>
    </row>
    <row r="412" spans="1:7" ht="13.5" thickBot="1" x14ac:dyDescent="0.25">
      <c r="A412" s="21"/>
      <c r="B412" s="22"/>
      <c r="C412" s="29"/>
      <c r="D412" s="29"/>
      <c r="E412" s="29"/>
      <c r="F412" s="29"/>
      <c r="G412" s="29"/>
    </row>
    <row r="413" spans="1:7" ht="13.5" thickBot="1" x14ac:dyDescent="0.25">
      <c r="A413" s="127" t="s">
        <v>57</v>
      </c>
      <c r="B413" s="26" t="s">
        <v>48</v>
      </c>
      <c r="C413" s="29"/>
      <c r="D413" s="29"/>
      <c r="E413" s="29"/>
      <c r="F413" s="29"/>
      <c r="G413" s="29"/>
    </row>
    <row r="414" spans="1:7" ht="13.5" thickBot="1" x14ac:dyDescent="0.25">
      <c r="A414" s="13" t="s">
        <v>72</v>
      </c>
      <c r="B414" s="245">
        <v>60</v>
      </c>
      <c r="C414" s="29"/>
      <c r="D414" s="29"/>
      <c r="E414" s="29"/>
      <c r="F414" s="29"/>
      <c r="G414" s="29"/>
    </row>
    <row r="415" spans="1:7" ht="13.5" thickBot="1" x14ac:dyDescent="0.25">
      <c r="A415"/>
      <c r="B415"/>
      <c r="C415" s="29"/>
      <c r="D415" s="29"/>
      <c r="E415" s="29"/>
      <c r="F415" s="29"/>
      <c r="G415" s="29"/>
    </row>
    <row r="416" spans="1:7" ht="13.5" thickBot="1" x14ac:dyDescent="0.25">
      <c r="A416" s="127" t="s">
        <v>1</v>
      </c>
      <c r="B416" s="26" t="s">
        <v>16</v>
      </c>
      <c r="C416" s="29"/>
      <c r="D416" s="29"/>
      <c r="E416" s="29"/>
      <c r="F416" s="29"/>
      <c r="G416" s="29"/>
    </row>
    <row r="417" spans="1:10" x14ac:dyDescent="0.2">
      <c r="A417" s="57">
        <v>0</v>
      </c>
      <c r="B417" s="54">
        <v>0</v>
      </c>
      <c r="C417" s="29"/>
      <c r="D417" s="29"/>
      <c r="E417" s="29"/>
      <c r="F417" s="29"/>
      <c r="G417" s="29"/>
    </row>
    <row r="418" spans="1:10" x14ac:dyDescent="0.2">
      <c r="A418" s="52">
        <v>7.89</v>
      </c>
      <c r="B418" s="55">
        <v>0</v>
      </c>
      <c r="C418" s="29"/>
      <c r="D418" s="29"/>
      <c r="E418" s="29"/>
      <c r="F418" s="29"/>
      <c r="G418" s="29"/>
    </row>
    <row r="419" spans="1:10" x14ac:dyDescent="0.2">
      <c r="A419" s="52">
        <v>20</v>
      </c>
      <c r="B419" s="55">
        <v>0</v>
      </c>
      <c r="C419" s="29"/>
      <c r="D419" s="29"/>
      <c r="E419" s="29"/>
      <c r="F419" s="29"/>
      <c r="G419" s="29"/>
    </row>
    <row r="420" spans="1:10" x14ac:dyDescent="0.2">
      <c r="A420" s="52">
        <v>55.26</v>
      </c>
      <c r="B420" s="55">
        <v>0</v>
      </c>
      <c r="C420" s="29"/>
      <c r="D420" s="29"/>
      <c r="E420" s="29"/>
      <c r="F420" s="29"/>
      <c r="G420" s="29"/>
    </row>
    <row r="421" spans="1:10" x14ac:dyDescent="0.2">
      <c r="A421" s="52">
        <v>60</v>
      </c>
      <c r="B421" s="55">
        <v>0</v>
      </c>
      <c r="C421" s="29"/>
      <c r="D421" s="29"/>
      <c r="E421" s="29"/>
      <c r="F421" s="29"/>
      <c r="G421" s="29"/>
    </row>
    <row r="422" spans="1:10" x14ac:dyDescent="0.2">
      <c r="A422" s="52">
        <v>65</v>
      </c>
      <c r="B422" s="55">
        <v>0</v>
      </c>
      <c r="C422" s="29"/>
      <c r="D422" s="29"/>
      <c r="E422" s="29"/>
      <c r="F422" s="29"/>
      <c r="G422" s="29"/>
    </row>
    <row r="423" spans="1:10" x14ac:dyDescent="0.2">
      <c r="A423" s="52">
        <v>71.05</v>
      </c>
      <c r="B423" s="55">
        <v>0</v>
      </c>
      <c r="C423" s="29"/>
      <c r="D423" s="29"/>
      <c r="E423" s="29"/>
      <c r="F423" s="29"/>
      <c r="G423" s="29"/>
    </row>
    <row r="424" spans="1:10" ht="13.5" thickBot="1" x14ac:dyDescent="0.25">
      <c r="A424" s="53">
        <v>100</v>
      </c>
      <c r="B424" s="56">
        <v>0</v>
      </c>
      <c r="C424" s="29"/>
      <c r="D424" s="29"/>
      <c r="E424" s="29"/>
      <c r="F424" s="29"/>
      <c r="G424" s="29"/>
    </row>
    <row r="425" spans="1:10" ht="13.5" thickBot="1" x14ac:dyDescent="0.25">
      <c r="A425"/>
      <c r="B425"/>
      <c r="C425" s="29"/>
      <c r="D425" s="29"/>
      <c r="E425" s="29"/>
      <c r="F425" s="29"/>
      <c r="G425" s="29"/>
    </row>
    <row r="426" spans="1:10" ht="13.5" thickBot="1" x14ac:dyDescent="0.25">
      <c r="A426" s="127" t="s">
        <v>17</v>
      </c>
      <c r="B426" s="26" t="s">
        <v>16</v>
      </c>
      <c r="C426" s="29"/>
      <c r="D426" s="29"/>
      <c r="E426" s="29"/>
      <c r="F426" s="29"/>
      <c r="G426" s="29"/>
    </row>
    <row r="427" spans="1:10" x14ac:dyDescent="0.2">
      <c r="A427" s="39">
        <f t="shared" ref="A427:A434" si="46">A417*F$4/100</f>
        <v>0</v>
      </c>
      <c r="B427" s="40">
        <f t="shared" ref="B427:B434" si="47">B417</f>
        <v>0</v>
      </c>
      <c r="C427" s="29"/>
      <c r="D427" s="29"/>
      <c r="E427" s="29"/>
      <c r="F427" s="29"/>
      <c r="G427" s="29"/>
    </row>
    <row r="428" spans="1:10" x14ac:dyDescent="0.2">
      <c r="A428" s="41">
        <f t="shared" si="46"/>
        <v>0.15385499999999999</v>
      </c>
      <c r="B428" s="42">
        <f t="shared" si="47"/>
        <v>0</v>
      </c>
      <c r="C428" s="29"/>
      <c r="D428" s="29"/>
      <c r="E428" s="29"/>
      <c r="F428" s="29"/>
      <c r="G428" s="29"/>
    </row>
    <row r="429" spans="1:10" x14ac:dyDescent="0.2">
      <c r="A429" s="41">
        <f t="shared" si="46"/>
        <v>0.39</v>
      </c>
      <c r="B429" s="42">
        <f t="shared" si="47"/>
        <v>0</v>
      </c>
      <c r="C429" s="29"/>
      <c r="D429" s="29"/>
      <c r="E429" s="29"/>
      <c r="F429" s="29"/>
      <c r="G429" s="29"/>
      <c r="I429" s="89"/>
      <c r="J429" s="89"/>
    </row>
    <row r="430" spans="1:10" x14ac:dyDescent="0.2">
      <c r="A430" s="41">
        <f t="shared" si="46"/>
        <v>1.0775699999999999</v>
      </c>
      <c r="B430" s="42">
        <f t="shared" si="47"/>
        <v>0</v>
      </c>
      <c r="C430" s="29"/>
      <c r="D430" s="29"/>
      <c r="E430" s="29"/>
      <c r="F430" s="29"/>
      <c r="G430" s="29"/>
      <c r="I430" s="89"/>
      <c r="J430" s="89"/>
    </row>
    <row r="431" spans="1:10" x14ac:dyDescent="0.2">
      <c r="A431" s="41">
        <f t="shared" si="46"/>
        <v>1.17</v>
      </c>
      <c r="B431" s="42">
        <f t="shared" si="47"/>
        <v>0</v>
      </c>
      <c r="C431" s="29"/>
      <c r="D431" s="29"/>
      <c r="E431" s="29"/>
      <c r="F431" s="29"/>
      <c r="G431" s="29"/>
      <c r="I431" s="89"/>
      <c r="J431" s="89"/>
    </row>
    <row r="432" spans="1:10" x14ac:dyDescent="0.2">
      <c r="A432" s="41">
        <f t="shared" si="46"/>
        <v>1.2675000000000001</v>
      </c>
      <c r="B432" s="42">
        <f t="shared" si="47"/>
        <v>0</v>
      </c>
      <c r="C432" s="29"/>
      <c r="D432" s="29"/>
      <c r="E432" s="29"/>
      <c r="F432" s="29"/>
      <c r="G432" s="29"/>
      <c r="I432" s="89"/>
      <c r="J432" s="89"/>
    </row>
    <row r="433" spans="1:10" x14ac:dyDescent="0.2">
      <c r="A433" s="41">
        <f t="shared" si="46"/>
        <v>1.3854749999999998</v>
      </c>
      <c r="B433" s="42">
        <f t="shared" si="47"/>
        <v>0</v>
      </c>
      <c r="C433" s="29"/>
      <c r="D433" s="29"/>
      <c r="E433" s="29"/>
      <c r="F433" s="29"/>
      <c r="G433" s="29"/>
      <c r="I433" s="89"/>
      <c r="J433" s="89"/>
    </row>
    <row r="434" spans="1:10" ht="13.5" thickBot="1" x14ac:dyDescent="0.25">
      <c r="A434" s="43">
        <f t="shared" si="46"/>
        <v>1.95</v>
      </c>
      <c r="B434" s="44">
        <f t="shared" si="47"/>
        <v>0</v>
      </c>
      <c r="C434" s="29"/>
      <c r="D434" s="29"/>
      <c r="E434" s="29"/>
      <c r="F434" s="29"/>
      <c r="G434" s="29"/>
      <c r="I434" s="89"/>
      <c r="J434" s="89"/>
    </row>
    <row r="435" spans="1:10" x14ac:dyDescent="0.2">
      <c r="A435" s="21"/>
      <c r="B435" s="22"/>
      <c r="C435" s="29"/>
      <c r="D435" s="29"/>
      <c r="E435" s="29"/>
      <c r="F435" s="29"/>
      <c r="G435" s="29"/>
      <c r="I435" s="89"/>
      <c r="J435" s="89"/>
    </row>
    <row r="436" spans="1:10" x14ac:dyDescent="0.2">
      <c r="A436" s="29"/>
      <c r="B436" s="29"/>
      <c r="C436" s="29"/>
      <c r="D436" s="29"/>
      <c r="E436" s="29"/>
      <c r="F436" s="29"/>
      <c r="G436" s="29"/>
      <c r="I436" s="89"/>
      <c r="J436" s="89"/>
    </row>
    <row r="437" spans="1:10" ht="13.5" thickBot="1" x14ac:dyDescent="0.25">
      <c r="A437" s="29"/>
      <c r="B437" s="29"/>
      <c r="C437" s="29"/>
      <c r="D437" s="29"/>
      <c r="E437" s="29"/>
      <c r="F437" s="29"/>
      <c r="G437" s="29"/>
      <c r="I437" s="89"/>
      <c r="J437" s="89"/>
    </row>
    <row r="438" spans="1:10" ht="13.5" thickBot="1" x14ac:dyDescent="0.25">
      <c r="A438" s="127" t="s">
        <v>57</v>
      </c>
      <c r="B438" s="26" t="s">
        <v>48</v>
      </c>
      <c r="C438" s="124"/>
      <c r="D438" s="124"/>
      <c r="E438" s="124"/>
      <c r="F438" s="124"/>
      <c r="G438" s="124"/>
      <c r="I438" s="89"/>
      <c r="J438" s="89"/>
    </row>
    <row r="439" spans="1:10" ht="13.5" thickBot="1" x14ac:dyDescent="0.25">
      <c r="A439" s="13" t="s">
        <v>74</v>
      </c>
      <c r="B439" s="245">
        <v>30</v>
      </c>
      <c r="C439" s="124"/>
      <c r="D439" s="124"/>
      <c r="E439" s="124"/>
      <c r="F439" s="124"/>
      <c r="G439" s="124"/>
      <c r="I439" s="89"/>
      <c r="J439" s="89"/>
    </row>
    <row r="440" spans="1:10" ht="13.5" thickBot="1" x14ac:dyDescent="0.25">
      <c r="A440" s="1"/>
      <c r="B440" s="24"/>
      <c r="C440" s="124"/>
      <c r="D440" s="124"/>
      <c r="E440" s="124"/>
      <c r="F440" s="124"/>
      <c r="G440" s="124"/>
      <c r="I440" s="89"/>
      <c r="J440" s="89"/>
    </row>
    <row r="441" spans="1:10" ht="13.5" thickBot="1" x14ac:dyDescent="0.25">
      <c r="A441" s="127" t="s">
        <v>1</v>
      </c>
      <c r="B441" s="26" t="s">
        <v>16</v>
      </c>
      <c r="C441" s="124"/>
      <c r="D441" s="124"/>
      <c r="E441" s="124"/>
      <c r="F441" s="124"/>
      <c r="G441" s="124"/>
      <c r="I441" s="89"/>
      <c r="J441" s="89"/>
    </row>
    <row r="442" spans="1:10" x14ac:dyDescent="0.2">
      <c r="A442" s="51">
        <v>0</v>
      </c>
      <c r="B442" s="54">
        <v>0</v>
      </c>
      <c r="C442" s="124"/>
      <c r="D442" s="124"/>
      <c r="E442" s="124"/>
      <c r="F442" s="124"/>
      <c r="G442" s="124"/>
      <c r="I442" s="89"/>
      <c r="J442" s="89"/>
    </row>
    <row r="443" spans="1:10" x14ac:dyDescent="0.2">
      <c r="A443" s="52">
        <v>5</v>
      </c>
      <c r="B443" s="55">
        <v>0</v>
      </c>
      <c r="C443" s="124"/>
      <c r="D443" s="124"/>
      <c r="E443" s="124"/>
      <c r="F443" s="124"/>
      <c r="G443" s="124"/>
      <c r="I443" s="89"/>
      <c r="J443" s="89"/>
    </row>
    <row r="444" spans="1:10" x14ac:dyDescent="0.2">
      <c r="A444" s="52">
        <v>10.256410000000001</v>
      </c>
      <c r="B444" s="55">
        <v>0</v>
      </c>
      <c r="C444" s="124"/>
      <c r="D444" s="124"/>
      <c r="E444" s="124"/>
      <c r="F444" s="124"/>
      <c r="G444" s="124"/>
      <c r="I444" s="89"/>
      <c r="J444" s="89"/>
    </row>
    <row r="445" spans="1:10" x14ac:dyDescent="0.2">
      <c r="A445" s="52">
        <v>12.820513</v>
      </c>
      <c r="B445" s="55">
        <v>150</v>
      </c>
      <c r="C445" s="124"/>
      <c r="D445" s="124"/>
      <c r="E445" s="124"/>
      <c r="F445" s="124"/>
      <c r="G445" s="124"/>
      <c r="I445" s="89"/>
      <c r="J445" s="89"/>
    </row>
    <row r="446" spans="1:10" x14ac:dyDescent="0.2">
      <c r="A446" s="52">
        <v>56</v>
      </c>
      <c r="B446" s="55">
        <v>150</v>
      </c>
      <c r="C446" s="124"/>
      <c r="D446" s="124"/>
      <c r="E446" s="124"/>
      <c r="F446" s="124"/>
      <c r="G446" s="124"/>
      <c r="I446" s="89"/>
      <c r="J446" s="89"/>
    </row>
    <row r="447" spans="1:10" x14ac:dyDescent="0.2">
      <c r="A447" s="52">
        <v>78</v>
      </c>
      <c r="B447" s="55">
        <v>150</v>
      </c>
      <c r="C447" s="124"/>
      <c r="D447" s="124"/>
      <c r="E447" s="124"/>
      <c r="F447" s="124"/>
      <c r="G447" s="124"/>
      <c r="I447" s="89"/>
      <c r="J447" s="89"/>
    </row>
    <row r="448" spans="1:10" x14ac:dyDescent="0.2">
      <c r="A448" s="52">
        <v>95</v>
      </c>
      <c r="B448" s="55">
        <v>150</v>
      </c>
      <c r="C448" s="124"/>
      <c r="D448" s="124"/>
      <c r="E448" s="124"/>
      <c r="F448" s="124"/>
      <c r="G448" s="124"/>
      <c r="I448" s="89"/>
      <c r="J448" s="89"/>
    </row>
    <row r="449" spans="1:10" ht="13.5" thickBot="1" x14ac:dyDescent="0.25">
      <c r="A449" s="53">
        <v>100</v>
      </c>
      <c r="B449" s="56">
        <v>150</v>
      </c>
      <c r="C449" s="124"/>
      <c r="D449" s="124"/>
      <c r="E449" s="124"/>
      <c r="F449" s="124"/>
      <c r="G449" s="124"/>
      <c r="I449" s="89"/>
      <c r="J449" s="89"/>
    </row>
    <row r="450" spans="1:10" ht="13.5" thickBot="1" x14ac:dyDescent="0.25">
      <c r="A450" s="124"/>
      <c r="B450" s="124"/>
      <c r="C450" s="124"/>
      <c r="D450" s="124"/>
      <c r="E450" s="124"/>
      <c r="F450" s="124"/>
      <c r="G450" s="124"/>
      <c r="I450" s="89"/>
      <c r="J450" s="89"/>
    </row>
    <row r="451" spans="1:10" ht="13.5" thickBot="1" x14ac:dyDescent="0.25">
      <c r="A451" s="127" t="s">
        <v>17</v>
      </c>
      <c r="B451" s="26" t="s">
        <v>16</v>
      </c>
      <c r="C451" s="124"/>
      <c r="D451" s="124"/>
      <c r="E451" s="124"/>
      <c r="F451" s="124"/>
      <c r="G451" s="124"/>
      <c r="I451" s="89"/>
      <c r="J451" s="89"/>
    </row>
    <row r="452" spans="1:10" x14ac:dyDescent="0.2">
      <c r="A452" s="39">
        <f t="shared" ref="A452:A459" si="48">A442*F$4/100</f>
        <v>0</v>
      </c>
      <c r="B452" s="40">
        <f t="shared" ref="B452:B459" si="49">B442</f>
        <v>0</v>
      </c>
      <c r="C452" s="124"/>
      <c r="D452" s="124"/>
      <c r="E452" s="124"/>
      <c r="F452" s="124"/>
      <c r="G452" s="124"/>
      <c r="I452" s="89"/>
      <c r="J452" s="89"/>
    </row>
    <row r="453" spans="1:10" x14ac:dyDescent="0.2">
      <c r="A453" s="41">
        <f t="shared" si="48"/>
        <v>9.7500000000000003E-2</v>
      </c>
      <c r="B453" s="42">
        <f t="shared" si="49"/>
        <v>0</v>
      </c>
      <c r="C453" s="124"/>
      <c r="D453" s="124"/>
      <c r="E453" s="124"/>
      <c r="F453" s="124"/>
      <c r="G453" s="124"/>
      <c r="I453" s="89"/>
      <c r="J453" s="89"/>
    </row>
    <row r="454" spans="1:10" x14ac:dyDescent="0.2">
      <c r="A454" s="41">
        <f t="shared" si="48"/>
        <v>0.19999999500000001</v>
      </c>
      <c r="B454" s="42">
        <f t="shared" si="49"/>
        <v>0</v>
      </c>
      <c r="C454" s="124"/>
      <c r="D454" s="124"/>
      <c r="E454" s="124"/>
      <c r="F454" s="124"/>
      <c r="G454" s="124"/>
      <c r="I454" s="89"/>
      <c r="J454" s="89"/>
    </row>
    <row r="455" spans="1:10" x14ac:dyDescent="0.2">
      <c r="A455" s="41">
        <f t="shared" si="48"/>
        <v>0.25000000350000001</v>
      </c>
      <c r="B455" s="42">
        <f t="shared" si="49"/>
        <v>150</v>
      </c>
      <c r="C455" s="124"/>
      <c r="D455" s="124"/>
      <c r="E455" s="124"/>
      <c r="F455" s="124"/>
      <c r="G455" s="124"/>
      <c r="I455" s="89"/>
      <c r="J455" s="89"/>
    </row>
    <row r="456" spans="1:10" x14ac:dyDescent="0.2">
      <c r="A456" s="41">
        <f t="shared" si="48"/>
        <v>1.0920000000000001</v>
      </c>
      <c r="B456" s="42">
        <f t="shared" si="49"/>
        <v>150</v>
      </c>
      <c r="C456" s="124"/>
      <c r="D456" s="124"/>
      <c r="E456" s="124"/>
      <c r="F456" s="124"/>
      <c r="G456" s="124"/>
      <c r="I456" s="89"/>
      <c r="J456" s="89"/>
    </row>
    <row r="457" spans="1:10" x14ac:dyDescent="0.2">
      <c r="A457" s="41">
        <f t="shared" si="48"/>
        <v>1.5209999999999999</v>
      </c>
      <c r="B457" s="42">
        <f t="shared" si="49"/>
        <v>150</v>
      </c>
      <c r="C457" s="124"/>
      <c r="D457" s="124"/>
      <c r="E457" s="124"/>
      <c r="F457" s="124"/>
      <c r="G457" s="124"/>
      <c r="I457" s="89"/>
      <c r="J457" s="89"/>
    </row>
    <row r="458" spans="1:10" x14ac:dyDescent="0.2">
      <c r="A458" s="41">
        <f t="shared" si="48"/>
        <v>1.8525</v>
      </c>
      <c r="B458" s="42">
        <f t="shared" si="49"/>
        <v>150</v>
      </c>
      <c r="C458" s="124"/>
      <c r="D458" s="124"/>
      <c r="E458" s="124"/>
      <c r="F458" s="124"/>
      <c r="G458" s="124"/>
      <c r="I458" s="89"/>
      <c r="J458" s="89"/>
    </row>
    <row r="459" spans="1:10" ht="13.5" thickBot="1" x14ac:dyDescent="0.25">
      <c r="A459" s="43">
        <f t="shared" si="48"/>
        <v>1.95</v>
      </c>
      <c r="B459" s="44">
        <f t="shared" si="49"/>
        <v>150</v>
      </c>
      <c r="C459" s="124"/>
      <c r="D459" s="124"/>
      <c r="E459" s="124"/>
      <c r="F459" s="124"/>
      <c r="G459" s="124"/>
      <c r="I459" s="89"/>
      <c r="J459" s="89"/>
    </row>
    <row r="460" spans="1:10" x14ac:dyDescent="0.2">
      <c r="A460" s="124"/>
      <c r="B460" s="124"/>
      <c r="C460" s="124"/>
      <c r="D460" s="124"/>
      <c r="E460" s="124"/>
      <c r="F460" s="124"/>
      <c r="G460" s="124"/>
      <c r="I460" s="89"/>
      <c r="J460" s="89"/>
    </row>
    <row r="461" spans="1:10" ht="13.5" thickBot="1" x14ac:dyDescent="0.25">
      <c r="A461" s="124"/>
      <c r="B461" s="124"/>
      <c r="C461" s="124"/>
      <c r="D461" s="124"/>
      <c r="E461" s="124"/>
      <c r="F461" s="124"/>
      <c r="G461" s="124"/>
      <c r="I461" s="89"/>
      <c r="J461" s="89"/>
    </row>
    <row r="462" spans="1:10" ht="13.5" thickBot="1" x14ac:dyDescent="0.25">
      <c r="A462" s="127" t="s">
        <v>57</v>
      </c>
      <c r="B462" s="26" t="s">
        <v>48</v>
      </c>
      <c r="C462" s="124"/>
      <c r="D462" s="124"/>
      <c r="E462" s="124"/>
      <c r="F462" s="124"/>
      <c r="G462" s="124"/>
      <c r="I462" s="89"/>
      <c r="J462" s="89"/>
    </row>
    <row r="463" spans="1:10" ht="13.5" thickBot="1" x14ac:dyDescent="0.25">
      <c r="A463" s="13" t="s">
        <v>75</v>
      </c>
      <c r="B463" s="245">
        <v>60</v>
      </c>
      <c r="C463" s="124"/>
      <c r="D463" s="124"/>
      <c r="E463" s="124"/>
      <c r="F463" s="124"/>
      <c r="G463" s="124"/>
      <c r="I463" s="89"/>
      <c r="J463" s="89"/>
    </row>
    <row r="464" spans="1:10" ht="13.5" thickBot="1" x14ac:dyDescent="0.25">
      <c r="A464" s="124"/>
      <c r="B464" s="124"/>
      <c r="C464" s="124"/>
      <c r="D464" s="124"/>
      <c r="E464" s="124"/>
      <c r="F464" s="124"/>
      <c r="G464" s="124"/>
      <c r="I464" s="89"/>
      <c r="J464" s="89"/>
    </row>
    <row r="465" spans="1:10" ht="13.5" thickBot="1" x14ac:dyDescent="0.25">
      <c r="A465" s="127" t="s">
        <v>1</v>
      </c>
      <c r="B465" s="26" t="s">
        <v>16</v>
      </c>
      <c r="C465" s="124"/>
      <c r="D465" s="124"/>
      <c r="E465" s="124"/>
      <c r="F465" s="124"/>
      <c r="G465" s="124"/>
      <c r="I465" s="89"/>
      <c r="J465" s="89"/>
    </row>
    <row r="466" spans="1:10" x14ac:dyDescent="0.2">
      <c r="A466" s="57">
        <v>0</v>
      </c>
      <c r="B466" s="54">
        <v>0</v>
      </c>
      <c r="C466" s="124"/>
      <c r="D466" s="124"/>
      <c r="E466" s="124"/>
      <c r="F466" s="124"/>
      <c r="G466" s="124"/>
      <c r="I466" s="89"/>
      <c r="J466" s="89"/>
    </row>
    <row r="467" spans="1:10" x14ac:dyDescent="0.2">
      <c r="A467" s="52">
        <v>10</v>
      </c>
      <c r="B467" s="55">
        <v>0</v>
      </c>
      <c r="C467" s="124"/>
      <c r="D467" s="124"/>
      <c r="E467" s="124"/>
      <c r="F467" s="124"/>
      <c r="G467" s="124"/>
      <c r="I467" s="89"/>
      <c r="J467" s="89"/>
    </row>
    <row r="468" spans="1:10" x14ac:dyDescent="0.2">
      <c r="A468" s="52">
        <v>50</v>
      </c>
      <c r="B468" s="55">
        <v>0</v>
      </c>
      <c r="C468" s="124"/>
      <c r="D468" s="124"/>
      <c r="E468" s="124"/>
      <c r="F468" s="124"/>
      <c r="G468" s="124"/>
      <c r="I468" s="89"/>
      <c r="J468" s="89"/>
    </row>
    <row r="469" spans="1:10" x14ac:dyDescent="0.2">
      <c r="A469" s="52">
        <v>75</v>
      </c>
      <c r="B469" s="55">
        <v>0</v>
      </c>
      <c r="C469" s="124"/>
      <c r="D469" s="124"/>
      <c r="E469" s="124"/>
      <c r="F469" s="124"/>
      <c r="G469" s="124"/>
      <c r="I469" s="89"/>
      <c r="J469" s="89"/>
    </row>
    <row r="470" spans="1:10" x14ac:dyDescent="0.2">
      <c r="A470" s="52">
        <v>88</v>
      </c>
      <c r="B470" s="55">
        <v>0</v>
      </c>
      <c r="C470" s="124"/>
      <c r="D470" s="124"/>
      <c r="E470" s="124"/>
      <c r="F470" s="124"/>
      <c r="G470" s="124"/>
      <c r="I470" s="89"/>
      <c r="J470" s="89"/>
    </row>
    <row r="471" spans="1:10" x14ac:dyDescent="0.2">
      <c r="A471" s="52">
        <v>94</v>
      </c>
      <c r="B471" s="55">
        <v>0</v>
      </c>
      <c r="C471" s="124"/>
      <c r="D471" s="124"/>
      <c r="E471" s="124"/>
      <c r="F471" s="124"/>
      <c r="G471" s="124"/>
      <c r="I471" s="89"/>
      <c r="J471" s="89"/>
    </row>
    <row r="472" spans="1:10" x14ac:dyDescent="0.2">
      <c r="A472" s="52">
        <v>95</v>
      </c>
      <c r="B472" s="55">
        <v>0</v>
      </c>
      <c r="C472" s="124"/>
      <c r="D472" s="124"/>
      <c r="E472" s="124"/>
      <c r="F472" s="124"/>
      <c r="G472" s="124"/>
      <c r="I472" s="89"/>
      <c r="J472" s="89"/>
    </row>
    <row r="473" spans="1:10" ht="13.5" thickBot="1" x14ac:dyDescent="0.25">
      <c r="A473" s="53">
        <v>100</v>
      </c>
      <c r="B473" s="56">
        <v>0</v>
      </c>
      <c r="C473" s="124"/>
      <c r="D473" s="124"/>
      <c r="E473" s="124"/>
      <c r="F473" s="124"/>
      <c r="G473" s="124"/>
      <c r="I473" s="89"/>
      <c r="J473" s="89"/>
    </row>
    <row r="474" spans="1:10" ht="13.5" thickBot="1" x14ac:dyDescent="0.25">
      <c r="A474" s="124"/>
      <c r="B474" s="124"/>
      <c r="C474" s="124"/>
      <c r="D474" s="124"/>
      <c r="E474" s="124"/>
      <c r="F474" s="124"/>
      <c r="G474" s="124"/>
      <c r="I474" s="89"/>
      <c r="J474" s="89"/>
    </row>
    <row r="475" spans="1:10" ht="13.5" thickBot="1" x14ac:dyDescent="0.25">
      <c r="A475" s="127" t="s">
        <v>17</v>
      </c>
      <c r="B475" s="26" t="s">
        <v>16</v>
      </c>
      <c r="C475" s="124"/>
      <c r="D475" s="124"/>
      <c r="E475" s="124"/>
      <c r="F475" s="124"/>
      <c r="G475" s="124"/>
      <c r="I475" s="89"/>
      <c r="J475" s="89"/>
    </row>
    <row r="476" spans="1:10" x14ac:dyDescent="0.2">
      <c r="A476" s="39">
        <f t="shared" ref="A476:A483" si="50">A466*F$4/100</f>
        <v>0</v>
      </c>
      <c r="B476" s="40">
        <f t="shared" ref="B476:B483" si="51">B466</f>
        <v>0</v>
      </c>
      <c r="C476" s="124"/>
      <c r="D476" s="124"/>
      <c r="E476" s="124"/>
      <c r="F476" s="124"/>
      <c r="G476" s="124"/>
      <c r="I476" s="89"/>
      <c r="J476" s="89"/>
    </row>
    <row r="477" spans="1:10" x14ac:dyDescent="0.2">
      <c r="A477" s="41">
        <f t="shared" si="50"/>
        <v>0.19500000000000001</v>
      </c>
      <c r="B477" s="42">
        <f t="shared" si="51"/>
        <v>0</v>
      </c>
      <c r="C477" s="124"/>
      <c r="D477" s="124"/>
      <c r="E477" s="124"/>
      <c r="F477" s="124"/>
      <c r="G477" s="124"/>
      <c r="I477" s="89"/>
      <c r="J477" s="89"/>
    </row>
    <row r="478" spans="1:10" x14ac:dyDescent="0.2">
      <c r="A478" s="41">
        <f t="shared" si="50"/>
        <v>0.97499999999999998</v>
      </c>
      <c r="B478" s="42">
        <f t="shared" si="51"/>
        <v>0</v>
      </c>
      <c r="C478" s="124"/>
      <c r="D478" s="124"/>
      <c r="E478" s="124"/>
      <c r="F478" s="124"/>
      <c r="G478" s="124"/>
      <c r="I478" s="89"/>
      <c r="J478" s="89"/>
    </row>
    <row r="479" spans="1:10" x14ac:dyDescent="0.2">
      <c r="A479" s="41">
        <f t="shared" si="50"/>
        <v>1.4624999999999999</v>
      </c>
      <c r="B479" s="42">
        <f t="shared" si="51"/>
        <v>0</v>
      </c>
      <c r="C479" s="124"/>
      <c r="D479" s="124"/>
      <c r="E479" s="124"/>
      <c r="F479" s="124"/>
      <c r="G479" s="124"/>
      <c r="I479" s="89"/>
      <c r="J479" s="89"/>
    </row>
    <row r="480" spans="1:10" x14ac:dyDescent="0.2">
      <c r="A480" s="41">
        <f t="shared" si="50"/>
        <v>1.716</v>
      </c>
      <c r="B480" s="42">
        <f t="shared" si="51"/>
        <v>0</v>
      </c>
      <c r="C480" s="124"/>
      <c r="D480" s="124"/>
      <c r="E480" s="124"/>
      <c r="F480" s="124"/>
      <c r="G480" s="124"/>
      <c r="I480" s="89"/>
      <c r="J480" s="89"/>
    </row>
    <row r="481" spans="1:10" x14ac:dyDescent="0.2">
      <c r="A481" s="41">
        <f t="shared" si="50"/>
        <v>1.8329999999999997</v>
      </c>
      <c r="B481" s="42">
        <f t="shared" si="51"/>
        <v>0</v>
      </c>
      <c r="C481" s="124"/>
      <c r="D481" s="124"/>
      <c r="E481" s="124"/>
      <c r="F481" s="124"/>
      <c r="G481" s="124"/>
      <c r="I481" s="89"/>
      <c r="J481" s="89"/>
    </row>
    <row r="482" spans="1:10" x14ac:dyDescent="0.2">
      <c r="A482" s="41">
        <f t="shared" si="50"/>
        <v>1.8525</v>
      </c>
      <c r="B482" s="42">
        <f t="shared" si="51"/>
        <v>0</v>
      </c>
      <c r="C482" s="124"/>
      <c r="D482" s="124"/>
      <c r="E482" s="124"/>
      <c r="F482" s="124"/>
      <c r="G482" s="124"/>
      <c r="I482" s="89"/>
      <c r="J482" s="89"/>
    </row>
    <row r="483" spans="1:10" ht="13.5" thickBot="1" x14ac:dyDescent="0.25">
      <c r="A483" s="43">
        <f t="shared" si="50"/>
        <v>1.95</v>
      </c>
      <c r="B483" s="44">
        <f t="shared" si="51"/>
        <v>0</v>
      </c>
      <c r="C483" s="1"/>
      <c r="D483" s="1"/>
      <c r="E483" s="1"/>
      <c r="F483" s="1"/>
      <c r="G483" s="1"/>
      <c r="I483" s="89"/>
      <c r="J483" s="89"/>
    </row>
    <row r="484" spans="1:10" x14ac:dyDescent="0.2">
      <c r="A484" s="1"/>
      <c r="B484" s="1"/>
      <c r="C484" s="1"/>
      <c r="D484" s="1"/>
      <c r="E484" s="1"/>
      <c r="F484" s="1"/>
      <c r="G484" s="1"/>
      <c r="I484" s="89"/>
      <c r="J484" s="89"/>
    </row>
    <row r="485" spans="1:10" ht="13.5" thickBot="1" x14ac:dyDescent="0.25">
      <c r="A485" s="1"/>
      <c r="B485" s="1"/>
      <c r="C485" s="1"/>
      <c r="D485" s="1"/>
      <c r="E485" s="1"/>
      <c r="F485" s="1"/>
      <c r="G485" s="1"/>
      <c r="I485" s="89"/>
      <c r="J485" s="89"/>
    </row>
    <row r="486" spans="1:10" ht="13.5" thickBot="1" x14ac:dyDescent="0.25">
      <c r="A486" s="127" t="s">
        <v>57</v>
      </c>
      <c r="B486" s="26" t="s">
        <v>48</v>
      </c>
      <c r="C486" s="1"/>
      <c r="D486" s="1"/>
      <c r="E486" s="1"/>
      <c r="F486" s="1"/>
      <c r="G486" s="1"/>
      <c r="I486" s="89"/>
      <c r="J486" s="89"/>
    </row>
    <row r="487" spans="1:10" ht="13.5" thickBot="1" x14ac:dyDescent="0.25">
      <c r="A487" s="13" t="s">
        <v>76</v>
      </c>
      <c r="B487" s="245">
        <v>60</v>
      </c>
      <c r="C487" s="1"/>
      <c r="D487" s="1"/>
      <c r="E487" s="1"/>
      <c r="F487" s="1"/>
      <c r="G487" s="1"/>
      <c r="I487" s="89"/>
      <c r="J487" s="89"/>
    </row>
    <row r="488" spans="1:10" ht="13.5" thickBot="1" x14ac:dyDescent="0.25">
      <c r="A488"/>
      <c r="B488"/>
      <c r="C488"/>
      <c r="D488"/>
      <c r="E488"/>
      <c r="F488"/>
      <c r="G488"/>
      <c r="I488" s="89"/>
      <c r="J488" s="89"/>
    </row>
    <row r="489" spans="1:10" ht="13.5" thickBot="1" x14ac:dyDescent="0.25">
      <c r="A489" s="127" t="s">
        <v>1</v>
      </c>
      <c r="B489" s="26" t="s">
        <v>16</v>
      </c>
      <c r="C489"/>
      <c r="D489"/>
      <c r="E489"/>
      <c r="F489"/>
      <c r="G489"/>
      <c r="I489" s="89"/>
      <c r="J489" s="89"/>
    </row>
    <row r="490" spans="1:10" x14ac:dyDescent="0.2">
      <c r="A490" s="57">
        <v>0</v>
      </c>
      <c r="B490" s="54">
        <v>0</v>
      </c>
      <c r="C490"/>
      <c r="D490"/>
      <c r="E490"/>
      <c r="F490"/>
      <c r="G490"/>
      <c r="I490" s="89"/>
      <c r="J490" s="89"/>
    </row>
    <row r="491" spans="1:10" x14ac:dyDescent="0.2">
      <c r="A491" s="52">
        <v>10.26</v>
      </c>
      <c r="B491" s="55">
        <v>0</v>
      </c>
      <c r="C491"/>
      <c r="D491"/>
      <c r="E491"/>
      <c r="F491"/>
      <c r="G491"/>
      <c r="I491" s="89"/>
      <c r="J491" s="89"/>
    </row>
    <row r="492" spans="1:10" x14ac:dyDescent="0.2">
      <c r="A492" s="52">
        <v>12.82</v>
      </c>
      <c r="B492" s="55">
        <v>150</v>
      </c>
      <c r="C492"/>
      <c r="D492"/>
      <c r="E492"/>
      <c r="F492"/>
      <c r="G492"/>
      <c r="I492" s="89"/>
      <c r="J492" s="89"/>
    </row>
    <row r="493" spans="1:10" x14ac:dyDescent="0.2">
      <c r="A493" s="52">
        <v>56</v>
      </c>
      <c r="B493" s="55">
        <v>150</v>
      </c>
      <c r="C493"/>
      <c r="D493"/>
      <c r="E493"/>
      <c r="F493"/>
      <c r="G493"/>
      <c r="I493" s="89"/>
      <c r="J493" s="89"/>
    </row>
    <row r="494" spans="1:10" x14ac:dyDescent="0.2">
      <c r="A494" s="52">
        <v>78</v>
      </c>
      <c r="B494" s="55">
        <v>150</v>
      </c>
      <c r="C494"/>
      <c r="D494"/>
      <c r="E494"/>
      <c r="F494"/>
      <c r="G494"/>
      <c r="I494" s="89"/>
      <c r="J494" s="89"/>
    </row>
    <row r="495" spans="1:10" x14ac:dyDescent="0.2">
      <c r="A495" s="52">
        <v>89</v>
      </c>
      <c r="B495" s="55">
        <v>150</v>
      </c>
      <c r="C495"/>
      <c r="D495"/>
      <c r="E495"/>
      <c r="F495"/>
      <c r="G495"/>
      <c r="I495" s="89"/>
      <c r="J495" s="89"/>
    </row>
    <row r="496" spans="1:10" x14ac:dyDescent="0.2">
      <c r="A496" s="52">
        <v>95</v>
      </c>
      <c r="B496" s="55">
        <v>150</v>
      </c>
      <c r="C496"/>
      <c r="D496"/>
      <c r="E496"/>
      <c r="F496"/>
      <c r="G496"/>
      <c r="I496" s="89"/>
      <c r="J496" s="89"/>
    </row>
    <row r="497" spans="1:10" ht="13.5" thickBot="1" x14ac:dyDescent="0.25">
      <c r="A497" s="53">
        <v>100</v>
      </c>
      <c r="B497" s="56">
        <v>150</v>
      </c>
      <c r="C497"/>
      <c r="D497"/>
      <c r="E497"/>
      <c r="F497"/>
      <c r="G497"/>
      <c r="I497" s="89"/>
      <c r="J497" s="89"/>
    </row>
    <row r="498" spans="1:10" ht="13.5" thickBot="1" x14ac:dyDescent="0.25">
      <c r="A498"/>
      <c r="B498"/>
      <c r="C498"/>
      <c r="D498"/>
      <c r="E498"/>
      <c r="F498"/>
      <c r="G498"/>
    </row>
    <row r="499" spans="1:10" ht="13.5" thickBot="1" x14ac:dyDescent="0.25">
      <c r="A499" s="127" t="s">
        <v>17</v>
      </c>
      <c r="B499" s="26" t="s">
        <v>16</v>
      </c>
      <c r="C499"/>
      <c r="D499"/>
      <c r="E499"/>
      <c r="F499"/>
      <c r="G499"/>
    </row>
    <row r="500" spans="1:10" x14ac:dyDescent="0.2">
      <c r="A500" s="39">
        <f t="shared" ref="A500:A507" si="52">A490*F$4/100</f>
        <v>0</v>
      </c>
      <c r="B500" s="40">
        <f t="shared" ref="B500:B507" si="53">B490</f>
        <v>0</v>
      </c>
      <c r="C500"/>
      <c r="D500"/>
      <c r="E500"/>
      <c r="F500"/>
      <c r="G500"/>
    </row>
    <row r="501" spans="1:10" x14ac:dyDescent="0.2">
      <c r="A501" s="41">
        <f t="shared" si="52"/>
        <v>0.20006999999999997</v>
      </c>
      <c r="B501" s="42">
        <f t="shared" si="53"/>
        <v>0</v>
      </c>
      <c r="C501"/>
      <c r="D501"/>
      <c r="E501"/>
      <c r="F501"/>
      <c r="G501"/>
    </row>
    <row r="502" spans="1:10" x14ac:dyDescent="0.2">
      <c r="A502" s="41">
        <f t="shared" si="52"/>
        <v>0.24998999999999999</v>
      </c>
      <c r="B502" s="42">
        <f t="shared" si="53"/>
        <v>150</v>
      </c>
      <c r="C502"/>
      <c r="D502"/>
      <c r="E502"/>
      <c r="F502"/>
      <c r="G502"/>
    </row>
    <row r="503" spans="1:10" x14ac:dyDescent="0.2">
      <c r="A503" s="41">
        <f t="shared" si="52"/>
        <v>1.0920000000000001</v>
      </c>
      <c r="B503" s="42">
        <f t="shared" si="53"/>
        <v>150</v>
      </c>
      <c r="C503"/>
      <c r="D503"/>
      <c r="E503"/>
      <c r="F503"/>
      <c r="G503"/>
    </row>
    <row r="504" spans="1:10" x14ac:dyDescent="0.2">
      <c r="A504" s="41">
        <f t="shared" si="52"/>
        <v>1.5209999999999999</v>
      </c>
      <c r="B504" s="42">
        <f t="shared" si="53"/>
        <v>150</v>
      </c>
      <c r="C504"/>
      <c r="D504"/>
      <c r="E504"/>
      <c r="F504"/>
      <c r="G504"/>
    </row>
    <row r="505" spans="1:10" x14ac:dyDescent="0.2">
      <c r="A505" s="41">
        <f t="shared" si="52"/>
        <v>1.7354999999999998</v>
      </c>
      <c r="B505" s="42">
        <f t="shared" si="53"/>
        <v>150</v>
      </c>
      <c r="C505"/>
      <c r="D505"/>
      <c r="E505"/>
      <c r="F505"/>
      <c r="G505"/>
    </row>
    <row r="506" spans="1:10" x14ac:dyDescent="0.2">
      <c r="A506" s="41">
        <f t="shared" si="52"/>
        <v>1.8525</v>
      </c>
      <c r="B506" s="42">
        <f t="shared" si="53"/>
        <v>150</v>
      </c>
      <c r="C506"/>
      <c r="D506"/>
      <c r="E506"/>
      <c r="F506"/>
      <c r="G506"/>
    </row>
    <row r="507" spans="1:10" ht="13.5" thickBot="1" x14ac:dyDescent="0.25">
      <c r="A507" s="43">
        <f t="shared" si="52"/>
        <v>1.95</v>
      </c>
      <c r="B507" s="44">
        <f t="shared" si="53"/>
        <v>150</v>
      </c>
      <c r="C507"/>
      <c r="D507"/>
      <c r="E507"/>
      <c r="F507"/>
      <c r="G507"/>
    </row>
    <row r="508" spans="1:10" x14ac:dyDescent="0.2">
      <c r="A508"/>
      <c r="B508"/>
      <c r="C508"/>
      <c r="D508"/>
      <c r="E508"/>
      <c r="F508"/>
      <c r="G508"/>
    </row>
    <row r="509" spans="1:10" ht="13.5" thickBot="1" x14ac:dyDescent="0.25">
      <c r="A509"/>
      <c r="B509"/>
      <c r="C509"/>
      <c r="D509"/>
      <c r="E509"/>
      <c r="F509"/>
      <c r="G509"/>
    </row>
    <row r="510" spans="1:10" ht="13.5" thickBot="1" x14ac:dyDescent="0.25">
      <c r="A510" s="127" t="s">
        <v>57</v>
      </c>
      <c r="B510" s="26" t="s">
        <v>48</v>
      </c>
      <c r="C510"/>
      <c r="D510"/>
      <c r="E510"/>
      <c r="F510"/>
      <c r="G510"/>
    </row>
    <row r="511" spans="1:10" ht="13.5" thickBot="1" x14ac:dyDescent="0.25">
      <c r="A511" s="13" t="s">
        <v>77</v>
      </c>
      <c r="B511" s="245">
        <v>60</v>
      </c>
      <c r="C511"/>
      <c r="D511"/>
      <c r="E511"/>
      <c r="F511"/>
      <c r="G511"/>
    </row>
    <row r="512" spans="1:10" ht="13.5" thickBot="1" x14ac:dyDescent="0.25">
      <c r="A512"/>
      <c r="B512"/>
      <c r="C512"/>
      <c r="D512"/>
      <c r="E512"/>
      <c r="F512"/>
      <c r="G512"/>
    </row>
    <row r="513" spans="1:7" ht="13.5" thickBot="1" x14ac:dyDescent="0.25">
      <c r="A513" s="127" t="s">
        <v>1</v>
      </c>
      <c r="B513" s="26" t="s">
        <v>16</v>
      </c>
      <c r="C513"/>
      <c r="D513"/>
      <c r="E513"/>
      <c r="F513"/>
      <c r="G513"/>
    </row>
    <row r="514" spans="1:7" x14ac:dyDescent="0.2">
      <c r="A514" s="57">
        <v>0</v>
      </c>
      <c r="B514" s="54">
        <v>0</v>
      </c>
      <c r="C514"/>
      <c r="D514"/>
      <c r="E514"/>
      <c r="F514"/>
      <c r="G514"/>
    </row>
    <row r="515" spans="1:7" x14ac:dyDescent="0.2">
      <c r="A515" s="52">
        <v>10.26</v>
      </c>
      <c r="B515" s="55">
        <v>0</v>
      </c>
      <c r="C515"/>
      <c r="D515"/>
      <c r="E515"/>
      <c r="F515"/>
      <c r="G515"/>
    </row>
    <row r="516" spans="1:7" x14ac:dyDescent="0.2">
      <c r="A516" s="52">
        <v>12.82</v>
      </c>
      <c r="B516" s="55">
        <v>150</v>
      </c>
      <c r="C516"/>
      <c r="D516"/>
      <c r="E516"/>
      <c r="F516"/>
      <c r="G516"/>
    </row>
    <row r="517" spans="1:7" x14ac:dyDescent="0.2">
      <c r="A517" s="52">
        <v>56</v>
      </c>
      <c r="B517" s="55">
        <v>150</v>
      </c>
      <c r="C517"/>
      <c r="D517"/>
      <c r="E517"/>
      <c r="F517"/>
      <c r="G517"/>
    </row>
    <row r="518" spans="1:7" x14ac:dyDescent="0.2">
      <c r="A518" s="52">
        <v>78</v>
      </c>
      <c r="B518" s="55">
        <v>150</v>
      </c>
      <c r="C518"/>
      <c r="D518"/>
      <c r="E518"/>
      <c r="F518"/>
      <c r="G518"/>
    </row>
    <row r="519" spans="1:7" x14ac:dyDescent="0.2">
      <c r="A519" s="52">
        <v>89</v>
      </c>
      <c r="B519" s="55">
        <v>150</v>
      </c>
      <c r="C519"/>
      <c r="D519"/>
      <c r="E519"/>
      <c r="F519"/>
      <c r="G519"/>
    </row>
    <row r="520" spans="1:7" x14ac:dyDescent="0.2">
      <c r="A520" s="52">
        <v>95</v>
      </c>
      <c r="B520" s="55">
        <v>150</v>
      </c>
      <c r="C520"/>
      <c r="D520"/>
      <c r="E520"/>
      <c r="F520"/>
      <c r="G520"/>
    </row>
    <row r="521" spans="1:7" ht="13.5" thickBot="1" x14ac:dyDescent="0.25">
      <c r="A521" s="53">
        <v>100</v>
      </c>
      <c r="B521" s="56">
        <v>150</v>
      </c>
      <c r="C521"/>
      <c r="D521"/>
      <c r="E521"/>
      <c r="F521"/>
      <c r="G521"/>
    </row>
    <row r="522" spans="1:7" ht="13.5" thickBot="1" x14ac:dyDescent="0.25">
      <c r="A522"/>
      <c r="B522"/>
      <c r="C522"/>
      <c r="D522"/>
      <c r="E522"/>
      <c r="F522"/>
      <c r="G522"/>
    </row>
    <row r="523" spans="1:7" ht="13.5" thickBot="1" x14ac:dyDescent="0.25">
      <c r="A523" s="127" t="s">
        <v>17</v>
      </c>
      <c r="B523" s="26" t="s">
        <v>16</v>
      </c>
      <c r="C523"/>
      <c r="D523"/>
      <c r="E523"/>
      <c r="F523"/>
      <c r="G523"/>
    </row>
    <row r="524" spans="1:7" x14ac:dyDescent="0.2">
      <c r="A524" s="39">
        <f t="shared" ref="A524:A531" si="54">A514*F$4/100</f>
        <v>0</v>
      </c>
      <c r="B524" s="40">
        <f t="shared" ref="B524:B531" si="55">B514</f>
        <v>0</v>
      </c>
      <c r="C524"/>
      <c r="D524"/>
      <c r="E524"/>
      <c r="F524"/>
      <c r="G524"/>
    </row>
    <row r="525" spans="1:7" x14ac:dyDescent="0.2">
      <c r="A525" s="41">
        <f t="shared" si="54"/>
        <v>0.20006999999999997</v>
      </c>
      <c r="B525" s="42">
        <f t="shared" si="55"/>
        <v>0</v>
      </c>
      <c r="C525"/>
      <c r="D525"/>
      <c r="E525"/>
      <c r="F525"/>
      <c r="G525"/>
    </row>
    <row r="526" spans="1:7" x14ac:dyDescent="0.2">
      <c r="A526" s="41">
        <f t="shared" si="54"/>
        <v>0.24998999999999999</v>
      </c>
      <c r="B526" s="42">
        <f t="shared" si="55"/>
        <v>150</v>
      </c>
      <c r="C526"/>
      <c r="D526"/>
      <c r="E526"/>
      <c r="F526"/>
      <c r="G526"/>
    </row>
    <row r="527" spans="1:7" x14ac:dyDescent="0.2">
      <c r="A527" s="41">
        <f t="shared" si="54"/>
        <v>1.0920000000000001</v>
      </c>
      <c r="B527" s="42">
        <f t="shared" si="55"/>
        <v>150</v>
      </c>
      <c r="C527"/>
      <c r="D527"/>
      <c r="E527"/>
      <c r="F527"/>
      <c r="G527"/>
    </row>
    <row r="528" spans="1:7" x14ac:dyDescent="0.2">
      <c r="A528" s="41">
        <f t="shared" si="54"/>
        <v>1.5209999999999999</v>
      </c>
      <c r="B528" s="42">
        <f t="shared" si="55"/>
        <v>150</v>
      </c>
      <c r="C528"/>
      <c r="D528"/>
      <c r="E528"/>
      <c r="F528"/>
      <c r="G528"/>
    </row>
    <row r="529" spans="1:7" x14ac:dyDescent="0.2">
      <c r="A529" s="41">
        <f t="shared" si="54"/>
        <v>1.7354999999999998</v>
      </c>
      <c r="B529" s="42">
        <f t="shared" si="55"/>
        <v>150</v>
      </c>
      <c r="C529"/>
      <c r="D529"/>
      <c r="E529"/>
      <c r="F529"/>
      <c r="G529"/>
    </row>
    <row r="530" spans="1:7" x14ac:dyDescent="0.2">
      <c r="A530" s="41">
        <f t="shared" si="54"/>
        <v>1.8525</v>
      </c>
      <c r="B530" s="42">
        <f t="shared" si="55"/>
        <v>150</v>
      </c>
      <c r="C530"/>
      <c r="D530"/>
      <c r="E530"/>
      <c r="F530"/>
      <c r="G530"/>
    </row>
    <row r="531" spans="1:7" ht="13.5" thickBot="1" x14ac:dyDescent="0.25">
      <c r="A531" s="43">
        <f t="shared" si="54"/>
        <v>1.95</v>
      </c>
      <c r="B531" s="44">
        <f t="shared" si="55"/>
        <v>150</v>
      </c>
      <c r="C531"/>
      <c r="D531"/>
      <c r="E531"/>
      <c r="F531"/>
      <c r="G531"/>
    </row>
    <row r="532" spans="1:7" x14ac:dyDescent="0.2">
      <c r="A532"/>
      <c r="B532"/>
      <c r="C532"/>
      <c r="D532"/>
      <c r="E532"/>
      <c r="F532"/>
      <c r="G532"/>
    </row>
    <row r="533" spans="1:7" ht="13.5" thickBot="1" x14ac:dyDescent="0.25">
      <c r="A533"/>
      <c r="B533"/>
      <c r="C533"/>
      <c r="D533"/>
      <c r="E533"/>
      <c r="F533"/>
      <c r="G533"/>
    </row>
    <row r="534" spans="1:7" ht="13.5" thickBot="1" x14ac:dyDescent="0.25">
      <c r="A534" s="127" t="s">
        <v>57</v>
      </c>
      <c r="B534" s="26" t="s">
        <v>48</v>
      </c>
      <c r="C534"/>
      <c r="D534"/>
      <c r="E534"/>
      <c r="F534"/>
      <c r="G534"/>
    </row>
    <row r="535" spans="1:7" ht="13.5" thickBot="1" x14ac:dyDescent="0.25">
      <c r="A535" s="13" t="s">
        <v>78</v>
      </c>
      <c r="B535" s="245">
        <v>30</v>
      </c>
      <c r="C535"/>
      <c r="D535"/>
      <c r="E535"/>
      <c r="F535"/>
      <c r="G535"/>
    </row>
    <row r="536" spans="1:7" ht="13.5" thickBot="1" x14ac:dyDescent="0.25">
      <c r="A536"/>
      <c r="B536"/>
      <c r="C536"/>
      <c r="D536"/>
      <c r="E536"/>
      <c r="F536"/>
      <c r="G536"/>
    </row>
    <row r="537" spans="1:7" ht="13.5" thickBot="1" x14ac:dyDescent="0.25">
      <c r="A537" s="127" t="s">
        <v>1</v>
      </c>
      <c r="B537" s="26" t="s">
        <v>16</v>
      </c>
      <c r="C537"/>
      <c r="D537"/>
      <c r="E537"/>
      <c r="F537"/>
      <c r="G537"/>
    </row>
    <row r="538" spans="1:7" x14ac:dyDescent="0.2">
      <c r="A538" s="57">
        <v>0</v>
      </c>
      <c r="B538" s="54">
        <v>0</v>
      </c>
      <c r="C538"/>
      <c r="D538"/>
      <c r="E538"/>
      <c r="F538"/>
      <c r="G538"/>
    </row>
    <row r="539" spans="1:7" x14ac:dyDescent="0.2">
      <c r="A539" s="52">
        <v>5</v>
      </c>
      <c r="B539" s="55">
        <v>0</v>
      </c>
      <c r="C539"/>
      <c r="D539"/>
      <c r="E539"/>
      <c r="F539"/>
      <c r="G539"/>
    </row>
    <row r="540" spans="1:7" x14ac:dyDescent="0.2">
      <c r="A540" s="52">
        <v>10.26</v>
      </c>
      <c r="B540" s="55">
        <v>0</v>
      </c>
      <c r="C540"/>
      <c r="D540"/>
      <c r="E540"/>
      <c r="F540"/>
      <c r="G540"/>
    </row>
    <row r="541" spans="1:7" x14ac:dyDescent="0.2">
      <c r="A541" s="52">
        <v>12.82</v>
      </c>
      <c r="B541" s="55">
        <v>25</v>
      </c>
      <c r="C541"/>
      <c r="D541"/>
      <c r="E541"/>
      <c r="F541"/>
      <c r="G541"/>
    </row>
    <row r="542" spans="1:7" x14ac:dyDescent="0.2">
      <c r="A542" s="52">
        <v>56</v>
      </c>
      <c r="B542" s="55">
        <v>25</v>
      </c>
      <c r="C542"/>
      <c r="D542"/>
      <c r="E542"/>
      <c r="F542"/>
      <c r="G542"/>
    </row>
    <row r="543" spans="1:7" x14ac:dyDescent="0.2">
      <c r="A543" s="52">
        <v>78</v>
      </c>
      <c r="B543" s="55">
        <v>25</v>
      </c>
      <c r="C543"/>
      <c r="D543"/>
      <c r="E543"/>
      <c r="F543"/>
      <c r="G543"/>
    </row>
    <row r="544" spans="1:7" x14ac:dyDescent="0.2">
      <c r="A544" s="52">
        <v>95</v>
      </c>
      <c r="B544" s="55">
        <v>25</v>
      </c>
      <c r="C544"/>
      <c r="D544"/>
      <c r="E544"/>
      <c r="F544"/>
      <c r="G544"/>
    </row>
    <row r="545" spans="1:7" ht="13.5" thickBot="1" x14ac:dyDescent="0.25">
      <c r="A545" s="53">
        <v>100</v>
      </c>
      <c r="B545" s="56">
        <v>25</v>
      </c>
      <c r="C545"/>
      <c r="D545"/>
      <c r="E545"/>
      <c r="F545"/>
      <c r="G545"/>
    </row>
    <row r="546" spans="1:7" ht="13.5" thickBot="1" x14ac:dyDescent="0.25">
      <c r="A546"/>
      <c r="B546"/>
      <c r="C546"/>
      <c r="D546"/>
      <c r="E546"/>
      <c r="F546"/>
      <c r="G546"/>
    </row>
    <row r="547" spans="1:7" ht="13.5" thickBot="1" x14ac:dyDescent="0.25">
      <c r="A547" s="127" t="s">
        <v>17</v>
      </c>
      <c r="B547" s="26" t="s">
        <v>16</v>
      </c>
      <c r="C547"/>
      <c r="D547"/>
      <c r="E547"/>
      <c r="F547"/>
      <c r="G547"/>
    </row>
    <row r="548" spans="1:7" x14ac:dyDescent="0.2">
      <c r="A548" s="39">
        <f t="shared" ref="A548:A555" si="56">A538*F$4/100</f>
        <v>0</v>
      </c>
      <c r="B548" s="40">
        <f t="shared" ref="B548:B555" si="57">B538</f>
        <v>0</v>
      </c>
      <c r="C548"/>
      <c r="D548"/>
      <c r="E548"/>
      <c r="F548"/>
      <c r="G548"/>
    </row>
    <row r="549" spans="1:7" x14ac:dyDescent="0.2">
      <c r="A549" s="41">
        <f t="shared" si="56"/>
        <v>9.7500000000000003E-2</v>
      </c>
      <c r="B549" s="42">
        <f t="shared" si="57"/>
        <v>0</v>
      </c>
      <c r="C549"/>
      <c r="D549"/>
      <c r="E549"/>
      <c r="F549"/>
      <c r="G549"/>
    </row>
    <row r="550" spans="1:7" x14ac:dyDescent="0.2">
      <c r="A550" s="41">
        <f t="shared" si="56"/>
        <v>0.20006999999999997</v>
      </c>
      <c r="B550" s="42">
        <f t="shared" si="57"/>
        <v>0</v>
      </c>
      <c r="C550"/>
      <c r="D550"/>
      <c r="E550"/>
      <c r="F550"/>
      <c r="G550"/>
    </row>
    <row r="551" spans="1:7" x14ac:dyDescent="0.2">
      <c r="A551" s="41">
        <f t="shared" si="56"/>
        <v>0.24998999999999999</v>
      </c>
      <c r="B551" s="42">
        <f t="shared" si="57"/>
        <v>25</v>
      </c>
      <c r="C551"/>
      <c r="D551"/>
      <c r="E551"/>
      <c r="F551"/>
      <c r="G551"/>
    </row>
    <row r="552" spans="1:7" x14ac:dyDescent="0.2">
      <c r="A552" s="41">
        <f t="shared" si="56"/>
        <v>1.0920000000000001</v>
      </c>
      <c r="B552" s="42">
        <f t="shared" si="57"/>
        <v>25</v>
      </c>
      <c r="C552"/>
      <c r="D552"/>
      <c r="E552"/>
      <c r="F552"/>
      <c r="G552"/>
    </row>
    <row r="553" spans="1:7" x14ac:dyDescent="0.2">
      <c r="A553" s="41">
        <f t="shared" si="56"/>
        <v>1.5209999999999999</v>
      </c>
      <c r="B553" s="42">
        <f t="shared" si="57"/>
        <v>25</v>
      </c>
      <c r="C553"/>
      <c r="D553"/>
      <c r="E553"/>
      <c r="F553"/>
      <c r="G553"/>
    </row>
    <row r="554" spans="1:7" x14ac:dyDescent="0.2">
      <c r="A554" s="41">
        <f t="shared" si="56"/>
        <v>1.8525</v>
      </c>
      <c r="B554" s="42">
        <f t="shared" si="57"/>
        <v>25</v>
      </c>
      <c r="C554"/>
      <c r="D554"/>
      <c r="E554"/>
      <c r="F554"/>
      <c r="G554"/>
    </row>
    <row r="555" spans="1:7" ht="13.5" thickBot="1" x14ac:dyDescent="0.25">
      <c r="A555" s="43">
        <f t="shared" si="56"/>
        <v>1.95</v>
      </c>
      <c r="B555" s="44">
        <f t="shared" si="57"/>
        <v>25</v>
      </c>
      <c r="C555"/>
      <c r="D555"/>
      <c r="E555"/>
      <c r="F555"/>
      <c r="G555"/>
    </row>
    <row r="556" spans="1:7" x14ac:dyDescent="0.2">
      <c r="A556"/>
      <c r="B556"/>
      <c r="C556"/>
      <c r="D556"/>
      <c r="E556"/>
      <c r="F556"/>
      <c r="G556"/>
    </row>
    <row r="557" spans="1:7" ht="13.5" thickBot="1" x14ac:dyDescent="0.25">
      <c r="A557"/>
      <c r="B557"/>
      <c r="C557"/>
      <c r="D557"/>
      <c r="E557"/>
      <c r="F557"/>
      <c r="G557"/>
    </row>
    <row r="558" spans="1:7" ht="13.5" thickBot="1" x14ac:dyDescent="0.25">
      <c r="A558" s="127" t="s">
        <v>57</v>
      </c>
      <c r="B558" s="26" t="s">
        <v>48</v>
      </c>
      <c r="C558"/>
      <c r="D558"/>
      <c r="E558"/>
      <c r="F558"/>
      <c r="G558"/>
    </row>
    <row r="559" spans="1:7" ht="13.5" thickBot="1" x14ac:dyDescent="0.25">
      <c r="A559" s="13" t="s">
        <v>79</v>
      </c>
      <c r="B559" s="245">
        <v>60</v>
      </c>
      <c r="C559"/>
      <c r="D559"/>
      <c r="E559"/>
      <c r="F559"/>
      <c r="G559"/>
    </row>
    <row r="560" spans="1:7" ht="13.5" thickBot="1" x14ac:dyDescent="0.25">
      <c r="A560"/>
      <c r="B560"/>
      <c r="C560"/>
      <c r="D560"/>
      <c r="E560"/>
      <c r="F560"/>
      <c r="G560"/>
    </row>
    <row r="561" spans="1:7" ht="13.5" thickBot="1" x14ac:dyDescent="0.25">
      <c r="A561" s="127" t="s">
        <v>1</v>
      </c>
      <c r="B561" s="26" t="s">
        <v>16</v>
      </c>
      <c r="C561"/>
      <c r="D561"/>
      <c r="E561"/>
      <c r="F561"/>
      <c r="G561"/>
    </row>
    <row r="562" spans="1:7" x14ac:dyDescent="0.2">
      <c r="A562" s="57">
        <v>0</v>
      </c>
      <c r="B562" s="54">
        <v>0</v>
      </c>
      <c r="C562"/>
      <c r="D562"/>
      <c r="E562"/>
      <c r="F562"/>
      <c r="G562"/>
    </row>
    <row r="563" spans="1:7" x14ac:dyDescent="0.2">
      <c r="A563" s="52">
        <v>10</v>
      </c>
      <c r="B563" s="55">
        <v>0</v>
      </c>
      <c r="C563"/>
      <c r="D563"/>
      <c r="E563"/>
      <c r="F563"/>
      <c r="G563"/>
    </row>
    <row r="564" spans="1:7" x14ac:dyDescent="0.2">
      <c r="A564" s="52">
        <v>50</v>
      </c>
      <c r="B564" s="55">
        <v>0</v>
      </c>
      <c r="C564"/>
      <c r="D564"/>
      <c r="E564"/>
      <c r="F564"/>
      <c r="G564"/>
    </row>
    <row r="565" spans="1:7" x14ac:dyDescent="0.2">
      <c r="A565" s="52">
        <v>75</v>
      </c>
      <c r="B565" s="55">
        <v>0</v>
      </c>
      <c r="C565"/>
      <c r="D565"/>
      <c r="E565"/>
      <c r="F565"/>
      <c r="G565"/>
    </row>
    <row r="566" spans="1:7" x14ac:dyDescent="0.2">
      <c r="A566" s="52">
        <v>88</v>
      </c>
      <c r="B566" s="55">
        <v>0</v>
      </c>
      <c r="C566"/>
      <c r="D566"/>
      <c r="E566"/>
      <c r="F566"/>
      <c r="G566"/>
    </row>
    <row r="567" spans="1:7" x14ac:dyDescent="0.2">
      <c r="A567" s="52">
        <v>94</v>
      </c>
      <c r="B567" s="55">
        <v>0</v>
      </c>
      <c r="C567"/>
      <c r="D567"/>
      <c r="E567"/>
      <c r="F567"/>
      <c r="G567"/>
    </row>
    <row r="568" spans="1:7" x14ac:dyDescent="0.2">
      <c r="A568" s="52">
        <v>95</v>
      </c>
      <c r="B568" s="55">
        <v>0</v>
      </c>
      <c r="C568"/>
      <c r="D568"/>
      <c r="E568"/>
      <c r="F568"/>
      <c r="G568"/>
    </row>
    <row r="569" spans="1:7" ht="13.5" thickBot="1" x14ac:dyDescent="0.25">
      <c r="A569" s="53">
        <v>100</v>
      </c>
      <c r="B569" s="56">
        <v>0</v>
      </c>
      <c r="C569"/>
      <c r="D569"/>
      <c r="E569"/>
      <c r="F569"/>
      <c r="G569"/>
    </row>
    <row r="570" spans="1:7" ht="13.5" thickBot="1" x14ac:dyDescent="0.25">
      <c r="A570"/>
      <c r="B570"/>
      <c r="C570"/>
      <c r="D570"/>
      <c r="E570"/>
      <c r="F570"/>
      <c r="G570"/>
    </row>
    <row r="571" spans="1:7" ht="13.5" thickBot="1" x14ac:dyDescent="0.25">
      <c r="A571" s="127" t="s">
        <v>17</v>
      </c>
      <c r="B571" s="26" t="s">
        <v>16</v>
      </c>
      <c r="C571"/>
      <c r="D571"/>
      <c r="E571"/>
      <c r="F571"/>
      <c r="G571"/>
    </row>
    <row r="572" spans="1:7" x14ac:dyDescent="0.2">
      <c r="A572" s="39">
        <f t="shared" ref="A572:A579" si="58">A562*F$4/100</f>
        <v>0</v>
      </c>
      <c r="B572" s="40">
        <f t="shared" ref="B572:B579" si="59">B562</f>
        <v>0</v>
      </c>
      <c r="C572"/>
      <c r="D572"/>
      <c r="E572"/>
      <c r="F572"/>
      <c r="G572"/>
    </row>
    <row r="573" spans="1:7" x14ac:dyDescent="0.2">
      <c r="A573" s="41">
        <f t="shared" si="58"/>
        <v>0.19500000000000001</v>
      </c>
      <c r="B573" s="42">
        <f t="shared" si="59"/>
        <v>0</v>
      </c>
      <c r="C573"/>
      <c r="D573"/>
      <c r="E573"/>
      <c r="F573"/>
      <c r="G573"/>
    </row>
    <row r="574" spans="1:7" x14ac:dyDescent="0.2">
      <c r="A574" s="41">
        <f t="shared" si="58"/>
        <v>0.97499999999999998</v>
      </c>
      <c r="B574" s="42">
        <f t="shared" si="59"/>
        <v>0</v>
      </c>
      <c r="C574"/>
      <c r="D574"/>
      <c r="E574"/>
      <c r="F574"/>
      <c r="G574"/>
    </row>
    <row r="575" spans="1:7" x14ac:dyDescent="0.2">
      <c r="A575" s="41">
        <f t="shared" si="58"/>
        <v>1.4624999999999999</v>
      </c>
      <c r="B575" s="42">
        <f t="shared" si="59"/>
        <v>0</v>
      </c>
      <c r="C575"/>
      <c r="D575"/>
      <c r="E575"/>
      <c r="F575"/>
      <c r="G575"/>
    </row>
    <row r="576" spans="1:7" x14ac:dyDescent="0.2">
      <c r="A576" s="41">
        <f t="shared" si="58"/>
        <v>1.716</v>
      </c>
      <c r="B576" s="42">
        <f t="shared" si="59"/>
        <v>0</v>
      </c>
      <c r="C576"/>
      <c r="D576"/>
      <c r="E576"/>
      <c r="F576"/>
      <c r="G576"/>
    </row>
    <row r="577" spans="1:7" x14ac:dyDescent="0.2">
      <c r="A577" s="41">
        <f t="shared" si="58"/>
        <v>1.8329999999999997</v>
      </c>
      <c r="B577" s="42">
        <f t="shared" si="59"/>
        <v>0</v>
      </c>
      <c r="C577"/>
      <c r="D577"/>
      <c r="E577"/>
      <c r="F577"/>
      <c r="G577"/>
    </row>
    <row r="578" spans="1:7" x14ac:dyDescent="0.2">
      <c r="A578" s="41">
        <f t="shared" si="58"/>
        <v>1.8525</v>
      </c>
      <c r="B578" s="42">
        <f t="shared" si="59"/>
        <v>0</v>
      </c>
      <c r="C578"/>
      <c r="D578"/>
      <c r="E578"/>
      <c r="F578"/>
      <c r="G578"/>
    </row>
    <row r="579" spans="1:7" ht="13.5" thickBot="1" x14ac:dyDescent="0.25">
      <c r="A579" s="43">
        <f t="shared" si="58"/>
        <v>1.95</v>
      </c>
      <c r="B579" s="44">
        <f t="shared" si="59"/>
        <v>0</v>
      </c>
      <c r="C579"/>
      <c r="D579"/>
      <c r="E579"/>
      <c r="F579"/>
      <c r="G579"/>
    </row>
    <row r="580" spans="1:7" x14ac:dyDescent="0.2">
      <c r="A580"/>
      <c r="B580"/>
      <c r="C580"/>
      <c r="D580"/>
      <c r="E580"/>
      <c r="F580"/>
      <c r="G580"/>
    </row>
    <row r="581" spans="1:7" ht="13.5" thickBot="1" x14ac:dyDescent="0.25">
      <c r="A581"/>
      <c r="B581"/>
      <c r="C581"/>
      <c r="D581"/>
      <c r="E581"/>
      <c r="F581"/>
      <c r="G581"/>
    </row>
    <row r="582" spans="1:7" ht="13.5" thickBot="1" x14ac:dyDescent="0.25">
      <c r="A582" s="127" t="s">
        <v>57</v>
      </c>
      <c r="B582" s="26" t="s">
        <v>48</v>
      </c>
      <c r="C582"/>
      <c r="D582"/>
      <c r="E582"/>
      <c r="F582"/>
      <c r="G582"/>
    </row>
    <row r="583" spans="1:7" ht="13.5" thickBot="1" x14ac:dyDescent="0.25">
      <c r="A583" s="13" t="s">
        <v>80</v>
      </c>
      <c r="B583" s="245">
        <v>60</v>
      </c>
      <c r="C583"/>
      <c r="D583"/>
      <c r="E583"/>
      <c r="F583"/>
      <c r="G583"/>
    </row>
    <row r="584" spans="1:7" ht="13.5" thickBot="1" x14ac:dyDescent="0.25">
      <c r="A584"/>
      <c r="B584"/>
      <c r="C584"/>
      <c r="D584"/>
      <c r="E584"/>
      <c r="F584"/>
      <c r="G584"/>
    </row>
    <row r="585" spans="1:7" ht="13.5" thickBot="1" x14ac:dyDescent="0.25">
      <c r="A585" s="127" t="s">
        <v>1</v>
      </c>
      <c r="B585" s="26" t="s">
        <v>16</v>
      </c>
      <c r="C585"/>
      <c r="D585"/>
      <c r="E585"/>
      <c r="F585"/>
      <c r="G585"/>
    </row>
    <row r="586" spans="1:7" x14ac:dyDescent="0.2">
      <c r="A586" s="57">
        <v>0</v>
      </c>
      <c r="B586" s="54">
        <v>0</v>
      </c>
      <c r="C586"/>
      <c r="D586"/>
      <c r="E586"/>
      <c r="F586"/>
      <c r="G586"/>
    </row>
    <row r="587" spans="1:7" x14ac:dyDescent="0.2">
      <c r="A587" s="52">
        <v>10</v>
      </c>
      <c r="B587" s="55">
        <v>0</v>
      </c>
      <c r="C587"/>
      <c r="D587"/>
      <c r="E587"/>
      <c r="F587"/>
      <c r="G587"/>
    </row>
    <row r="588" spans="1:7" x14ac:dyDescent="0.2">
      <c r="A588" s="52">
        <v>50</v>
      </c>
      <c r="B588" s="55">
        <v>0</v>
      </c>
      <c r="C588"/>
      <c r="D588"/>
      <c r="E588"/>
      <c r="F588"/>
      <c r="G588"/>
    </row>
    <row r="589" spans="1:7" x14ac:dyDescent="0.2">
      <c r="A589" s="52">
        <v>75</v>
      </c>
      <c r="B589" s="55">
        <v>0</v>
      </c>
      <c r="C589"/>
      <c r="D589"/>
      <c r="E589"/>
      <c r="F589"/>
      <c r="G589"/>
    </row>
    <row r="590" spans="1:7" x14ac:dyDescent="0.2">
      <c r="A590" s="52">
        <v>88</v>
      </c>
      <c r="B590" s="55">
        <v>0</v>
      </c>
      <c r="C590"/>
      <c r="D590"/>
      <c r="E590"/>
      <c r="F590"/>
      <c r="G590"/>
    </row>
    <row r="591" spans="1:7" x14ac:dyDescent="0.2">
      <c r="A591" s="52">
        <v>94</v>
      </c>
      <c r="B591" s="55">
        <v>0</v>
      </c>
      <c r="C591"/>
      <c r="D591"/>
      <c r="E591"/>
      <c r="F591"/>
      <c r="G591"/>
    </row>
    <row r="592" spans="1:7" x14ac:dyDescent="0.2">
      <c r="A592" s="52">
        <v>95</v>
      </c>
      <c r="B592" s="55">
        <v>0</v>
      </c>
      <c r="C592"/>
      <c r="D592"/>
      <c r="E592"/>
      <c r="F592"/>
      <c r="G592"/>
    </row>
    <row r="593" spans="1:7" ht="13.5" thickBot="1" x14ac:dyDescent="0.25">
      <c r="A593" s="53">
        <v>100</v>
      </c>
      <c r="B593" s="56">
        <v>0</v>
      </c>
      <c r="C593"/>
      <c r="D593"/>
      <c r="E593"/>
      <c r="F593"/>
      <c r="G593"/>
    </row>
    <row r="594" spans="1:7" ht="13.5" thickBot="1" x14ac:dyDescent="0.25">
      <c r="A594"/>
      <c r="B594"/>
      <c r="C594"/>
      <c r="D594"/>
      <c r="E594"/>
      <c r="F594"/>
      <c r="G594"/>
    </row>
    <row r="595" spans="1:7" ht="13.5" thickBot="1" x14ac:dyDescent="0.25">
      <c r="A595" s="127" t="s">
        <v>17</v>
      </c>
      <c r="B595" s="26" t="s">
        <v>16</v>
      </c>
      <c r="C595"/>
      <c r="D595"/>
      <c r="E595"/>
      <c r="F595"/>
      <c r="G595"/>
    </row>
    <row r="596" spans="1:7" x14ac:dyDescent="0.2">
      <c r="A596" s="39">
        <f t="shared" ref="A596:A603" si="60">A586*F$4/100</f>
        <v>0</v>
      </c>
      <c r="B596" s="40">
        <f t="shared" ref="B596:B603" si="61">B586</f>
        <v>0</v>
      </c>
      <c r="C596"/>
      <c r="D596"/>
      <c r="E596"/>
      <c r="F596"/>
      <c r="G596"/>
    </row>
    <row r="597" spans="1:7" x14ac:dyDescent="0.2">
      <c r="A597" s="41">
        <f t="shared" si="60"/>
        <v>0.19500000000000001</v>
      </c>
      <c r="B597" s="42">
        <f t="shared" si="61"/>
        <v>0</v>
      </c>
      <c r="C597"/>
      <c r="D597"/>
      <c r="E597"/>
      <c r="F597"/>
      <c r="G597"/>
    </row>
    <row r="598" spans="1:7" x14ac:dyDescent="0.2">
      <c r="A598" s="41">
        <f t="shared" si="60"/>
        <v>0.97499999999999998</v>
      </c>
      <c r="B598" s="42">
        <f t="shared" si="61"/>
        <v>0</v>
      </c>
      <c r="C598"/>
      <c r="D598"/>
      <c r="E598"/>
      <c r="F598"/>
      <c r="G598"/>
    </row>
    <row r="599" spans="1:7" x14ac:dyDescent="0.2">
      <c r="A599" s="41">
        <f t="shared" si="60"/>
        <v>1.4624999999999999</v>
      </c>
      <c r="B599" s="42">
        <f t="shared" si="61"/>
        <v>0</v>
      </c>
      <c r="C599"/>
      <c r="D599"/>
      <c r="E599"/>
      <c r="F599"/>
      <c r="G599"/>
    </row>
    <row r="600" spans="1:7" x14ac:dyDescent="0.2">
      <c r="A600" s="41">
        <f t="shared" si="60"/>
        <v>1.716</v>
      </c>
      <c r="B600" s="42">
        <f t="shared" si="61"/>
        <v>0</v>
      </c>
      <c r="C600"/>
      <c r="D600"/>
      <c r="E600"/>
      <c r="F600"/>
      <c r="G600"/>
    </row>
    <row r="601" spans="1:7" x14ac:dyDescent="0.2">
      <c r="A601" s="41">
        <f t="shared" si="60"/>
        <v>1.8329999999999997</v>
      </c>
      <c r="B601" s="42">
        <f t="shared" si="61"/>
        <v>0</v>
      </c>
      <c r="C601"/>
      <c r="D601"/>
      <c r="E601"/>
      <c r="F601"/>
      <c r="G601"/>
    </row>
    <row r="602" spans="1:7" x14ac:dyDescent="0.2">
      <c r="A602" s="41">
        <f t="shared" si="60"/>
        <v>1.8525</v>
      </c>
      <c r="B602" s="42">
        <f t="shared" si="61"/>
        <v>0</v>
      </c>
      <c r="C602"/>
      <c r="D602"/>
      <c r="E602"/>
      <c r="F602"/>
      <c r="G602"/>
    </row>
    <row r="603" spans="1:7" ht="13.5" thickBot="1" x14ac:dyDescent="0.25">
      <c r="A603" s="43">
        <f t="shared" si="60"/>
        <v>1.95</v>
      </c>
      <c r="B603" s="44">
        <f t="shared" si="61"/>
        <v>0</v>
      </c>
      <c r="C603"/>
      <c r="D603"/>
      <c r="E603"/>
      <c r="F603"/>
      <c r="G603"/>
    </row>
    <row r="604" spans="1:7" x14ac:dyDescent="0.2">
      <c r="A604"/>
      <c r="B604"/>
      <c r="C604"/>
      <c r="D604"/>
      <c r="E604"/>
      <c r="F604"/>
      <c r="G604"/>
    </row>
    <row r="605" spans="1:7" ht="13.5" thickBot="1" x14ac:dyDescent="0.25">
      <c r="A605"/>
      <c r="B605"/>
      <c r="C605"/>
      <c r="D605"/>
      <c r="E605"/>
      <c r="F605"/>
      <c r="G605"/>
    </row>
    <row r="606" spans="1:7" ht="13.5" thickBot="1" x14ac:dyDescent="0.25">
      <c r="A606" s="127" t="s">
        <v>57</v>
      </c>
      <c r="B606" s="26" t="s">
        <v>48</v>
      </c>
      <c r="C606"/>
      <c r="D606"/>
      <c r="E606"/>
      <c r="F606"/>
      <c r="G606"/>
    </row>
    <row r="607" spans="1:7" ht="13.5" thickBot="1" x14ac:dyDescent="0.25">
      <c r="A607" s="13" t="s">
        <v>81</v>
      </c>
      <c r="B607" s="245">
        <v>60</v>
      </c>
      <c r="C607"/>
      <c r="D607"/>
      <c r="E607"/>
      <c r="F607"/>
      <c r="G607"/>
    </row>
    <row r="608" spans="1:7" ht="13.5" thickBot="1" x14ac:dyDescent="0.25">
      <c r="A608"/>
      <c r="B608"/>
      <c r="C608"/>
      <c r="D608"/>
      <c r="E608"/>
      <c r="F608"/>
      <c r="G608"/>
    </row>
    <row r="609" spans="1:7" ht="13.5" thickBot="1" x14ac:dyDescent="0.25">
      <c r="A609" s="127" t="s">
        <v>1</v>
      </c>
      <c r="B609" s="26" t="s">
        <v>16</v>
      </c>
      <c r="C609"/>
      <c r="D609"/>
      <c r="E609"/>
      <c r="F609"/>
      <c r="G609"/>
    </row>
    <row r="610" spans="1:7" x14ac:dyDescent="0.2">
      <c r="A610" s="57">
        <v>0</v>
      </c>
      <c r="B610" s="54">
        <v>0</v>
      </c>
      <c r="C610"/>
      <c r="D610"/>
      <c r="E610"/>
      <c r="F610"/>
      <c r="G610"/>
    </row>
    <row r="611" spans="1:7" x14ac:dyDescent="0.2">
      <c r="A611" s="52">
        <v>10</v>
      </c>
      <c r="B611" s="55">
        <v>0</v>
      </c>
      <c r="C611"/>
      <c r="D611"/>
      <c r="E611"/>
      <c r="F611"/>
      <c r="G611"/>
    </row>
    <row r="612" spans="1:7" x14ac:dyDescent="0.2">
      <c r="A612" s="52">
        <v>50</v>
      </c>
      <c r="B612" s="55">
        <v>0</v>
      </c>
      <c r="C612"/>
      <c r="D612"/>
      <c r="E612"/>
      <c r="F612"/>
      <c r="G612"/>
    </row>
    <row r="613" spans="1:7" x14ac:dyDescent="0.2">
      <c r="A613" s="52">
        <v>75</v>
      </c>
      <c r="B613" s="55">
        <v>0</v>
      </c>
      <c r="C613"/>
      <c r="D613"/>
      <c r="E613"/>
      <c r="F613"/>
      <c r="G613"/>
    </row>
    <row r="614" spans="1:7" x14ac:dyDescent="0.2">
      <c r="A614" s="52">
        <v>88</v>
      </c>
      <c r="B614" s="55">
        <v>0</v>
      </c>
      <c r="C614"/>
      <c r="D614"/>
      <c r="E614"/>
      <c r="F614"/>
      <c r="G614"/>
    </row>
    <row r="615" spans="1:7" x14ac:dyDescent="0.2">
      <c r="A615" s="52">
        <v>94</v>
      </c>
      <c r="B615" s="55">
        <v>0</v>
      </c>
      <c r="C615"/>
      <c r="D615"/>
      <c r="E615"/>
      <c r="F615"/>
      <c r="G615"/>
    </row>
    <row r="616" spans="1:7" x14ac:dyDescent="0.2">
      <c r="A616" s="52">
        <v>95</v>
      </c>
      <c r="B616" s="55">
        <v>0</v>
      </c>
      <c r="C616"/>
      <c r="D616"/>
      <c r="E616"/>
      <c r="F616"/>
      <c r="G616"/>
    </row>
    <row r="617" spans="1:7" ht="13.5" thickBot="1" x14ac:dyDescent="0.25">
      <c r="A617" s="53">
        <v>100</v>
      </c>
      <c r="B617" s="56">
        <v>0</v>
      </c>
      <c r="C617"/>
      <c r="D617"/>
      <c r="E617"/>
      <c r="F617"/>
      <c r="G617"/>
    </row>
    <row r="618" spans="1:7" ht="13.5" thickBot="1" x14ac:dyDescent="0.25">
      <c r="A618"/>
      <c r="B618"/>
      <c r="C618"/>
      <c r="D618"/>
      <c r="E618"/>
      <c r="F618"/>
      <c r="G618"/>
    </row>
    <row r="619" spans="1:7" ht="13.5" thickBot="1" x14ac:dyDescent="0.25">
      <c r="A619" s="127" t="s">
        <v>17</v>
      </c>
      <c r="B619" s="26" t="s">
        <v>16</v>
      </c>
      <c r="C619"/>
      <c r="D619"/>
      <c r="E619"/>
      <c r="F619"/>
      <c r="G619"/>
    </row>
    <row r="620" spans="1:7" x14ac:dyDescent="0.2">
      <c r="A620" s="39">
        <f t="shared" ref="A620:A627" si="62">A610*F$4/100</f>
        <v>0</v>
      </c>
      <c r="B620" s="40">
        <f t="shared" ref="B620:B627" si="63">B610</f>
        <v>0</v>
      </c>
      <c r="C620"/>
      <c r="D620"/>
      <c r="E620"/>
      <c r="F620"/>
      <c r="G620"/>
    </row>
    <row r="621" spans="1:7" x14ac:dyDescent="0.2">
      <c r="A621" s="41">
        <f t="shared" si="62"/>
        <v>0.19500000000000001</v>
      </c>
      <c r="B621" s="42">
        <f t="shared" si="63"/>
        <v>0</v>
      </c>
      <c r="C621"/>
      <c r="D621"/>
      <c r="E621"/>
      <c r="F621"/>
      <c r="G621"/>
    </row>
    <row r="622" spans="1:7" x14ac:dyDescent="0.2">
      <c r="A622" s="41">
        <f t="shared" si="62"/>
        <v>0.97499999999999998</v>
      </c>
      <c r="B622" s="42">
        <f t="shared" si="63"/>
        <v>0</v>
      </c>
      <c r="C622"/>
      <c r="D622"/>
      <c r="E622"/>
      <c r="F622"/>
      <c r="G622"/>
    </row>
    <row r="623" spans="1:7" x14ac:dyDescent="0.2">
      <c r="A623" s="41">
        <f t="shared" si="62"/>
        <v>1.4624999999999999</v>
      </c>
      <c r="B623" s="42">
        <f t="shared" si="63"/>
        <v>0</v>
      </c>
      <c r="C623"/>
      <c r="D623"/>
      <c r="E623"/>
      <c r="F623"/>
      <c r="G623"/>
    </row>
    <row r="624" spans="1:7" x14ac:dyDescent="0.2">
      <c r="A624" s="41">
        <f t="shared" si="62"/>
        <v>1.716</v>
      </c>
      <c r="B624" s="42">
        <f t="shared" si="63"/>
        <v>0</v>
      </c>
      <c r="C624"/>
      <c r="D624"/>
      <c r="E624"/>
      <c r="F624"/>
      <c r="G624"/>
    </row>
    <row r="625" spans="1:7" x14ac:dyDescent="0.2">
      <c r="A625" s="41">
        <f t="shared" si="62"/>
        <v>1.8329999999999997</v>
      </c>
      <c r="B625" s="42">
        <f t="shared" si="63"/>
        <v>0</v>
      </c>
      <c r="C625"/>
      <c r="D625"/>
      <c r="E625"/>
      <c r="F625"/>
      <c r="G625"/>
    </row>
    <row r="626" spans="1:7" x14ac:dyDescent="0.2">
      <c r="A626" s="41">
        <f t="shared" si="62"/>
        <v>1.8525</v>
      </c>
      <c r="B626" s="42">
        <f t="shared" si="63"/>
        <v>0</v>
      </c>
      <c r="C626"/>
      <c r="D626"/>
      <c r="E626"/>
      <c r="F626"/>
      <c r="G626"/>
    </row>
    <row r="627" spans="1:7" ht="13.5" thickBot="1" x14ac:dyDescent="0.25">
      <c r="A627" s="43">
        <f t="shared" si="62"/>
        <v>1.95</v>
      </c>
      <c r="B627" s="44">
        <f t="shared" si="63"/>
        <v>0</v>
      </c>
      <c r="C627"/>
      <c r="D627"/>
      <c r="E627"/>
      <c r="F627"/>
      <c r="G627"/>
    </row>
    <row r="628" spans="1:7" x14ac:dyDescent="0.2">
      <c r="A628"/>
      <c r="B628"/>
      <c r="C628"/>
      <c r="D628"/>
      <c r="E628"/>
      <c r="F628"/>
      <c r="G628"/>
    </row>
    <row r="629" spans="1:7" ht="13.5" thickBot="1" x14ac:dyDescent="0.25">
      <c r="A629"/>
      <c r="B629"/>
      <c r="C629"/>
      <c r="D629"/>
      <c r="E629"/>
      <c r="F629"/>
      <c r="G629"/>
    </row>
    <row r="630" spans="1:7" ht="13.5" thickBot="1" x14ac:dyDescent="0.25">
      <c r="A630" s="127" t="s">
        <v>57</v>
      </c>
      <c r="B630" s="26" t="s">
        <v>48</v>
      </c>
      <c r="C630"/>
      <c r="D630"/>
      <c r="E630"/>
      <c r="F630"/>
      <c r="G630"/>
    </row>
    <row r="631" spans="1:7" ht="13.5" thickBot="1" x14ac:dyDescent="0.25">
      <c r="A631" s="13" t="s">
        <v>82</v>
      </c>
      <c r="B631" s="245">
        <v>60</v>
      </c>
      <c r="C631" s="128"/>
      <c r="D631" s="128"/>
      <c r="E631" s="128"/>
      <c r="F631" s="128"/>
      <c r="G631" s="128"/>
    </row>
    <row r="632" spans="1:7" ht="13.5" thickBot="1" x14ac:dyDescent="0.25">
      <c r="A632"/>
      <c r="B632"/>
      <c r="C632" s="77"/>
      <c r="D632" s="77"/>
      <c r="E632" s="77"/>
      <c r="F632" s="77"/>
      <c r="G632" s="77"/>
    </row>
    <row r="633" spans="1:7" ht="13.5" thickBot="1" x14ac:dyDescent="0.25">
      <c r="A633" s="127" t="s">
        <v>1</v>
      </c>
      <c r="B633" s="26" t="s">
        <v>16</v>
      </c>
      <c r="C633" s="9"/>
      <c r="D633" s="9"/>
      <c r="E633" s="9"/>
      <c r="F633" s="9"/>
      <c r="G633" s="9"/>
    </row>
    <row r="634" spans="1:7" x14ac:dyDescent="0.2">
      <c r="A634" s="57">
        <v>0</v>
      </c>
      <c r="B634" s="54">
        <v>0</v>
      </c>
      <c r="C634"/>
      <c r="D634"/>
      <c r="E634"/>
      <c r="F634"/>
      <c r="G634"/>
    </row>
    <row r="635" spans="1:7" x14ac:dyDescent="0.2">
      <c r="A635" s="52">
        <v>7.89</v>
      </c>
      <c r="B635" s="55">
        <v>0</v>
      </c>
      <c r="C635" s="123"/>
      <c r="D635" s="123"/>
      <c r="E635"/>
      <c r="F635" s="123"/>
      <c r="G635" s="123"/>
    </row>
    <row r="636" spans="1:7" x14ac:dyDescent="0.2">
      <c r="A636" s="52">
        <v>20</v>
      </c>
      <c r="B636" s="55">
        <v>0</v>
      </c>
      <c r="C636" s="20"/>
      <c r="D636" s="76"/>
      <c r="E636"/>
      <c r="F636" s="124"/>
      <c r="G636" s="76"/>
    </row>
    <row r="637" spans="1:7" x14ac:dyDescent="0.2">
      <c r="A637" s="52">
        <v>55.26</v>
      </c>
      <c r="B637" s="55">
        <v>0</v>
      </c>
      <c r="C637" s="20"/>
      <c r="D637" s="76"/>
      <c r="E637"/>
      <c r="F637" s="124"/>
      <c r="G637" s="76"/>
    </row>
    <row r="638" spans="1:7" x14ac:dyDescent="0.2">
      <c r="A638" s="52">
        <v>60</v>
      </c>
      <c r="B638" s="55">
        <v>0</v>
      </c>
      <c r="C638" s="20"/>
      <c r="D638" s="76"/>
      <c r="E638"/>
      <c r="F638" s="124"/>
      <c r="G638" s="76"/>
    </row>
    <row r="639" spans="1:7" x14ac:dyDescent="0.2">
      <c r="A639" s="52">
        <v>65</v>
      </c>
      <c r="B639" s="55">
        <v>0</v>
      </c>
      <c r="C639" s="20"/>
      <c r="D639" s="76"/>
      <c r="E639"/>
      <c r="F639" s="124"/>
      <c r="G639" s="76"/>
    </row>
    <row r="640" spans="1:7" x14ac:dyDescent="0.2">
      <c r="A640" s="52">
        <v>71.05</v>
      </c>
      <c r="B640" s="55">
        <v>0</v>
      </c>
      <c r="C640" s="20"/>
      <c r="D640" s="76"/>
      <c r="E640"/>
      <c r="F640" s="124"/>
      <c r="G640" s="76"/>
    </row>
    <row r="641" spans="1:7" ht="13.5" thickBot="1" x14ac:dyDescent="0.25">
      <c r="A641" s="53">
        <v>100</v>
      </c>
      <c r="B641" s="56">
        <v>0</v>
      </c>
      <c r="C641" s="20"/>
      <c r="D641" s="76"/>
      <c r="E641"/>
      <c r="F641" s="124"/>
      <c r="G641" s="76"/>
    </row>
    <row r="642" spans="1:7" ht="13.5" thickBot="1" x14ac:dyDescent="0.25">
      <c r="A642"/>
      <c r="B642"/>
      <c r="C642" s="20"/>
      <c r="D642" s="76"/>
      <c r="E642"/>
      <c r="F642" s="124"/>
      <c r="G642" s="76"/>
    </row>
    <row r="643" spans="1:7" ht="13.5" thickBot="1" x14ac:dyDescent="0.25">
      <c r="A643" s="127" t="s">
        <v>17</v>
      </c>
      <c r="B643" s="26" t="s">
        <v>16</v>
      </c>
      <c r="C643" s="20"/>
      <c r="D643" s="76"/>
      <c r="E643"/>
      <c r="F643" s="124"/>
      <c r="G643" s="8"/>
    </row>
    <row r="644" spans="1:7" x14ac:dyDescent="0.2">
      <c r="A644" s="39">
        <f t="shared" ref="A644:A651" si="64">A634*F$4/100</f>
        <v>0</v>
      </c>
      <c r="B644" s="40">
        <f t="shared" ref="B644:B651" si="65">B634</f>
        <v>0</v>
      </c>
      <c r="C644"/>
      <c r="D644"/>
      <c r="E644"/>
      <c r="F644"/>
      <c r="G644"/>
    </row>
    <row r="645" spans="1:7" x14ac:dyDescent="0.2">
      <c r="A645" s="41">
        <f t="shared" si="64"/>
        <v>0.15385499999999999</v>
      </c>
      <c r="B645" s="42">
        <f t="shared" si="65"/>
        <v>0</v>
      </c>
      <c r="C645" s="29"/>
      <c r="D645" s="29"/>
      <c r="E645" s="29"/>
      <c r="F645" s="29"/>
      <c r="G645" s="29"/>
    </row>
    <row r="646" spans="1:7" x14ac:dyDescent="0.2">
      <c r="A646" s="41">
        <f t="shared" si="64"/>
        <v>0.39</v>
      </c>
      <c r="B646" s="42">
        <f t="shared" si="65"/>
        <v>0</v>
      </c>
      <c r="C646" s="29"/>
      <c r="D646" s="29"/>
      <c r="E646" s="29"/>
      <c r="F646" s="29"/>
      <c r="G646" s="29"/>
    </row>
    <row r="647" spans="1:7" x14ac:dyDescent="0.2">
      <c r="A647" s="41">
        <f t="shared" si="64"/>
        <v>1.0775699999999999</v>
      </c>
      <c r="B647" s="42">
        <f t="shared" si="65"/>
        <v>0</v>
      </c>
      <c r="C647" s="29"/>
      <c r="D647" s="29"/>
      <c r="E647" s="29"/>
      <c r="F647" s="29"/>
      <c r="G647" s="29"/>
    </row>
    <row r="648" spans="1:7" x14ac:dyDescent="0.2">
      <c r="A648" s="41">
        <f t="shared" si="64"/>
        <v>1.17</v>
      </c>
      <c r="B648" s="42">
        <f t="shared" si="65"/>
        <v>0</v>
      </c>
      <c r="C648" s="29"/>
      <c r="D648" s="29"/>
      <c r="E648" s="29"/>
      <c r="F648" s="29"/>
      <c r="G648" s="29"/>
    </row>
    <row r="649" spans="1:7" x14ac:dyDescent="0.2">
      <c r="A649" s="41">
        <f t="shared" si="64"/>
        <v>1.2675000000000001</v>
      </c>
      <c r="B649" s="42">
        <f t="shared" si="65"/>
        <v>0</v>
      </c>
      <c r="C649" s="29"/>
      <c r="D649" s="29"/>
      <c r="E649" s="29"/>
      <c r="F649" s="29"/>
      <c r="G649" s="29"/>
    </row>
    <row r="650" spans="1:7" x14ac:dyDescent="0.2">
      <c r="A650" s="41">
        <f t="shared" si="64"/>
        <v>1.3854749999999998</v>
      </c>
      <c r="B650" s="42">
        <f t="shared" si="65"/>
        <v>0</v>
      </c>
      <c r="C650" s="29"/>
      <c r="D650" s="29"/>
      <c r="E650" s="29"/>
      <c r="F650" s="29"/>
      <c r="G650" s="29"/>
    </row>
    <row r="651" spans="1:7" ht="13.5" thickBot="1" x14ac:dyDescent="0.25">
      <c r="A651" s="43">
        <f t="shared" si="64"/>
        <v>1.95</v>
      </c>
      <c r="B651" s="44">
        <f t="shared" si="65"/>
        <v>0</v>
      </c>
      <c r="C651" s="29"/>
      <c r="D651" s="29"/>
      <c r="E651" s="29"/>
      <c r="F651" s="29"/>
      <c r="G651" s="29"/>
    </row>
    <row r="652" spans="1:7" x14ac:dyDescent="0.2">
      <c r="A652" s="74"/>
      <c r="B652" s="72"/>
      <c r="C652" s="29"/>
      <c r="D652" s="29"/>
      <c r="E652" s="29"/>
      <c r="F652" s="29"/>
      <c r="G652" s="29"/>
    </row>
    <row r="653" spans="1:7" ht="13.5" thickBot="1" x14ac:dyDescent="0.25">
      <c r="A653" s="74"/>
      <c r="B653" s="72"/>
      <c r="C653" s="29"/>
      <c r="D653" s="29"/>
      <c r="E653" s="29"/>
      <c r="F653" s="29"/>
      <c r="G653" s="29"/>
    </row>
    <row r="654" spans="1:7" ht="13.5" thickBot="1" x14ac:dyDescent="0.25">
      <c r="A654" s="127" t="s">
        <v>57</v>
      </c>
      <c r="B654" s="26" t="s">
        <v>48</v>
      </c>
      <c r="C654" s="29"/>
      <c r="D654" s="29"/>
      <c r="E654" s="29"/>
      <c r="F654" s="29"/>
      <c r="G654" s="29"/>
    </row>
    <row r="655" spans="1:7" ht="13.5" thickBot="1" x14ac:dyDescent="0.25">
      <c r="A655" s="13" t="s">
        <v>83</v>
      </c>
      <c r="B655" s="245">
        <v>60</v>
      </c>
      <c r="C655" s="29"/>
      <c r="D655" s="29"/>
      <c r="E655" s="29"/>
      <c r="F655" s="29"/>
      <c r="G655" s="29"/>
    </row>
    <row r="656" spans="1:7" ht="13.5" thickBot="1" x14ac:dyDescent="0.25">
      <c r="A656"/>
      <c r="B656"/>
      <c r="C656" s="29"/>
      <c r="D656" s="29"/>
      <c r="E656" s="29"/>
      <c r="F656" s="29"/>
      <c r="G656" s="29"/>
    </row>
    <row r="657" spans="1:7" ht="13.5" thickBot="1" x14ac:dyDescent="0.25">
      <c r="A657" s="127" t="s">
        <v>1</v>
      </c>
      <c r="B657" s="26" t="s">
        <v>16</v>
      </c>
      <c r="C657" s="29"/>
      <c r="D657" s="29"/>
      <c r="E657" s="29"/>
      <c r="F657" s="29"/>
      <c r="G657" s="29"/>
    </row>
    <row r="658" spans="1:7" x14ac:dyDescent="0.2">
      <c r="A658" s="57">
        <v>0</v>
      </c>
      <c r="B658" s="54">
        <v>0</v>
      </c>
      <c r="C658" s="29"/>
      <c r="D658" s="29"/>
      <c r="E658" s="29"/>
      <c r="F658" s="29"/>
      <c r="G658" s="29"/>
    </row>
    <row r="659" spans="1:7" x14ac:dyDescent="0.2">
      <c r="A659" s="52">
        <v>7.89</v>
      </c>
      <c r="B659" s="55">
        <v>0</v>
      </c>
      <c r="C659" s="29"/>
      <c r="D659" s="29"/>
      <c r="E659" s="29"/>
      <c r="F659" s="29"/>
      <c r="G659" s="29"/>
    </row>
    <row r="660" spans="1:7" x14ac:dyDescent="0.2">
      <c r="A660" s="52">
        <v>20</v>
      </c>
      <c r="B660" s="55">
        <v>0</v>
      </c>
      <c r="C660" s="29"/>
      <c r="D660" s="29"/>
      <c r="E660" s="29"/>
      <c r="F660" s="29"/>
      <c r="G660" s="29"/>
    </row>
    <row r="661" spans="1:7" x14ac:dyDescent="0.2">
      <c r="A661" s="52">
        <v>55.26</v>
      </c>
      <c r="B661" s="55">
        <v>0</v>
      </c>
      <c r="C661" s="29"/>
      <c r="D661" s="29"/>
      <c r="E661" s="29"/>
      <c r="F661" s="29"/>
      <c r="G661" s="29"/>
    </row>
    <row r="662" spans="1:7" x14ac:dyDescent="0.2">
      <c r="A662" s="52">
        <v>60</v>
      </c>
      <c r="B662" s="55">
        <v>0</v>
      </c>
      <c r="C662" s="29"/>
      <c r="D662" s="29"/>
      <c r="E662" s="29"/>
      <c r="F662" s="29"/>
      <c r="G662" s="29"/>
    </row>
    <row r="663" spans="1:7" x14ac:dyDescent="0.2">
      <c r="A663" s="52">
        <v>65</v>
      </c>
      <c r="B663" s="55">
        <v>0</v>
      </c>
      <c r="C663" s="29"/>
      <c r="D663" s="29"/>
      <c r="E663" s="29"/>
      <c r="F663" s="29"/>
      <c r="G663" s="29"/>
    </row>
    <row r="664" spans="1:7" x14ac:dyDescent="0.2">
      <c r="A664" s="52">
        <v>71.05</v>
      </c>
      <c r="B664" s="55">
        <v>0</v>
      </c>
      <c r="C664" s="29"/>
      <c r="D664" s="29"/>
      <c r="E664" s="29"/>
      <c r="F664" s="29"/>
      <c r="G664" s="29"/>
    </row>
    <row r="665" spans="1:7" ht="13.5" thickBot="1" x14ac:dyDescent="0.25">
      <c r="A665" s="53">
        <v>100</v>
      </c>
      <c r="B665" s="56">
        <v>0</v>
      </c>
      <c r="C665" s="29"/>
      <c r="D665" s="29"/>
      <c r="E665" s="29"/>
      <c r="F665" s="29"/>
      <c r="G665" s="29"/>
    </row>
    <row r="666" spans="1:7" ht="13.5" thickBot="1" x14ac:dyDescent="0.25">
      <c r="A666"/>
      <c r="B666"/>
      <c r="C666" s="29"/>
      <c r="D666" s="29"/>
      <c r="E666" s="29"/>
      <c r="F666" s="29"/>
      <c r="G666" s="29"/>
    </row>
    <row r="667" spans="1:7" ht="13.5" thickBot="1" x14ac:dyDescent="0.25">
      <c r="A667" s="127" t="s">
        <v>17</v>
      </c>
      <c r="B667" s="26" t="s">
        <v>16</v>
      </c>
      <c r="C667" s="29"/>
      <c r="D667" s="29"/>
      <c r="E667" s="29"/>
      <c r="F667" s="29"/>
      <c r="G667" s="29"/>
    </row>
    <row r="668" spans="1:7" x14ac:dyDescent="0.2">
      <c r="A668" s="39">
        <f t="shared" ref="A668:A675" si="66">A658*F$4/100</f>
        <v>0</v>
      </c>
      <c r="B668" s="40">
        <f t="shared" ref="B668:B675" si="67">B658</f>
        <v>0</v>
      </c>
      <c r="C668" s="29"/>
      <c r="D668" s="29"/>
      <c r="E668" s="29"/>
      <c r="F668" s="29"/>
      <c r="G668" s="29"/>
    </row>
    <row r="669" spans="1:7" x14ac:dyDescent="0.2">
      <c r="A669" s="41">
        <f t="shared" si="66"/>
        <v>0.15385499999999999</v>
      </c>
      <c r="B669" s="42">
        <f t="shared" si="67"/>
        <v>0</v>
      </c>
      <c r="C669" s="29"/>
      <c r="D669" s="29"/>
      <c r="E669" s="29"/>
      <c r="F669" s="29"/>
      <c r="G669" s="29"/>
    </row>
    <row r="670" spans="1:7" x14ac:dyDescent="0.2">
      <c r="A670" s="41">
        <f t="shared" si="66"/>
        <v>0.39</v>
      </c>
      <c r="B670" s="42">
        <f t="shared" si="67"/>
        <v>0</v>
      </c>
      <c r="C670" s="29"/>
      <c r="D670" s="29"/>
      <c r="E670" s="29"/>
      <c r="F670" s="29"/>
      <c r="G670" s="29"/>
    </row>
    <row r="671" spans="1:7" x14ac:dyDescent="0.2">
      <c r="A671" s="41">
        <f t="shared" si="66"/>
        <v>1.0775699999999999</v>
      </c>
      <c r="B671" s="42">
        <f t="shared" si="67"/>
        <v>0</v>
      </c>
      <c r="C671" s="29"/>
      <c r="D671" s="29"/>
      <c r="E671" s="29"/>
      <c r="F671" s="29"/>
      <c r="G671" s="29"/>
    </row>
    <row r="672" spans="1:7" x14ac:dyDescent="0.2">
      <c r="A672" s="41">
        <f t="shared" si="66"/>
        <v>1.17</v>
      </c>
      <c r="B672" s="42">
        <f t="shared" si="67"/>
        <v>0</v>
      </c>
      <c r="C672" s="29"/>
      <c r="D672" s="29"/>
      <c r="E672" s="29"/>
      <c r="F672" s="29"/>
      <c r="G672" s="29"/>
    </row>
    <row r="673" spans="1:7" x14ac:dyDescent="0.2">
      <c r="A673" s="41">
        <f t="shared" si="66"/>
        <v>1.2675000000000001</v>
      </c>
      <c r="B673" s="42">
        <f t="shared" si="67"/>
        <v>0</v>
      </c>
      <c r="C673" s="29"/>
      <c r="D673" s="29"/>
      <c r="E673" s="29"/>
      <c r="F673" s="29"/>
      <c r="G673" s="29"/>
    </row>
    <row r="674" spans="1:7" x14ac:dyDescent="0.2">
      <c r="A674" s="41">
        <f t="shared" si="66"/>
        <v>1.3854749999999998</v>
      </c>
      <c r="B674" s="42">
        <f t="shared" si="67"/>
        <v>0</v>
      </c>
      <c r="C674" s="29"/>
      <c r="D674" s="29"/>
      <c r="E674" s="29"/>
      <c r="F674" s="29"/>
      <c r="G674" s="29"/>
    </row>
    <row r="675" spans="1:7" ht="13.5" thickBot="1" x14ac:dyDescent="0.25">
      <c r="A675" s="43">
        <f t="shared" si="66"/>
        <v>1.95</v>
      </c>
      <c r="B675" s="44">
        <f t="shared" si="67"/>
        <v>0</v>
      </c>
      <c r="C675" s="29"/>
      <c r="D675" s="29"/>
      <c r="E675" s="29"/>
      <c r="F675" s="29"/>
      <c r="G675" s="29"/>
    </row>
    <row r="676" spans="1:7" x14ac:dyDescent="0.2">
      <c r="A676" s="73"/>
      <c r="B676" s="72"/>
      <c r="C676" s="29"/>
      <c r="D676" s="29"/>
      <c r="E676" s="29"/>
      <c r="F676" s="29"/>
      <c r="G676" s="29"/>
    </row>
    <row r="677" spans="1:7" ht="13.5" thickBot="1" x14ac:dyDescent="0.25">
      <c r="A677" s="69"/>
      <c r="B677" s="69"/>
      <c r="C677" s="29"/>
      <c r="D677" s="29"/>
      <c r="E677" s="29"/>
      <c r="F677" s="29"/>
      <c r="G677" s="29"/>
    </row>
    <row r="678" spans="1:7" ht="13.5" thickBot="1" x14ac:dyDescent="0.25">
      <c r="A678" s="127" t="s">
        <v>57</v>
      </c>
      <c r="B678" s="26" t="s">
        <v>48</v>
      </c>
      <c r="C678" s="29"/>
      <c r="D678" s="29"/>
      <c r="E678" s="29"/>
      <c r="F678" s="29"/>
      <c r="G678" s="29"/>
    </row>
    <row r="679" spans="1:7" ht="13.5" thickBot="1" x14ac:dyDescent="0.25">
      <c r="A679" s="13" t="s">
        <v>84</v>
      </c>
      <c r="B679" s="245">
        <v>60</v>
      </c>
      <c r="C679" s="29"/>
      <c r="D679" s="29"/>
      <c r="E679" s="29"/>
      <c r="F679" s="29"/>
      <c r="G679" s="29"/>
    </row>
    <row r="680" spans="1:7" ht="13.5" thickBot="1" x14ac:dyDescent="0.25">
      <c r="A680"/>
      <c r="B680"/>
      <c r="C680" s="29"/>
      <c r="D680" s="29"/>
      <c r="E680" s="29"/>
      <c r="F680" s="29"/>
      <c r="G680" s="29"/>
    </row>
    <row r="681" spans="1:7" ht="13.5" thickBot="1" x14ac:dyDescent="0.25">
      <c r="A681" s="127" t="s">
        <v>1</v>
      </c>
      <c r="B681" s="26" t="s">
        <v>16</v>
      </c>
      <c r="C681" s="29"/>
      <c r="D681" s="29"/>
      <c r="E681" s="29"/>
      <c r="F681" s="29"/>
      <c r="G681" s="29"/>
    </row>
    <row r="682" spans="1:7" x14ac:dyDescent="0.2">
      <c r="A682" s="57">
        <v>0</v>
      </c>
      <c r="B682" s="54">
        <v>0</v>
      </c>
      <c r="C682" s="29"/>
      <c r="D682" s="29"/>
      <c r="E682" s="29"/>
      <c r="F682" s="29"/>
      <c r="G682" s="29"/>
    </row>
    <row r="683" spans="1:7" x14ac:dyDescent="0.2">
      <c r="A683" s="52">
        <v>7.89</v>
      </c>
      <c r="B683" s="55">
        <v>0</v>
      </c>
      <c r="C683" s="29"/>
      <c r="D683" s="29"/>
      <c r="E683" s="29"/>
      <c r="F683" s="29"/>
      <c r="G683" s="29"/>
    </row>
    <row r="684" spans="1:7" x14ac:dyDescent="0.2">
      <c r="A684" s="52">
        <v>20</v>
      </c>
      <c r="B684" s="55">
        <v>0</v>
      </c>
      <c r="C684" s="29"/>
      <c r="D684" s="29"/>
      <c r="E684" s="29"/>
      <c r="F684" s="29"/>
      <c r="G684" s="29"/>
    </row>
    <row r="685" spans="1:7" x14ac:dyDescent="0.2">
      <c r="A685" s="52">
        <v>55.26</v>
      </c>
      <c r="B685" s="55">
        <v>0</v>
      </c>
      <c r="C685" s="29"/>
      <c r="D685" s="29"/>
      <c r="E685" s="29"/>
      <c r="F685" s="29"/>
      <c r="G685" s="29"/>
    </row>
    <row r="686" spans="1:7" x14ac:dyDescent="0.2">
      <c r="A686" s="52">
        <v>60</v>
      </c>
      <c r="B686" s="55">
        <v>0</v>
      </c>
      <c r="C686" s="29"/>
      <c r="D686" s="29"/>
      <c r="E686" s="29"/>
      <c r="F686" s="29"/>
      <c r="G686" s="29"/>
    </row>
    <row r="687" spans="1:7" x14ac:dyDescent="0.2">
      <c r="A687" s="52">
        <v>65</v>
      </c>
      <c r="B687" s="55">
        <v>0</v>
      </c>
      <c r="C687" s="29"/>
      <c r="D687" s="29"/>
      <c r="E687" s="29"/>
      <c r="F687" s="29"/>
      <c r="G687" s="29"/>
    </row>
    <row r="688" spans="1:7" x14ac:dyDescent="0.2">
      <c r="A688" s="52">
        <v>71.05</v>
      </c>
      <c r="B688" s="55">
        <v>0</v>
      </c>
      <c r="C688" s="29"/>
      <c r="D688" s="29"/>
      <c r="E688" s="29"/>
      <c r="F688" s="29"/>
      <c r="G688" s="29"/>
    </row>
    <row r="689" spans="1:7" ht="13.5" thickBot="1" x14ac:dyDescent="0.25">
      <c r="A689" s="53">
        <v>100</v>
      </c>
      <c r="B689" s="56">
        <v>0</v>
      </c>
      <c r="C689" s="29"/>
      <c r="D689" s="29"/>
      <c r="E689" s="29"/>
      <c r="F689" s="29"/>
      <c r="G689" s="29"/>
    </row>
    <row r="690" spans="1:7" ht="13.5" thickBot="1" x14ac:dyDescent="0.25">
      <c r="A690"/>
      <c r="B690"/>
      <c r="C690" s="29"/>
      <c r="D690" s="29"/>
      <c r="E690" s="29"/>
      <c r="F690" s="29"/>
      <c r="G690" s="29"/>
    </row>
    <row r="691" spans="1:7" ht="13.5" thickBot="1" x14ac:dyDescent="0.25">
      <c r="A691" s="127" t="s">
        <v>17</v>
      </c>
      <c r="B691" s="26" t="s">
        <v>16</v>
      </c>
      <c r="C691" s="29"/>
      <c r="D691" s="29"/>
      <c r="E691" s="29"/>
      <c r="F691" s="29"/>
      <c r="G691" s="29"/>
    </row>
    <row r="692" spans="1:7" x14ac:dyDescent="0.2">
      <c r="A692" s="39">
        <f t="shared" ref="A692:A699" si="68">A682*F$4/100</f>
        <v>0</v>
      </c>
      <c r="B692" s="40">
        <f t="shared" ref="B692:B699" si="69">B682</f>
        <v>0</v>
      </c>
      <c r="C692" s="29"/>
      <c r="D692" s="29"/>
      <c r="E692" s="29"/>
      <c r="F692" s="29"/>
      <c r="G692" s="29"/>
    </row>
    <row r="693" spans="1:7" x14ac:dyDescent="0.2">
      <c r="A693" s="41">
        <f t="shared" si="68"/>
        <v>0.15385499999999999</v>
      </c>
      <c r="B693" s="42">
        <f t="shared" si="69"/>
        <v>0</v>
      </c>
      <c r="C693" s="29"/>
      <c r="D693" s="29"/>
      <c r="E693" s="29"/>
      <c r="F693" s="29"/>
      <c r="G693" s="29"/>
    </row>
    <row r="694" spans="1:7" x14ac:dyDescent="0.2">
      <c r="A694" s="41">
        <f t="shared" si="68"/>
        <v>0.39</v>
      </c>
      <c r="B694" s="42">
        <f t="shared" si="69"/>
        <v>0</v>
      </c>
      <c r="C694" s="29"/>
      <c r="D694" s="29"/>
      <c r="E694" s="29"/>
      <c r="F694" s="29"/>
      <c r="G694" s="29"/>
    </row>
    <row r="695" spans="1:7" x14ac:dyDescent="0.2">
      <c r="A695" s="41">
        <f t="shared" si="68"/>
        <v>1.0775699999999999</v>
      </c>
      <c r="B695" s="42">
        <f t="shared" si="69"/>
        <v>0</v>
      </c>
      <c r="C695" s="29"/>
      <c r="D695" s="29"/>
      <c r="E695" s="29"/>
      <c r="F695" s="29"/>
      <c r="G695" s="29"/>
    </row>
    <row r="696" spans="1:7" x14ac:dyDescent="0.2">
      <c r="A696" s="41">
        <f t="shared" si="68"/>
        <v>1.17</v>
      </c>
      <c r="B696" s="42">
        <f t="shared" si="69"/>
        <v>0</v>
      </c>
      <c r="C696" s="29"/>
      <c r="D696" s="29"/>
      <c r="E696" s="29"/>
      <c r="F696" s="29"/>
      <c r="G696" s="29"/>
    </row>
    <row r="697" spans="1:7" x14ac:dyDescent="0.2">
      <c r="A697" s="41">
        <f t="shared" si="68"/>
        <v>1.2675000000000001</v>
      </c>
      <c r="B697" s="42">
        <f t="shared" si="69"/>
        <v>0</v>
      </c>
      <c r="C697" s="29"/>
      <c r="D697" s="29"/>
      <c r="E697" s="29"/>
      <c r="F697" s="29"/>
      <c r="G697" s="29"/>
    </row>
    <row r="698" spans="1:7" x14ac:dyDescent="0.2">
      <c r="A698" s="41">
        <f t="shared" si="68"/>
        <v>1.3854749999999998</v>
      </c>
      <c r="B698" s="42">
        <f t="shared" si="69"/>
        <v>0</v>
      </c>
      <c r="C698" s="29"/>
      <c r="D698" s="29"/>
      <c r="E698" s="29"/>
      <c r="F698" s="29"/>
      <c r="G698" s="29"/>
    </row>
    <row r="699" spans="1:7" ht="13.5" thickBot="1" x14ac:dyDescent="0.25">
      <c r="A699" s="43">
        <f t="shared" si="68"/>
        <v>1.95</v>
      </c>
      <c r="B699" s="44">
        <f t="shared" si="69"/>
        <v>0</v>
      </c>
      <c r="C699" s="29"/>
      <c r="D699" s="29"/>
      <c r="E699" s="29"/>
      <c r="F699" s="29"/>
      <c r="G699" s="29"/>
    </row>
    <row r="700" spans="1:7" x14ac:dyDescent="0.2">
      <c r="A700" s="21"/>
      <c r="B700" s="22"/>
      <c r="C700" s="29"/>
      <c r="D700" s="29"/>
      <c r="E700" s="29"/>
      <c r="F700" s="29"/>
      <c r="G700" s="29"/>
    </row>
    <row r="701" spans="1:7" ht="13.5" thickBot="1" x14ac:dyDescent="0.25">
      <c r="A701" s="21"/>
      <c r="B701" s="22"/>
      <c r="C701" s="29"/>
      <c r="D701" s="29"/>
      <c r="E701" s="29"/>
      <c r="F701" s="29"/>
      <c r="G701" s="29"/>
    </row>
    <row r="702" spans="1:7" ht="13.5" thickBot="1" x14ac:dyDescent="0.25">
      <c r="A702" s="127" t="s">
        <v>57</v>
      </c>
      <c r="B702" s="26" t="s">
        <v>48</v>
      </c>
      <c r="C702" s="29"/>
      <c r="D702" s="29"/>
      <c r="E702" s="29"/>
      <c r="F702" s="29"/>
      <c r="G702" s="29"/>
    </row>
    <row r="703" spans="1:7" ht="13.5" thickBot="1" x14ac:dyDescent="0.25">
      <c r="A703" s="13" t="s">
        <v>85</v>
      </c>
      <c r="B703" s="245">
        <v>60</v>
      </c>
      <c r="C703" s="29"/>
      <c r="D703" s="29"/>
      <c r="E703" s="29"/>
      <c r="F703" s="29"/>
      <c r="G703" s="29"/>
    </row>
    <row r="704" spans="1:7" ht="13.5" thickBot="1" x14ac:dyDescent="0.25">
      <c r="A704"/>
      <c r="B704"/>
      <c r="C704" s="29"/>
      <c r="D704" s="29"/>
      <c r="E704" s="29"/>
      <c r="F704" s="29"/>
      <c r="G704" s="29"/>
    </row>
    <row r="705" spans="1:7" ht="13.5" thickBot="1" x14ac:dyDescent="0.25">
      <c r="A705" s="127" t="s">
        <v>1</v>
      </c>
      <c r="B705" s="26" t="s">
        <v>16</v>
      </c>
      <c r="C705" s="29"/>
      <c r="D705" s="29"/>
      <c r="E705" s="29"/>
      <c r="F705" s="29"/>
      <c r="G705" s="29"/>
    </row>
    <row r="706" spans="1:7" x14ac:dyDescent="0.2">
      <c r="A706" s="57">
        <v>0</v>
      </c>
      <c r="B706" s="54">
        <v>0</v>
      </c>
      <c r="C706" s="29"/>
      <c r="D706" s="29"/>
      <c r="E706" s="29"/>
      <c r="F706" s="29"/>
      <c r="G706" s="29"/>
    </row>
    <row r="707" spans="1:7" x14ac:dyDescent="0.2">
      <c r="A707" s="52">
        <v>7.89</v>
      </c>
      <c r="B707" s="55">
        <v>0</v>
      </c>
      <c r="C707" s="29"/>
      <c r="D707" s="29"/>
      <c r="E707" s="29"/>
      <c r="F707" s="29"/>
      <c r="G707" s="29"/>
    </row>
    <row r="708" spans="1:7" x14ac:dyDescent="0.2">
      <c r="A708" s="52">
        <v>20</v>
      </c>
      <c r="B708" s="55">
        <v>0</v>
      </c>
      <c r="C708" s="29"/>
      <c r="D708" s="29"/>
      <c r="E708" s="29"/>
      <c r="F708" s="29"/>
      <c r="G708" s="29"/>
    </row>
    <row r="709" spans="1:7" x14ac:dyDescent="0.2">
      <c r="A709" s="52">
        <v>55.26</v>
      </c>
      <c r="B709" s="55">
        <v>0</v>
      </c>
      <c r="C709" s="29"/>
      <c r="D709" s="29"/>
      <c r="E709" s="29"/>
      <c r="F709" s="29"/>
      <c r="G709" s="29"/>
    </row>
    <row r="710" spans="1:7" x14ac:dyDescent="0.2">
      <c r="A710" s="52">
        <v>60</v>
      </c>
      <c r="B710" s="55">
        <v>0</v>
      </c>
      <c r="C710" s="29"/>
      <c r="D710" s="29"/>
      <c r="E710" s="29"/>
      <c r="F710" s="29"/>
      <c r="G710" s="29"/>
    </row>
    <row r="711" spans="1:7" x14ac:dyDescent="0.2">
      <c r="A711" s="52">
        <v>65</v>
      </c>
      <c r="B711" s="55">
        <v>0</v>
      </c>
      <c r="C711" s="29"/>
      <c r="D711" s="29"/>
      <c r="E711" s="29"/>
      <c r="F711" s="29"/>
      <c r="G711" s="29"/>
    </row>
    <row r="712" spans="1:7" x14ac:dyDescent="0.2">
      <c r="A712" s="52">
        <v>71.05</v>
      </c>
      <c r="B712" s="55">
        <v>0</v>
      </c>
      <c r="C712" s="29"/>
      <c r="D712" s="29"/>
      <c r="E712" s="29"/>
      <c r="F712" s="29"/>
      <c r="G712" s="29"/>
    </row>
    <row r="713" spans="1:7" ht="13.5" thickBot="1" x14ac:dyDescent="0.25">
      <c r="A713" s="53">
        <v>100</v>
      </c>
      <c r="B713" s="56">
        <v>0</v>
      </c>
      <c r="C713" s="29"/>
      <c r="D713" s="29"/>
      <c r="E713" s="29"/>
      <c r="F713" s="29"/>
      <c r="G713" s="29"/>
    </row>
    <row r="714" spans="1:7" ht="13.5" thickBot="1" x14ac:dyDescent="0.25">
      <c r="A714"/>
      <c r="B714"/>
      <c r="C714" s="29"/>
      <c r="D714" s="29"/>
      <c r="E714" s="29"/>
      <c r="F714" s="29"/>
      <c r="G714" s="29"/>
    </row>
    <row r="715" spans="1:7" ht="13.5" thickBot="1" x14ac:dyDescent="0.25">
      <c r="A715" s="127" t="s">
        <v>17</v>
      </c>
      <c r="B715" s="26" t="s">
        <v>16</v>
      </c>
      <c r="C715" s="29"/>
      <c r="D715" s="29"/>
      <c r="E715" s="29"/>
      <c r="F715" s="29"/>
      <c r="G715" s="29"/>
    </row>
    <row r="716" spans="1:7" x14ac:dyDescent="0.2">
      <c r="A716" s="39">
        <f t="shared" ref="A716:A723" si="70">A706*F$4/100</f>
        <v>0</v>
      </c>
      <c r="B716" s="40">
        <f t="shared" ref="B716:B723" si="71">B706</f>
        <v>0</v>
      </c>
      <c r="C716" s="29"/>
      <c r="D716" s="29"/>
      <c r="E716" s="29"/>
      <c r="F716" s="29"/>
      <c r="G716" s="29"/>
    </row>
    <row r="717" spans="1:7" x14ac:dyDescent="0.2">
      <c r="A717" s="41">
        <f t="shared" si="70"/>
        <v>0.15385499999999999</v>
      </c>
      <c r="B717" s="42">
        <f t="shared" si="71"/>
        <v>0</v>
      </c>
      <c r="C717" s="29"/>
      <c r="D717" s="29"/>
      <c r="E717" s="29"/>
      <c r="F717" s="29"/>
      <c r="G717" s="29"/>
    </row>
    <row r="718" spans="1:7" x14ac:dyDescent="0.2">
      <c r="A718" s="41">
        <f t="shared" si="70"/>
        <v>0.39</v>
      </c>
      <c r="B718" s="42">
        <f t="shared" si="71"/>
        <v>0</v>
      </c>
      <c r="C718" s="29"/>
      <c r="D718" s="29"/>
      <c r="E718" s="29"/>
      <c r="F718" s="29"/>
      <c r="G718" s="29"/>
    </row>
    <row r="719" spans="1:7" x14ac:dyDescent="0.2">
      <c r="A719" s="41">
        <f t="shared" si="70"/>
        <v>1.0775699999999999</v>
      </c>
      <c r="B719" s="42">
        <f t="shared" si="71"/>
        <v>0</v>
      </c>
      <c r="C719" s="29"/>
      <c r="D719" s="29"/>
      <c r="E719" s="29"/>
      <c r="F719" s="29"/>
      <c r="G719" s="29"/>
    </row>
    <row r="720" spans="1:7" x14ac:dyDescent="0.2">
      <c r="A720" s="41">
        <f t="shared" si="70"/>
        <v>1.17</v>
      </c>
      <c r="B720" s="42">
        <f t="shared" si="71"/>
        <v>0</v>
      </c>
      <c r="C720" s="29"/>
      <c r="D720" s="29"/>
      <c r="E720" s="29"/>
      <c r="F720" s="29"/>
      <c r="G720" s="29"/>
    </row>
    <row r="721" spans="1:7" x14ac:dyDescent="0.2">
      <c r="A721" s="41">
        <f t="shared" si="70"/>
        <v>1.2675000000000001</v>
      </c>
      <c r="B721" s="42">
        <f t="shared" si="71"/>
        <v>0</v>
      </c>
      <c r="C721" s="29"/>
      <c r="D721" s="29"/>
      <c r="E721" s="29"/>
      <c r="F721" s="29"/>
      <c r="G721" s="29"/>
    </row>
    <row r="722" spans="1:7" x14ac:dyDescent="0.2">
      <c r="A722" s="41">
        <f t="shared" si="70"/>
        <v>1.3854749999999998</v>
      </c>
      <c r="B722" s="42">
        <f t="shared" si="71"/>
        <v>0</v>
      </c>
      <c r="C722" s="29"/>
      <c r="D722" s="29"/>
      <c r="E722" s="29"/>
      <c r="F722" s="29"/>
      <c r="G722" s="29"/>
    </row>
    <row r="723" spans="1:7" ht="13.5" thickBot="1" x14ac:dyDescent="0.25">
      <c r="A723" s="43">
        <f t="shared" si="70"/>
        <v>1.95</v>
      </c>
      <c r="B723" s="44">
        <f t="shared" si="71"/>
        <v>0</v>
      </c>
      <c r="C723" s="29"/>
      <c r="D723" s="29"/>
      <c r="E723" s="29"/>
      <c r="F723" s="29"/>
      <c r="G723" s="29"/>
    </row>
    <row r="724" spans="1:7" x14ac:dyDescent="0.2">
      <c r="A724" s="21"/>
      <c r="B724" s="22"/>
      <c r="C724" s="29"/>
      <c r="D724" s="29"/>
      <c r="E724" s="29"/>
      <c r="F724" s="29"/>
      <c r="G724" s="29"/>
    </row>
    <row r="725" spans="1:7" x14ac:dyDescent="0.2">
      <c r="A725"/>
      <c r="B725"/>
      <c r="C725"/>
      <c r="D725"/>
      <c r="E725"/>
      <c r="F725"/>
      <c r="G725"/>
    </row>
  </sheetData>
  <sheetProtection sheet="1" objects="1" scenarios="1" formatCells="0" selectLockedCells="1"/>
  <mergeCells count="67">
    <mergeCell ref="F25:G25"/>
    <mergeCell ref="F26:G26"/>
    <mergeCell ref="F35:G35"/>
    <mergeCell ref="B28:D28"/>
    <mergeCell ref="C39:E39"/>
    <mergeCell ref="F3:G3"/>
    <mergeCell ref="C2:E2"/>
    <mergeCell ref="B17:D17"/>
    <mergeCell ref="A35:B35"/>
    <mergeCell ref="F5:G5"/>
    <mergeCell ref="B6:D6"/>
    <mergeCell ref="F6:G6"/>
    <mergeCell ref="B24:D24"/>
    <mergeCell ref="B25:D25"/>
    <mergeCell ref="B26:D26"/>
    <mergeCell ref="B27:D27"/>
    <mergeCell ref="B3:D3"/>
    <mergeCell ref="B4:D4"/>
    <mergeCell ref="F7:G7"/>
    <mergeCell ref="F8:G8"/>
    <mergeCell ref="F9:G9"/>
    <mergeCell ref="C1:E1"/>
    <mergeCell ref="B18:D18"/>
    <mergeCell ref="B20:D20"/>
    <mergeCell ref="B22:D22"/>
    <mergeCell ref="B5:D5"/>
    <mergeCell ref="B21:D21"/>
    <mergeCell ref="B7:D7"/>
    <mergeCell ref="B8:D8"/>
    <mergeCell ref="B9:D9"/>
    <mergeCell ref="F16:G16"/>
    <mergeCell ref="F17:G17"/>
    <mergeCell ref="B19:D19"/>
    <mergeCell ref="F10:G10"/>
    <mergeCell ref="F11:G11"/>
    <mergeCell ref="F12:G12"/>
    <mergeCell ref="F13:G13"/>
    <mergeCell ref="F14:G14"/>
    <mergeCell ref="F15:G15"/>
    <mergeCell ref="B13:D13"/>
    <mergeCell ref="B14:D14"/>
    <mergeCell ref="B15:D15"/>
    <mergeCell ref="B16:D16"/>
    <mergeCell ref="B10:D10"/>
    <mergeCell ref="B11:D11"/>
    <mergeCell ref="B12:D12"/>
    <mergeCell ref="F18:G18"/>
    <mergeCell ref="F19:G19"/>
    <mergeCell ref="F20:G20"/>
    <mergeCell ref="F21:G21"/>
    <mergeCell ref="F22:G22"/>
    <mergeCell ref="K39:M39"/>
    <mergeCell ref="A139:E139"/>
    <mergeCell ref="D145:F146"/>
    <mergeCell ref="F23:G23"/>
    <mergeCell ref="F24:G24"/>
    <mergeCell ref="F27:G27"/>
    <mergeCell ref="B31:G31"/>
    <mergeCell ref="B32:G32"/>
    <mergeCell ref="B23:D23"/>
    <mergeCell ref="G46:H46"/>
    <mergeCell ref="F29:G29"/>
    <mergeCell ref="L38:M38"/>
    <mergeCell ref="L36:M36"/>
    <mergeCell ref="L37:M37"/>
    <mergeCell ref="B29:D29"/>
    <mergeCell ref="F28:G28"/>
  </mergeCells>
  <phoneticPr fontId="0" type="noConversion"/>
  <dataValidations count="8">
    <dataValidation type="decimal" showErrorMessage="1" error="Invalid Entry" sqref="F4">
      <formula1>0.01</formula1>
      <formula2>10</formula2>
    </dataValidation>
    <dataValidation type="whole" showErrorMessage="1" error="Invalid Entry" sqref="B146:B148 B153:B160 B177:B184 B201:B208 B225:B232 B249:B256 B273:B280 B297:B304 B321:B328 B363:B364 B706:B713 B387 B345:B352 B369:B376 B393:B400 B417:B424 B442:B449 B466:B473 B490:B497 B514:B521 B538:B545 B562:B569 B586:B593 B610:B617 B652:B653 B676 B634:B641 B658:B665 B682:B689">
      <formula1>0</formula1>
      <formula2>250</formula2>
    </dataValidation>
    <dataValidation type="decimal" showErrorMessage="1" error="Invalid Entry" sqref="A147:A148 A154:A159 A226:A231 A250:A255 A274:A279 A418:A423 A394:A399 A370:A375 A346:A351 A363:A364 A322:A327 A298:A303 A178:A183 A202:A207 A443:A448 A515:A520 A539:A544 A563:A568 A707:A712 A683:A688 A659:A664 A635:A640 A652:A653 A611:A616 A587:A592 A467:A472 A491:A496">
      <formula1>0</formula1>
      <formula2>100</formula2>
    </dataValidation>
    <dataValidation type="decimal" operator="equal" showErrorMessage="1" error="Invalid Entry" sqref="A146 A153 A273 A249 A225 A417 A393 A369 A201 A345 A177 A321 A297 A442 A562 A538 A514 A706 A682 A658 A490 A634 A466 A610 A586">
      <formula1>0</formula1>
    </dataValidation>
    <dataValidation type="decimal" operator="equal" showErrorMessage="1" error="Invalid Entry" sqref="A160 A424 A400 A352 A376 A387 A184 A208 A232 A256 A280 A304 A328 A449 A713 A689 A641 A665 A676 A473 A497 A521 A545 A569 A593 A617">
      <formula1>100</formula1>
    </dataValidation>
    <dataValidation operator="equal" error="Invalid Entry" sqref="C42:C137 K42:K137"/>
    <dataValidation error="Invalid Entry" sqref="D42:D137 L42:L137"/>
    <dataValidation type="whole" showInputMessage="1" showErrorMessage="1" sqref="B150 B174 B198 B222 B246 B270 B294 B318 B342 B366 B390 B414 B439 B463 B487 B511 B535 B559 B583 B607 B631 B655 B679 B703">
      <formula1>30</formula1>
      <formula2>60</formula2>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ValidateStand_Click">
                <anchor moveWithCells="1" sizeWithCells="1">
                  <from>
                    <xdr:col>2</xdr:col>
                    <xdr:colOff>942975</xdr:colOff>
                    <xdr:row>32</xdr:row>
                    <xdr:rowOff>152400</xdr:rowOff>
                  </from>
                  <to>
                    <xdr:col>3</xdr:col>
                    <xdr:colOff>1295400</xdr:colOff>
                    <xdr:row>36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724"/>
  <sheetViews>
    <sheetView zoomScale="80" workbookViewId="0">
      <selection activeCell="B703" sqref="B703"/>
    </sheetView>
  </sheetViews>
  <sheetFormatPr defaultRowHeight="12.75" x14ac:dyDescent="0.2"/>
  <cols>
    <col min="1" max="1" width="10.5703125" customWidth="1"/>
    <col min="2" max="2" width="13.28515625" customWidth="1"/>
    <col min="3" max="3" width="18.85546875" customWidth="1"/>
    <col min="4" max="4" width="19.7109375" customWidth="1"/>
    <col min="5" max="5" width="15.7109375" customWidth="1"/>
    <col min="6" max="6" width="17.85546875" customWidth="1"/>
    <col min="7" max="7" width="44.4257812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30" t="s">
        <v>18</v>
      </c>
      <c r="D1" s="330"/>
      <c r="E1" s="330"/>
      <c r="F1" s="16"/>
      <c r="G1" s="5"/>
      <c r="I1" s="47"/>
      <c r="J1" s="47"/>
      <c r="K1" s="47"/>
      <c r="L1" s="47"/>
      <c r="M1" s="47"/>
    </row>
    <row r="2" spans="1:16" ht="13.5" thickBot="1" x14ac:dyDescent="0.25">
      <c r="B2" s="6"/>
      <c r="C2" s="331" t="s">
        <v>124</v>
      </c>
      <c r="D2" s="331"/>
      <c r="E2" s="331"/>
      <c r="F2" s="6"/>
      <c r="G2" s="6"/>
      <c r="I2" s="47"/>
      <c r="J2" s="47"/>
      <c r="K2" s="47"/>
      <c r="L2" s="47"/>
      <c r="M2" s="47"/>
    </row>
    <row r="3" spans="1:16" ht="13.5" thickBot="1" x14ac:dyDescent="0.25">
      <c r="B3" s="394" t="s">
        <v>5</v>
      </c>
      <c r="C3" s="395"/>
      <c r="D3" s="395"/>
      <c r="E3" s="19" t="s">
        <v>6</v>
      </c>
      <c r="F3" s="392" t="s">
        <v>7</v>
      </c>
      <c r="G3" s="393"/>
      <c r="I3" s="47"/>
      <c r="J3" s="47"/>
      <c r="K3" s="47"/>
      <c r="L3" s="47"/>
      <c r="M3" s="47"/>
    </row>
    <row r="4" spans="1:16" ht="13.5" thickBot="1" x14ac:dyDescent="0.25">
      <c r="B4" s="346" t="s">
        <v>125</v>
      </c>
      <c r="C4" s="347"/>
      <c r="D4" s="347"/>
      <c r="E4" s="230" t="s">
        <v>13</v>
      </c>
      <c r="F4" s="60">
        <v>1.5</v>
      </c>
      <c r="G4" s="38"/>
      <c r="I4" s="47"/>
      <c r="J4" s="47"/>
      <c r="K4" s="47"/>
      <c r="L4" s="47"/>
      <c r="M4" s="47"/>
    </row>
    <row r="5" spans="1:16" x14ac:dyDescent="0.2">
      <c r="B5" s="334" t="s">
        <v>20</v>
      </c>
      <c r="C5" s="335"/>
      <c r="D5" s="335"/>
      <c r="E5" s="32" t="s">
        <v>44</v>
      </c>
      <c r="F5" s="377" t="s">
        <v>99</v>
      </c>
      <c r="G5" s="378"/>
      <c r="I5" s="47"/>
      <c r="J5" s="47"/>
      <c r="K5" s="47"/>
      <c r="L5" s="47"/>
      <c r="M5" s="47"/>
    </row>
    <row r="6" spans="1:16" x14ac:dyDescent="0.2">
      <c r="B6" s="334" t="s">
        <v>21</v>
      </c>
      <c r="C6" s="335"/>
      <c r="D6" s="335"/>
      <c r="E6" s="32" t="s">
        <v>19</v>
      </c>
      <c r="F6" s="363" t="s">
        <v>100</v>
      </c>
      <c r="G6" s="364"/>
      <c r="I6" s="47"/>
      <c r="J6" s="47"/>
      <c r="K6" s="47"/>
      <c r="L6" s="47"/>
      <c r="M6" s="47"/>
    </row>
    <row r="7" spans="1:16" x14ac:dyDescent="0.2">
      <c r="B7" s="334" t="s">
        <v>22</v>
      </c>
      <c r="C7" s="335"/>
      <c r="D7" s="335"/>
      <c r="E7" s="32" t="s">
        <v>19</v>
      </c>
      <c r="F7" s="363" t="s">
        <v>101</v>
      </c>
      <c r="G7" s="364"/>
      <c r="I7" s="47"/>
      <c r="J7" s="47"/>
      <c r="K7" s="47"/>
      <c r="L7" s="47"/>
      <c r="M7" s="47"/>
    </row>
    <row r="8" spans="1:16" x14ac:dyDescent="0.2">
      <c r="B8" s="334" t="s">
        <v>23</v>
      </c>
      <c r="C8" s="335"/>
      <c r="D8" s="335"/>
      <c r="E8" s="32" t="s">
        <v>19</v>
      </c>
      <c r="F8" s="363" t="s">
        <v>102</v>
      </c>
      <c r="G8" s="364"/>
      <c r="I8" s="47"/>
      <c r="J8" s="47"/>
      <c r="K8" s="47"/>
      <c r="L8" s="47"/>
      <c r="M8" s="47"/>
    </row>
    <row r="9" spans="1:16" x14ac:dyDescent="0.2">
      <c r="B9" s="334" t="s">
        <v>24</v>
      </c>
      <c r="C9" s="335"/>
      <c r="D9" s="335"/>
      <c r="E9" s="32" t="s">
        <v>19</v>
      </c>
      <c r="F9" s="363" t="s">
        <v>103</v>
      </c>
      <c r="G9" s="364"/>
      <c r="H9" s="5"/>
      <c r="I9" s="45"/>
      <c r="J9" s="45"/>
      <c r="K9" s="45"/>
      <c r="L9" s="45"/>
      <c r="M9" s="45"/>
      <c r="N9" s="5"/>
      <c r="O9" s="5"/>
      <c r="P9" s="5"/>
    </row>
    <row r="10" spans="1:16" x14ac:dyDescent="0.2">
      <c r="A10" s="6"/>
      <c r="B10" s="334" t="s">
        <v>25</v>
      </c>
      <c r="C10" s="335"/>
      <c r="D10" s="335"/>
      <c r="E10" s="32" t="s">
        <v>19</v>
      </c>
      <c r="F10" s="363" t="s">
        <v>104</v>
      </c>
      <c r="G10" s="364"/>
      <c r="H10" s="6"/>
      <c r="I10" s="34"/>
      <c r="J10" s="34"/>
      <c r="K10" s="48"/>
      <c r="L10" s="48"/>
      <c r="M10" s="48"/>
      <c r="N10" s="5"/>
      <c r="O10" s="5"/>
      <c r="P10" s="5"/>
    </row>
    <row r="11" spans="1:16" x14ac:dyDescent="0.2">
      <c r="A11" s="9"/>
      <c r="B11" s="334" t="s">
        <v>26</v>
      </c>
      <c r="C11" s="335"/>
      <c r="D11" s="335"/>
      <c r="E11" s="32" t="s">
        <v>19</v>
      </c>
      <c r="F11" s="363" t="s">
        <v>105</v>
      </c>
      <c r="G11" s="364"/>
      <c r="H11" s="6"/>
      <c r="I11" s="34"/>
      <c r="J11" s="34"/>
      <c r="K11" s="48"/>
      <c r="L11" s="48"/>
      <c r="M11" s="48"/>
      <c r="N11" s="5"/>
      <c r="O11" s="5"/>
      <c r="P11" s="5"/>
    </row>
    <row r="12" spans="1:16" x14ac:dyDescent="0.2">
      <c r="A12" s="9"/>
      <c r="B12" s="334" t="s">
        <v>27</v>
      </c>
      <c r="C12" s="335"/>
      <c r="D12" s="335"/>
      <c r="E12" s="32" t="s">
        <v>19</v>
      </c>
      <c r="F12" s="363" t="s">
        <v>106</v>
      </c>
      <c r="G12" s="364"/>
      <c r="H12" s="224"/>
      <c r="I12" s="34"/>
      <c r="J12" s="34"/>
      <c r="K12" s="48"/>
      <c r="L12" s="48"/>
      <c r="M12" s="48"/>
      <c r="N12" s="5"/>
      <c r="O12" s="5"/>
      <c r="P12" s="5"/>
    </row>
    <row r="13" spans="1:16" x14ac:dyDescent="0.2">
      <c r="A13" s="9"/>
      <c r="B13" s="334" t="s">
        <v>28</v>
      </c>
      <c r="C13" s="335"/>
      <c r="D13" s="335"/>
      <c r="E13" s="32" t="s">
        <v>19</v>
      </c>
      <c r="F13" s="363" t="s">
        <v>107</v>
      </c>
      <c r="G13" s="364"/>
      <c r="H13" s="224"/>
      <c r="I13" s="34"/>
      <c r="J13" s="34"/>
      <c r="K13" s="48"/>
      <c r="L13" s="48"/>
      <c r="M13" s="48"/>
      <c r="N13" s="5"/>
      <c r="O13" s="5"/>
      <c r="P13" s="5"/>
    </row>
    <row r="14" spans="1:16" x14ac:dyDescent="0.2">
      <c r="A14" s="9"/>
      <c r="B14" s="334" t="s">
        <v>29</v>
      </c>
      <c r="C14" s="335"/>
      <c r="D14" s="335"/>
      <c r="E14" s="32" t="s">
        <v>19</v>
      </c>
      <c r="F14" s="363" t="s">
        <v>108</v>
      </c>
      <c r="G14" s="364"/>
      <c r="H14" s="224"/>
      <c r="I14" s="34"/>
      <c r="J14" s="34"/>
      <c r="K14" s="48"/>
      <c r="L14" s="48"/>
      <c r="M14" s="48"/>
      <c r="N14" s="5"/>
      <c r="O14" s="5"/>
      <c r="P14" s="5"/>
    </row>
    <row r="15" spans="1:16" x14ac:dyDescent="0.2">
      <c r="A15" s="9"/>
      <c r="B15" s="334" t="s">
        <v>30</v>
      </c>
      <c r="C15" s="335"/>
      <c r="D15" s="335"/>
      <c r="E15" s="32" t="s">
        <v>19</v>
      </c>
      <c r="F15" s="363" t="s">
        <v>109</v>
      </c>
      <c r="G15" s="364"/>
      <c r="H15" s="224"/>
      <c r="I15" s="34"/>
      <c r="J15" s="34"/>
      <c r="K15" s="48"/>
      <c r="L15" s="48"/>
      <c r="M15" s="48"/>
      <c r="N15" s="5"/>
      <c r="O15" s="5"/>
      <c r="P15" s="5"/>
    </row>
    <row r="16" spans="1:16" x14ac:dyDescent="0.2">
      <c r="A16" s="9"/>
      <c r="B16" s="334" t="s">
        <v>31</v>
      </c>
      <c r="C16" s="335"/>
      <c r="D16" s="335"/>
      <c r="E16" s="32" t="s">
        <v>19</v>
      </c>
      <c r="F16" s="363" t="s">
        <v>110</v>
      </c>
      <c r="G16" s="364"/>
      <c r="H16" s="224"/>
      <c r="I16" s="34"/>
      <c r="J16" s="34"/>
      <c r="K16" s="48"/>
      <c r="L16" s="48"/>
      <c r="M16" s="48"/>
      <c r="N16" s="5"/>
      <c r="O16" s="5"/>
      <c r="P16" s="5"/>
    </row>
    <row r="17" spans="1:16" x14ac:dyDescent="0.2">
      <c r="A17" s="9"/>
      <c r="B17" s="334" t="s">
        <v>32</v>
      </c>
      <c r="C17" s="335"/>
      <c r="D17" s="335"/>
      <c r="E17" s="32" t="s">
        <v>19</v>
      </c>
      <c r="F17" s="377" t="s">
        <v>111</v>
      </c>
      <c r="G17" s="378"/>
      <c r="H17" s="224"/>
      <c r="I17" s="34"/>
      <c r="J17" s="34"/>
      <c r="K17" s="48"/>
      <c r="L17" s="48"/>
      <c r="M17" s="48"/>
      <c r="N17" s="5"/>
      <c r="O17" s="5"/>
      <c r="P17" s="5"/>
    </row>
    <row r="18" spans="1:16" x14ac:dyDescent="0.2">
      <c r="A18" s="9"/>
      <c r="B18" s="334" t="s">
        <v>33</v>
      </c>
      <c r="C18" s="335"/>
      <c r="D18" s="335"/>
      <c r="E18" s="32" t="s">
        <v>19</v>
      </c>
      <c r="F18" s="363" t="s">
        <v>112</v>
      </c>
      <c r="G18" s="364"/>
      <c r="H18" s="224"/>
      <c r="I18" s="34"/>
      <c r="J18" s="34"/>
      <c r="K18" s="48"/>
      <c r="L18" s="48"/>
      <c r="M18" s="48"/>
      <c r="N18" s="5"/>
      <c r="O18" s="5"/>
      <c r="P18" s="5"/>
    </row>
    <row r="19" spans="1:16" x14ac:dyDescent="0.2">
      <c r="A19" s="9"/>
      <c r="B19" s="334" t="s">
        <v>34</v>
      </c>
      <c r="C19" s="335"/>
      <c r="D19" s="335"/>
      <c r="E19" s="32" t="s">
        <v>19</v>
      </c>
      <c r="F19" s="363" t="s">
        <v>113</v>
      </c>
      <c r="G19" s="364"/>
      <c r="H19" s="224"/>
      <c r="I19" s="34"/>
      <c r="J19" s="34"/>
      <c r="K19" s="48"/>
      <c r="L19" s="48"/>
      <c r="M19" s="48"/>
      <c r="N19" s="5"/>
      <c r="O19" s="5"/>
      <c r="P19" s="5"/>
    </row>
    <row r="20" spans="1:16" x14ac:dyDescent="0.2">
      <c r="A20" s="9"/>
      <c r="B20" s="334" t="s">
        <v>35</v>
      </c>
      <c r="C20" s="335"/>
      <c r="D20" s="335"/>
      <c r="E20" s="32" t="s">
        <v>19</v>
      </c>
      <c r="F20" s="363" t="s">
        <v>114</v>
      </c>
      <c r="G20" s="364"/>
      <c r="H20" s="224"/>
      <c r="I20" s="34"/>
      <c r="J20" s="34"/>
      <c r="K20" s="48"/>
      <c r="L20" s="48"/>
      <c r="M20" s="48"/>
      <c r="N20" s="5"/>
      <c r="O20" s="5"/>
      <c r="P20" s="5"/>
    </row>
    <row r="21" spans="1:16" x14ac:dyDescent="0.2">
      <c r="A21" s="9"/>
      <c r="B21" s="334" t="s">
        <v>36</v>
      </c>
      <c r="C21" s="335"/>
      <c r="D21" s="335"/>
      <c r="E21" s="32" t="s">
        <v>19</v>
      </c>
      <c r="F21" s="363" t="s">
        <v>115</v>
      </c>
      <c r="G21" s="364"/>
      <c r="H21" s="224"/>
      <c r="I21" s="34"/>
      <c r="J21" s="34"/>
      <c r="K21" s="48"/>
      <c r="L21" s="48"/>
      <c r="M21" s="48"/>
      <c r="N21" s="5"/>
      <c r="O21" s="5"/>
      <c r="P21" s="5"/>
    </row>
    <row r="22" spans="1:16" x14ac:dyDescent="0.2">
      <c r="A22" s="9"/>
      <c r="B22" s="334" t="s">
        <v>37</v>
      </c>
      <c r="C22" s="335"/>
      <c r="D22" s="335"/>
      <c r="E22" s="32" t="s">
        <v>19</v>
      </c>
      <c r="F22" s="363" t="s">
        <v>116</v>
      </c>
      <c r="G22" s="364"/>
      <c r="H22" s="224"/>
      <c r="I22" s="34"/>
      <c r="J22" s="34"/>
      <c r="K22" s="48"/>
      <c r="L22" s="48"/>
      <c r="M22" s="48"/>
      <c r="N22" s="5"/>
      <c r="O22" s="5"/>
      <c r="P22" s="5"/>
    </row>
    <row r="23" spans="1:16" x14ac:dyDescent="0.2">
      <c r="A23" s="9"/>
      <c r="B23" s="334" t="s">
        <v>38</v>
      </c>
      <c r="C23" s="335"/>
      <c r="D23" s="335"/>
      <c r="E23" s="32" t="s">
        <v>19</v>
      </c>
      <c r="F23" s="363" t="s">
        <v>117</v>
      </c>
      <c r="G23" s="364"/>
      <c r="H23" s="224"/>
      <c r="I23" s="34"/>
      <c r="J23" s="34"/>
      <c r="K23" s="48"/>
      <c r="L23" s="48"/>
      <c r="M23" s="48"/>
      <c r="N23" s="5"/>
      <c r="O23" s="5"/>
      <c r="P23" s="5"/>
    </row>
    <row r="24" spans="1:16" x14ac:dyDescent="0.2">
      <c r="A24" s="9"/>
      <c r="B24" s="334" t="s">
        <v>39</v>
      </c>
      <c r="C24" s="335"/>
      <c r="D24" s="335"/>
      <c r="E24" s="32" t="s">
        <v>19</v>
      </c>
      <c r="F24" s="363" t="s">
        <v>118</v>
      </c>
      <c r="G24" s="364"/>
      <c r="H24" s="224"/>
      <c r="I24" s="34"/>
      <c r="J24" s="34"/>
      <c r="K24" s="48"/>
      <c r="L24" s="48"/>
      <c r="M24" s="48"/>
      <c r="N24" s="5"/>
      <c r="O24" s="5"/>
      <c r="P24" s="5"/>
    </row>
    <row r="25" spans="1:16" x14ac:dyDescent="0.2">
      <c r="A25" s="9"/>
      <c r="B25" s="334" t="s">
        <v>40</v>
      </c>
      <c r="C25" s="335"/>
      <c r="D25" s="335"/>
      <c r="E25" s="32" t="s">
        <v>19</v>
      </c>
      <c r="F25" s="363" t="s">
        <v>119</v>
      </c>
      <c r="G25" s="364"/>
      <c r="H25" s="224"/>
      <c r="I25" s="34"/>
      <c r="J25" s="34"/>
      <c r="K25" s="48"/>
      <c r="L25" s="48"/>
      <c r="M25" s="48"/>
      <c r="N25" s="5"/>
      <c r="O25" s="5"/>
      <c r="P25" s="5"/>
    </row>
    <row r="26" spans="1:16" x14ac:dyDescent="0.2">
      <c r="A26" s="9"/>
      <c r="B26" s="334" t="s">
        <v>41</v>
      </c>
      <c r="C26" s="335"/>
      <c r="D26" s="335"/>
      <c r="E26" s="32" t="s">
        <v>19</v>
      </c>
      <c r="F26" s="363" t="s">
        <v>120</v>
      </c>
      <c r="G26" s="364"/>
      <c r="H26" s="224"/>
      <c r="I26" s="34"/>
      <c r="J26" s="34"/>
      <c r="K26" s="48"/>
      <c r="L26" s="48"/>
      <c r="M26" s="48"/>
      <c r="N26" s="5"/>
      <c r="O26" s="5"/>
      <c r="P26" s="5"/>
    </row>
    <row r="27" spans="1:16" x14ac:dyDescent="0.2">
      <c r="A27" s="9"/>
      <c r="B27" s="334" t="s">
        <v>42</v>
      </c>
      <c r="C27" s="335"/>
      <c r="D27" s="335"/>
      <c r="E27" s="32" t="s">
        <v>19</v>
      </c>
      <c r="F27" s="363" t="s">
        <v>121</v>
      </c>
      <c r="G27" s="364"/>
      <c r="H27" s="224"/>
      <c r="I27" s="34"/>
      <c r="J27" s="34"/>
      <c r="K27" s="48"/>
      <c r="L27" s="48"/>
      <c r="M27" s="48"/>
      <c r="N27" s="5"/>
      <c r="O27" s="5"/>
      <c r="P27" s="5"/>
    </row>
    <row r="28" spans="1:16" ht="13.5" thickBot="1" x14ac:dyDescent="0.25">
      <c r="A28" s="9"/>
      <c r="B28" s="391" t="s">
        <v>43</v>
      </c>
      <c r="C28" s="342"/>
      <c r="D28" s="342"/>
      <c r="E28" s="242" t="s">
        <v>19</v>
      </c>
      <c r="F28" s="375" t="s">
        <v>122</v>
      </c>
      <c r="G28" s="376"/>
      <c r="H28" s="224"/>
      <c r="I28" s="34"/>
      <c r="J28" s="34"/>
      <c r="K28" s="48"/>
      <c r="L28" s="48"/>
      <c r="M28" s="48"/>
      <c r="N28" s="5"/>
      <c r="O28" s="5"/>
      <c r="P28" s="5"/>
    </row>
    <row r="29" spans="1:16" ht="13.5" thickBot="1" x14ac:dyDescent="0.25">
      <c r="A29" s="9"/>
      <c r="B29" s="346" t="s">
        <v>10</v>
      </c>
      <c r="C29" s="347"/>
      <c r="D29" s="347"/>
      <c r="E29" s="35" t="s">
        <v>11</v>
      </c>
      <c r="F29" s="368" t="s">
        <v>45</v>
      </c>
      <c r="G29" s="369"/>
      <c r="H29" s="224"/>
      <c r="I29" s="34"/>
      <c r="J29" s="34"/>
      <c r="K29" s="48"/>
      <c r="L29" s="48"/>
      <c r="M29" s="48"/>
      <c r="N29" s="5"/>
      <c r="O29" s="5"/>
      <c r="P29" s="5"/>
    </row>
    <row r="30" spans="1:16" x14ac:dyDescent="0.2">
      <c r="A30" s="9"/>
      <c r="B30" s="64"/>
      <c r="C30" s="225"/>
      <c r="D30" s="225"/>
      <c r="E30" s="64"/>
      <c r="F30" s="153"/>
      <c r="G30" s="153"/>
      <c r="H30" s="224"/>
      <c r="I30" s="34"/>
      <c r="J30" s="34"/>
      <c r="K30" s="48"/>
      <c r="L30" s="48"/>
      <c r="M30" s="48"/>
      <c r="N30" s="5"/>
      <c r="O30" s="5"/>
      <c r="P30" s="5"/>
    </row>
    <row r="31" spans="1:16" x14ac:dyDescent="0.2">
      <c r="A31" s="9"/>
      <c r="B31" s="345" t="s">
        <v>46</v>
      </c>
      <c r="C31" s="345"/>
      <c r="D31" s="345"/>
      <c r="E31" s="345"/>
      <c r="F31" s="345"/>
      <c r="G31" s="345"/>
      <c r="H31" s="224"/>
      <c r="I31" s="34"/>
      <c r="J31" s="34"/>
      <c r="K31" s="48"/>
      <c r="L31" s="48"/>
      <c r="M31" s="48"/>
      <c r="N31" s="5"/>
      <c r="O31" s="5"/>
      <c r="P31" s="5"/>
    </row>
    <row r="32" spans="1:16" x14ac:dyDescent="0.2">
      <c r="A32" s="9"/>
      <c r="B32" s="345" t="s">
        <v>47</v>
      </c>
      <c r="C32" s="345"/>
      <c r="D32" s="345"/>
      <c r="E32" s="345"/>
      <c r="F32" s="345"/>
      <c r="G32" s="345"/>
      <c r="H32" s="224"/>
      <c r="I32" s="34"/>
      <c r="J32" s="34"/>
      <c r="K32" s="48"/>
      <c r="L32" s="48"/>
      <c r="M32" s="48"/>
      <c r="N32" s="5"/>
      <c r="O32" s="5"/>
      <c r="P32" s="5"/>
    </row>
    <row r="33" spans="1:19" x14ac:dyDescent="0.2">
      <c r="A33" s="9"/>
      <c r="B33" s="225"/>
      <c r="C33" s="225"/>
      <c r="D33" s="225"/>
      <c r="E33" s="225"/>
      <c r="F33" s="240"/>
      <c r="G33" s="225"/>
      <c r="H33" s="225"/>
      <c r="I33" s="237"/>
      <c r="J33" s="237"/>
      <c r="K33" s="231"/>
      <c r="L33" s="231"/>
      <c r="M33" s="231"/>
      <c r="N33" s="9"/>
      <c r="O33" s="9"/>
      <c r="P33" s="9"/>
      <c r="Q33" s="4"/>
      <c r="R33" s="4"/>
      <c r="S33" s="4"/>
    </row>
    <row r="34" spans="1:19" x14ac:dyDescent="0.2">
      <c r="A34" s="225"/>
      <c r="B34" s="225"/>
      <c r="C34" s="225"/>
      <c r="D34" s="225"/>
      <c r="E34" s="227"/>
      <c r="F34" s="240"/>
      <c r="G34" s="225"/>
      <c r="H34" s="225"/>
      <c r="I34" s="238"/>
      <c r="J34" s="238"/>
      <c r="K34" s="231"/>
      <c r="L34" s="231"/>
      <c r="M34" s="231"/>
      <c r="N34" s="9"/>
      <c r="O34" s="9"/>
      <c r="P34" s="9"/>
      <c r="Q34" s="4"/>
      <c r="R34" s="4"/>
      <c r="S34" s="4"/>
    </row>
    <row r="35" spans="1:19" ht="18" x14ac:dyDescent="0.25">
      <c r="A35" s="350"/>
      <c r="B35" s="350"/>
      <c r="C35" s="20"/>
      <c r="D35" s="8"/>
      <c r="E35" s="29"/>
      <c r="F35" s="348" t="s">
        <v>126</v>
      </c>
      <c r="G35" s="388"/>
      <c r="H35" s="4"/>
      <c r="I35" s="237"/>
      <c r="J35" s="237"/>
      <c r="K35" s="46"/>
      <c r="L35" s="232"/>
      <c r="M35" s="232"/>
      <c r="N35" s="4"/>
      <c r="O35" s="4"/>
      <c r="P35" s="4"/>
      <c r="Q35" s="4"/>
      <c r="R35" s="4"/>
      <c r="S35" s="4"/>
    </row>
    <row r="36" spans="1:19" x14ac:dyDescent="0.2">
      <c r="A36" s="9"/>
      <c r="B36" s="9"/>
      <c r="C36" s="4"/>
      <c r="D36" s="14"/>
      <c r="E36" s="31"/>
      <c r="F36" s="241"/>
      <c r="G36" s="9"/>
      <c r="H36" s="4"/>
      <c r="I36" s="237"/>
      <c r="J36" s="237"/>
      <c r="K36" s="50"/>
      <c r="L36" s="397"/>
      <c r="M36" s="398"/>
      <c r="N36" s="9"/>
      <c r="O36" s="9"/>
      <c r="P36" s="9"/>
      <c r="Q36" s="4"/>
      <c r="R36" s="4"/>
      <c r="S36" s="4"/>
    </row>
    <row r="37" spans="1:19" x14ac:dyDescent="0.2">
      <c r="A37" s="4"/>
      <c r="B37" s="4"/>
      <c r="C37" s="4"/>
      <c r="D37" s="4"/>
      <c r="E37" s="4"/>
      <c r="F37" s="241"/>
      <c r="G37" s="15"/>
      <c r="H37" s="4"/>
      <c r="I37" s="237"/>
      <c r="J37" s="237"/>
      <c r="K37" s="46"/>
      <c r="L37" s="399"/>
      <c r="M37" s="399"/>
      <c r="N37" s="4"/>
      <c r="O37" s="4"/>
      <c r="P37" s="4"/>
      <c r="Q37" s="4"/>
      <c r="R37" s="4"/>
      <c r="S37" s="4"/>
    </row>
    <row r="38" spans="1:19" ht="13.5" thickBot="1" x14ac:dyDescent="0.25">
      <c r="A38" s="239"/>
      <c r="B38" s="4"/>
      <c r="C38" s="342"/>
      <c r="D38" s="342"/>
      <c r="E38" s="4"/>
      <c r="F38" s="400"/>
      <c r="G38" s="342"/>
      <c r="H38" s="4"/>
      <c r="I38" s="237"/>
      <c r="J38" s="237"/>
      <c r="K38" s="46"/>
      <c r="L38" s="398"/>
      <c r="M38" s="398"/>
      <c r="N38" s="4"/>
      <c r="O38" s="4"/>
      <c r="P38" s="4"/>
      <c r="Q38" s="4"/>
      <c r="R38" s="4"/>
      <c r="S38" s="4"/>
    </row>
    <row r="39" spans="1:19" x14ac:dyDescent="0.2">
      <c r="A39" s="247"/>
      <c r="B39" s="248"/>
      <c r="C39" s="352" t="s">
        <v>124</v>
      </c>
      <c r="D39" s="351"/>
      <c r="E39" s="353"/>
      <c r="F39" s="326"/>
      <c r="G39" s="312"/>
      <c r="H39" s="312"/>
      <c r="I39" s="249"/>
      <c r="J39" s="250"/>
      <c r="K39" s="354" t="s">
        <v>124</v>
      </c>
      <c r="L39" s="354"/>
      <c r="M39" s="356"/>
      <c r="N39" s="4"/>
      <c r="O39" s="4"/>
      <c r="P39" s="4"/>
      <c r="Q39" s="4"/>
      <c r="R39" s="4"/>
      <c r="S39" s="4"/>
    </row>
    <row r="40" spans="1:19" x14ac:dyDescent="0.2">
      <c r="A40" s="251"/>
      <c r="B40" s="252"/>
      <c r="C40" s="251"/>
      <c r="D40" s="253"/>
      <c r="E40" s="313"/>
      <c r="F40" s="327"/>
      <c r="G40" s="314"/>
      <c r="H40" s="312"/>
      <c r="I40" s="254"/>
      <c r="J40" s="255"/>
      <c r="K40" s="256"/>
      <c r="L40" s="256"/>
      <c r="M40" s="315"/>
      <c r="N40" s="4"/>
      <c r="O40" s="4"/>
      <c r="P40" s="4"/>
      <c r="Q40" s="4"/>
      <c r="R40" s="4"/>
      <c r="S40" s="4"/>
    </row>
    <row r="41" spans="1:19" ht="13.5" thickBot="1" x14ac:dyDescent="0.25">
      <c r="A41" s="257" t="s">
        <v>57</v>
      </c>
      <c r="B41" s="258" t="s">
        <v>0</v>
      </c>
      <c r="C41" s="257" t="s">
        <v>1</v>
      </c>
      <c r="D41" s="260" t="s">
        <v>2</v>
      </c>
      <c r="E41" s="258" t="s">
        <v>123</v>
      </c>
      <c r="F41" s="328"/>
      <c r="G41" s="317"/>
      <c r="H41" s="312"/>
      <c r="I41" s="263" t="s">
        <v>57</v>
      </c>
      <c r="J41" s="264" t="s">
        <v>0</v>
      </c>
      <c r="K41" s="265" t="s">
        <v>1</v>
      </c>
      <c r="L41" s="266" t="s">
        <v>2</v>
      </c>
      <c r="M41" s="264" t="s">
        <v>123</v>
      </c>
      <c r="N41" s="4"/>
      <c r="O41" s="4"/>
      <c r="P41" s="4"/>
      <c r="Q41" s="4"/>
      <c r="R41" s="4"/>
      <c r="S41" s="4"/>
    </row>
    <row r="42" spans="1:19" x14ac:dyDescent="0.2">
      <c r="A42" s="269" t="s">
        <v>58</v>
      </c>
      <c r="B42" s="270" t="str">
        <f>Walk!$B$42</f>
        <v>L Med/Lat</v>
      </c>
      <c r="C42" s="164">
        <f t="shared" ref="C42:D47" si="0">A153</f>
        <v>0</v>
      </c>
      <c r="D42" s="163">
        <f t="shared" si="0"/>
        <v>100</v>
      </c>
      <c r="E42" s="217">
        <f>B150</f>
        <v>60</v>
      </c>
      <c r="F42" s="328"/>
      <c r="G42" s="317"/>
      <c r="H42" s="312"/>
      <c r="I42" s="271" t="s">
        <v>74</v>
      </c>
      <c r="J42" s="272" t="str">
        <f>Walk!$J$42</f>
        <v>R Int/Lat</v>
      </c>
      <c r="K42" s="189">
        <f>A442</f>
        <v>0</v>
      </c>
      <c r="L42" s="190">
        <f>B442</f>
        <v>150</v>
      </c>
      <c r="M42" s="318">
        <f>B439</f>
        <v>60</v>
      </c>
      <c r="N42" s="4"/>
      <c r="O42" s="4"/>
      <c r="P42" s="4"/>
      <c r="Q42" s="4"/>
      <c r="R42" s="4"/>
      <c r="S42" s="4"/>
    </row>
    <row r="43" spans="1:19" x14ac:dyDescent="0.2">
      <c r="A43" s="269"/>
      <c r="B43" s="274"/>
      <c r="C43" s="169">
        <f t="shared" si="0"/>
        <v>50</v>
      </c>
      <c r="D43" s="168">
        <f t="shared" si="0"/>
        <v>50</v>
      </c>
      <c r="E43" s="274"/>
      <c r="F43" s="328"/>
      <c r="G43" s="317"/>
      <c r="H43" s="312"/>
      <c r="I43" s="271"/>
      <c r="J43" s="276"/>
      <c r="K43" s="189">
        <f t="shared" ref="K43:L49" si="1">A443</f>
        <v>50</v>
      </c>
      <c r="L43" s="190">
        <f t="shared" si="1"/>
        <v>75</v>
      </c>
      <c r="M43" s="305"/>
      <c r="N43" s="4"/>
      <c r="O43" s="4"/>
      <c r="P43" s="4"/>
      <c r="Q43" s="4"/>
      <c r="R43" s="4"/>
      <c r="S43" s="4"/>
    </row>
    <row r="44" spans="1:19" x14ac:dyDescent="0.2">
      <c r="A44" s="269"/>
      <c r="B44" s="274"/>
      <c r="C44" s="169">
        <f t="shared" si="0"/>
        <v>55</v>
      </c>
      <c r="D44" s="168">
        <f t="shared" si="0"/>
        <v>50</v>
      </c>
      <c r="E44" s="274"/>
      <c r="F44" s="328"/>
      <c r="G44" s="317"/>
      <c r="H44" s="312"/>
      <c r="I44" s="271"/>
      <c r="J44" s="276"/>
      <c r="K44" s="189">
        <f t="shared" si="1"/>
        <v>55</v>
      </c>
      <c r="L44" s="190">
        <f t="shared" si="1"/>
        <v>75</v>
      </c>
      <c r="M44" s="305"/>
      <c r="N44" s="4"/>
      <c r="O44" s="4"/>
      <c r="P44" s="4"/>
      <c r="Q44" s="4"/>
      <c r="R44" s="4"/>
      <c r="S44" s="4"/>
    </row>
    <row r="45" spans="1:19" x14ac:dyDescent="0.2">
      <c r="A45" s="269"/>
      <c r="B45" s="274"/>
      <c r="C45" s="169">
        <f t="shared" si="0"/>
        <v>60</v>
      </c>
      <c r="D45" s="168">
        <f t="shared" si="0"/>
        <v>50</v>
      </c>
      <c r="E45" s="274"/>
      <c r="F45" s="328"/>
      <c r="G45" s="317"/>
      <c r="H45" s="312"/>
      <c r="I45" s="271"/>
      <c r="J45" s="276"/>
      <c r="K45" s="189">
        <f t="shared" si="1"/>
        <v>60</v>
      </c>
      <c r="L45" s="190">
        <f t="shared" si="1"/>
        <v>75</v>
      </c>
      <c r="M45" s="305"/>
      <c r="N45" s="4"/>
      <c r="O45" s="4"/>
      <c r="P45" s="4"/>
      <c r="Q45" s="4"/>
      <c r="R45" s="4"/>
      <c r="S45" s="4"/>
    </row>
    <row r="46" spans="1:19" x14ac:dyDescent="0.2">
      <c r="A46" s="269"/>
      <c r="B46" s="274"/>
      <c r="C46" s="169">
        <f t="shared" si="0"/>
        <v>75</v>
      </c>
      <c r="D46" s="168">
        <f t="shared" si="0"/>
        <v>50</v>
      </c>
      <c r="E46" s="274"/>
      <c r="F46" s="328"/>
      <c r="G46" s="317"/>
      <c r="H46" s="312"/>
      <c r="I46" s="271"/>
      <c r="J46" s="276"/>
      <c r="K46" s="189">
        <f t="shared" si="1"/>
        <v>75</v>
      </c>
      <c r="L46" s="190">
        <f t="shared" si="1"/>
        <v>75</v>
      </c>
      <c r="M46" s="305"/>
      <c r="N46" s="4"/>
      <c r="O46" s="4"/>
      <c r="P46" s="4"/>
      <c r="Q46" s="4"/>
      <c r="R46" s="4"/>
      <c r="S46" s="4"/>
    </row>
    <row r="47" spans="1:19" x14ac:dyDescent="0.2">
      <c r="A47" s="269"/>
      <c r="B47" s="274"/>
      <c r="C47" s="169">
        <f t="shared" si="0"/>
        <v>88</v>
      </c>
      <c r="D47" s="168">
        <f t="shared" si="0"/>
        <v>26</v>
      </c>
      <c r="E47" s="274"/>
      <c r="F47" s="328"/>
      <c r="G47" s="317"/>
      <c r="H47" s="312"/>
      <c r="I47" s="271"/>
      <c r="J47" s="276"/>
      <c r="K47" s="189">
        <f t="shared" si="1"/>
        <v>88</v>
      </c>
      <c r="L47" s="190">
        <f t="shared" si="1"/>
        <v>39</v>
      </c>
      <c r="M47" s="305"/>
      <c r="N47" s="4"/>
      <c r="O47" s="4"/>
      <c r="P47" s="4"/>
      <c r="Q47" s="4"/>
      <c r="R47" s="4"/>
      <c r="S47" s="4"/>
    </row>
    <row r="48" spans="1:19" x14ac:dyDescent="0.2">
      <c r="A48" s="269"/>
      <c r="B48" s="274"/>
      <c r="C48" s="169">
        <f>A159</f>
        <v>94</v>
      </c>
      <c r="D48" s="168">
        <f>B159</f>
        <v>13</v>
      </c>
      <c r="E48" s="274"/>
      <c r="F48" s="328"/>
      <c r="G48" s="317"/>
      <c r="H48" s="312"/>
      <c r="I48" s="271"/>
      <c r="J48" s="276"/>
      <c r="K48" s="189">
        <f t="shared" si="1"/>
        <v>94</v>
      </c>
      <c r="L48" s="190">
        <f t="shared" si="1"/>
        <v>20</v>
      </c>
      <c r="M48" s="305"/>
      <c r="N48" s="4"/>
      <c r="O48" s="4"/>
      <c r="P48" s="4"/>
      <c r="Q48" s="4"/>
      <c r="R48" s="4"/>
      <c r="S48" s="4"/>
    </row>
    <row r="49" spans="1:19" ht="13.5" thickBot="1" x14ac:dyDescent="0.25">
      <c r="A49" s="279"/>
      <c r="B49" s="280"/>
      <c r="C49" s="173">
        <f>A160</f>
        <v>100</v>
      </c>
      <c r="D49" s="172">
        <f>B160</f>
        <v>0</v>
      </c>
      <c r="E49" s="280"/>
      <c r="F49" s="328"/>
      <c r="G49" s="317"/>
      <c r="H49" s="312"/>
      <c r="I49" s="282"/>
      <c r="J49" s="283"/>
      <c r="K49" s="193">
        <f t="shared" si="1"/>
        <v>100</v>
      </c>
      <c r="L49" s="194">
        <f t="shared" si="1"/>
        <v>0</v>
      </c>
      <c r="M49" s="306"/>
      <c r="N49" s="4"/>
      <c r="O49" s="4"/>
      <c r="P49" s="4"/>
      <c r="Q49" s="4"/>
      <c r="R49" s="4"/>
      <c r="S49" s="4"/>
    </row>
    <row r="50" spans="1:19" x14ac:dyDescent="0.2">
      <c r="A50" s="285" t="s">
        <v>59</v>
      </c>
      <c r="B50" s="270" t="str">
        <f>Walk!$B$50</f>
        <v>L Grac</v>
      </c>
      <c r="C50" s="164">
        <f t="shared" ref="C50:D55" si="2">A177</f>
        <v>0</v>
      </c>
      <c r="D50" s="163">
        <f t="shared" si="2"/>
        <v>0</v>
      </c>
      <c r="E50" s="218">
        <f>B174</f>
        <v>60</v>
      </c>
      <c r="F50" s="328"/>
      <c r="G50" s="317"/>
      <c r="H50" s="312"/>
      <c r="I50" s="288" t="s">
        <v>75</v>
      </c>
      <c r="J50" s="272" t="str">
        <f>Walk!$J$50</f>
        <v>R Tensr</v>
      </c>
      <c r="K50" s="197">
        <f>A466</f>
        <v>0</v>
      </c>
      <c r="L50" s="198">
        <f>B466</f>
        <v>0</v>
      </c>
      <c r="M50" s="220">
        <f>B463</f>
        <v>60</v>
      </c>
      <c r="N50" s="4"/>
      <c r="O50" s="4"/>
      <c r="P50" s="4"/>
      <c r="Q50" s="4"/>
      <c r="R50" s="4"/>
      <c r="S50" s="4"/>
    </row>
    <row r="51" spans="1:19" x14ac:dyDescent="0.2">
      <c r="A51" s="269"/>
      <c r="B51" s="274"/>
      <c r="C51" s="169">
        <f t="shared" si="2"/>
        <v>10</v>
      </c>
      <c r="D51" s="168">
        <f t="shared" si="2"/>
        <v>0</v>
      </c>
      <c r="E51" s="274"/>
      <c r="F51" s="328"/>
      <c r="G51" s="317"/>
      <c r="H51" s="312"/>
      <c r="I51" s="271"/>
      <c r="J51" s="276"/>
      <c r="K51" s="189">
        <f t="shared" ref="K51:L57" si="3">A467</f>
        <v>10</v>
      </c>
      <c r="L51" s="190">
        <f t="shared" si="3"/>
        <v>0</v>
      </c>
      <c r="M51" s="276"/>
      <c r="N51" s="4"/>
      <c r="O51" s="4"/>
      <c r="P51" s="4"/>
      <c r="Q51" s="4"/>
      <c r="R51" s="4"/>
      <c r="S51" s="4"/>
    </row>
    <row r="52" spans="1:19" x14ac:dyDescent="0.2">
      <c r="A52" s="269"/>
      <c r="B52" s="274"/>
      <c r="C52" s="169">
        <f t="shared" si="2"/>
        <v>50</v>
      </c>
      <c r="D52" s="168">
        <f t="shared" si="2"/>
        <v>0</v>
      </c>
      <c r="E52" s="274"/>
      <c r="F52" s="316"/>
      <c r="G52" s="317"/>
      <c r="H52" s="312"/>
      <c r="I52" s="271"/>
      <c r="J52" s="276"/>
      <c r="K52" s="189">
        <f t="shared" si="3"/>
        <v>50</v>
      </c>
      <c r="L52" s="190">
        <f t="shared" si="3"/>
        <v>0</v>
      </c>
      <c r="M52" s="276"/>
      <c r="N52" s="4"/>
      <c r="O52" s="4"/>
      <c r="P52" s="4"/>
      <c r="Q52" s="4"/>
      <c r="R52" s="4"/>
      <c r="S52" s="4"/>
    </row>
    <row r="53" spans="1:19" x14ac:dyDescent="0.2">
      <c r="A53" s="269"/>
      <c r="B53" s="274"/>
      <c r="C53" s="169">
        <f t="shared" si="2"/>
        <v>75</v>
      </c>
      <c r="D53" s="168">
        <f t="shared" si="2"/>
        <v>0</v>
      </c>
      <c r="E53" s="274"/>
      <c r="F53" s="316"/>
      <c r="G53" s="317"/>
      <c r="H53" s="312"/>
      <c r="I53" s="271"/>
      <c r="J53" s="276"/>
      <c r="K53" s="189">
        <f t="shared" si="3"/>
        <v>75</v>
      </c>
      <c r="L53" s="190">
        <f t="shared" si="3"/>
        <v>0</v>
      </c>
      <c r="M53" s="276"/>
      <c r="N53" s="4"/>
      <c r="O53" s="4"/>
      <c r="P53" s="4"/>
      <c r="Q53" s="4"/>
      <c r="R53" s="4"/>
      <c r="S53" s="4"/>
    </row>
    <row r="54" spans="1:19" x14ac:dyDescent="0.2">
      <c r="A54" s="269"/>
      <c r="B54" s="274"/>
      <c r="C54" s="169">
        <f t="shared" si="2"/>
        <v>88</v>
      </c>
      <c r="D54" s="168">
        <f t="shared" si="2"/>
        <v>0</v>
      </c>
      <c r="E54" s="274"/>
      <c r="F54" s="316"/>
      <c r="G54" s="317"/>
      <c r="H54" s="312"/>
      <c r="I54" s="271"/>
      <c r="J54" s="276"/>
      <c r="K54" s="189">
        <f t="shared" si="3"/>
        <v>88</v>
      </c>
      <c r="L54" s="190">
        <f t="shared" si="3"/>
        <v>0</v>
      </c>
      <c r="M54" s="276"/>
      <c r="N54" s="4"/>
      <c r="O54" s="4"/>
      <c r="P54" s="4"/>
      <c r="Q54" s="4"/>
      <c r="R54" s="4"/>
      <c r="S54" s="4"/>
    </row>
    <row r="55" spans="1:19" x14ac:dyDescent="0.2">
      <c r="A55" s="269"/>
      <c r="B55" s="274"/>
      <c r="C55" s="169">
        <f t="shared" si="2"/>
        <v>94</v>
      </c>
      <c r="D55" s="168">
        <f t="shared" si="2"/>
        <v>0</v>
      </c>
      <c r="E55" s="274"/>
      <c r="F55" s="316"/>
      <c r="G55" s="317"/>
      <c r="H55" s="312"/>
      <c r="I55" s="271"/>
      <c r="J55" s="276"/>
      <c r="K55" s="189">
        <f t="shared" si="3"/>
        <v>94</v>
      </c>
      <c r="L55" s="190">
        <f t="shared" si="3"/>
        <v>0</v>
      </c>
      <c r="M55" s="276"/>
      <c r="N55" s="4"/>
      <c r="O55" s="4"/>
      <c r="P55" s="4"/>
      <c r="Q55" s="4"/>
      <c r="R55" s="4"/>
      <c r="S55" s="4"/>
    </row>
    <row r="56" spans="1:19" x14ac:dyDescent="0.2">
      <c r="A56" s="269"/>
      <c r="B56" s="274"/>
      <c r="C56" s="169">
        <f>A183</f>
        <v>95</v>
      </c>
      <c r="D56" s="168">
        <f>B183</f>
        <v>0</v>
      </c>
      <c r="E56" s="274"/>
      <c r="F56" s="316"/>
      <c r="G56" s="317"/>
      <c r="H56" s="312"/>
      <c r="I56" s="271"/>
      <c r="J56" s="276"/>
      <c r="K56" s="189">
        <f t="shared" si="3"/>
        <v>95</v>
      </c>
      <c r="L56" s="190">
        <f t="shared" si="3"/>
        <v>0</v>
      </c>
      <c r="M56" s="276"/>
      <c r="N56" s="4"/>
      <c r="O56" s="4"/>
      <c r="P56" s="4"/>
      <c r="Q56" s="4"/>
      <c r="R56" s="4"/>
      <c r="S56" s="4"/>
    </row>
    <row r="57" spans="1:19" ht="13.5" thickBot="1" x14ac:dyDescent="0.25">
      <c r="A57" s="279"/>
      <c r="B57" s="280"/>
      <c r="C57" s="173">
        <f>A184</f>
        <v>100</v>
      </c>
      <c r="D57" s="172">
        <f>B184</f>
        <v>0</v>
      </c>
      <c r="E57" s="280"/>
      <c r="F57" s="316"/>
      <c r="G57" s="317"/>
      <c r="H57" s="312"/>
      <c r="I57" s="282"/>
      <c r="J57" s="283"/>
      <c r="K57" s="193">
        <f t="shared" si="3"/>
        <v>100</v>
      </c>
      <c r="L57" s="194">
        <f t="shared" si="3"/>
        <v>0</v>
      </c>
      <c r="M57" s="283"/>
      <c r="N57" s="4"/>
      <c r="O57" s="4"/>
      <c r="P57" s="4"/>
      <c r="Q57" s="4"/>
      <c r="R57" s="4"/>
      <c r="S57" s="4"/>
    </row>
    <row r="58" spans="1:19" x14ac:dyDescent="0.2">
      <c r="A58" s="285" t="s">
        <v>60</v>
      </c>
      <c r="B58" s="286" t="str">
        <f>Walk!$B$58</f>
        <v>L Quad</v>
      </c>
      <c r="C58" s="176">
        <f t="shared" ref="C58:D63" si="4">A201</f>
        <v>0</v>
      </c>
      <c r="D58" s="181">
        <f t="shared" si="4"/>
        <v>20</v>
      </c>
      <c r="E58" s="218">
        <f>B198</f>
        <v>60</v>
      </c>
      <c r="F58" s="316"/>
      <c r="G58" s="317"/>
      <c r="H58" s="312"/>
      <c r="I58" s="288" t="s">
        <v>76</v>
      </c>
      <c r="J58" s="272" t="str">
        <f>Walk!$J$58</f>
        <v>R Gl Max</v>
      </c>
      <c r="K58" s="197">
        <f>A490</f>
        <v>0</v>
      </c>
      <c r="L58" s="198">
        <f>B490</f>
        <v>110</v>
      </c>
      <c r="M58" s="220">
        <f>B487</f>
        <v>60</v>
      </c>
      <c r="N58" s="4"/>
      <c r="O58" s="4"/>
      <c r="P58" s="4"/>
      <c r="Q58" s="4"/>
      <c r="R58" s="4"/>
      <c r="S58" s="4"/>
    </row>
    <row r="59" spans="1:19" x14ac:dyDescent="0.2">
      <c r="A59" s="269"/>
      <c r="B59" s="274"/>
      <c r="C59" s="169">
        <f t="shared" si="4"/>
        <v>50</v>
      </c>
      <c r="D59" s="168">
        <f t="shared" si="4"/>
        <v>10</v>
      </c>
      <c r="E59" s="274"/>
      <c r="F59" s="316"/>
      <c r="G59" s="317"/>
      <c r="H59" s="312"/>
      <c r="I59" s="271"/>
      <c r="J59" s="276"/>
      <c r="K59" s="189">
        <f t="shared" ref="K59:L65" si="5">A491</f>
        <v>50</v>
      </c>
      <c r="L59" s="190">
        <f t="shared" si="5"/>
        <v>55</v>
      </c>
      <c r="M59" s="276"/>
      <c r="N59" s="4"/>
      <c r="O59" s="4"/>
      <c r="P59" s="4"/>
      <c r="Q59" s="4"/>
      <c r="R59" s="4"/>
      <c r="S59" s="4"/>
    </row>
    <row r="60" spans="1:19" x14ac:dyDescent="0.2">
      <c r="A60" s="269"/>
      <c r="B60" s="274"/>
      <c r="C60" s="169">
        <f t="shared" si="4"/>
        <v>55</v>
      </c>
      <c r="D60" s="168">
        <f t="shared" si="4"/>
        <v>10</v>
      </c>
      <c r="E60" s="274"/>
      <c r="F60" s="316"/>
      <c r="G60" s="317"/>
      <c r="H60" s="312"/>
      <c r="I60" s="271"/>
      <c r="J60" s="276"/>
      <c r="K60" s="189">
        <f t="shared" si="5"/>
        <v>55</v>
      </c>
      <c r="L60" s="190">
        <f t="shared" si="5"/>
        <v>55</v>
      </c>
      <c r="M60" s="276"/>
      <c r="N60" s="4"/>
      <c r="O60" s="4"/>
      <c r="P60" s="4"/>
      <c r="Q60" s="4"/>
      <c r="R60" s="4"/>
      <c r="S60" s="4"/>
    </row>
    <row r="61" spans="1:19" x14ac:dyDescent="0.2">
      <c r="A61" s="269"/>
      <c r="B61" s="274"/>
      <c r="C61" s="169">
        <f t="shared" si="4"/>
        <v>60</v>
      </c>
      <c r="D61" s="168">
        <f t="shared" si="4"/>
        <v>10</v>
      </c>
      <c r="E61" s="274"/>
      <c r="F61" s="316"/>
      <c r="G61" s="317"/>
      <c r="H61" s="312"/>
      <c r="I61" s="271"/>
      <c r="J61" s="276"/>
      <c r="K61" s="189">
        <f t="shared" si="5"/>
        <v>60</v>
      </c>
      <c r="L61" s="190">
        <f t="shared" si="5"/>
        <v>55</v>
      </c>
      <c r="M61" s="276"/>
      <c r="N61" s="4"/>
      <c r="O61" s="4"/>
      <c r="P61" s="4"/>
      <c r="Q61" s="4"/>
      <c r="R61" s="4"/>
      <c r="S61" s="4"/>
    </row>
    <row r="62" spans="1:19" x14ac:dyDescent="0.2">
      <c r="A62" s="269"/>
      <c r="B62" s="274"/>
      <c r="C62" s="169">
        <f t="shared" si="4"/>
        <v>75</v>
      </c>
      <c r="D62" s="168">
        <f t="shared" si="4"/>
        <v>10</v>
      </c>
      <c r="E62" s="274"/>
      <c r="F62" s="316"/>
      <c r="G62" s="317"/>
      <c r="H62" s="312"/>
      <c r="I62" s="271"/>
      <c r="J62" s="276"/>
      <c r="K62" s="189">
        <f t="shared" si="5"/>
        <v>75</v>
      </c>
      <c r="L62" s="190">
        <f t="shared" si="5"/>
        <v>55</v>
      </c>
      <c r="M62" s="276"/>
      <c r="N62" s="4"/>
      <c r="O62" s="4"/>
      <c r="P62" s="4"/>
      <c r="Q62" s="4"/>
      <c r="R62" s="4"/>
      <c r="S62" s="4"/>
    </row>
    <row r="63" spans="1:19" x14ac:dyDescent="0.2">
      <c r="A63" s="269"/>
      <c r="B63" s="274"/>
      <c r="C63" s="169">
        <f t="shared" si="4"/>
        <v>88</v>
      </c>
      <c r="D63" s="168">
        <f t="shared" si="4"/>
        <v>5</v>
      </c>
      <c r="E63" s="274"/>
      <c r="F63" s="316"/>
      <c r="G63" s="317"/>
      <c r="H63" s="312"/>
      <c r="I63" s="271"/>
      <c r="J63" s="276"/>
      <c r="K63" s="189">
        <f t="shared" si="5"/>
        <v>88</v>
      </c>
      <c r="L63" s="190">
        <f t="shared" si="5"/>
        <v>29</v>
      </c>
      <c r="M63" s="276"/>
      <c r="N63" s="4"/>
      <c r="O63" s="4"/>
      <c r="P63" s="4"/>
      <c r="Q63" s="4"/>
      <c r="R63" s="4"/>
      <c r="S63" s="4"/>
    </row>
    <row r="64" spans="1:19" x14ac:dyDescent="0.2">
      <c r="A64" s="269"/>
      <c r="B64" s="274"/>
      <c r="C64" s="169">
        <f>A207</f>
        <v>94</v>
      </c>
      <c r="D64" s="168">
        <f>B207</f>
        <v>3</v>
      </c>
      <c r="E64" s="274"/>
      <c r="F64" s="316"/>
      <c r="G64" s="317"/>
      <c r="H64" s="312"/>
      <c r="I64" s="271"/>
      <c r="J64" s="276"/>
      <c r="K64" s="189">
        <f t="shared" si="5"/>
        <v>94</v>
      </c>
      <c r="L64" s="190">
        <f t="shared" si="5"/>
        <v>14</v>
      </c>
      <c r="M64" s="276"/>
      <c r="N64" s="4"/>
      <c r="O64" s="4"/>
      <c r="P64" s="4"/>
      <c r="Q64" s="4"/>
      <c r="R64" s="4"/>
      <c r="S64" s="4"/>
    </row>
    <row r="65" spans="1:19" ht="13.5" thickBot="1" x14ac:dyDescent="0.25">
      <c r="A65" s="279"/>
      <c r="B65" s="280"/>
      <c r="C65" s="173">
        <f>A208</f>
        <v>100</v>
      </c>
      <c r="D65" s="172">
        <f>B208</f>
        <v>0</v>
      </c>
      <c r="E65" s="280"/>
      <c r="F65" s="316"/>
      <c r="G65" s="317"/>
      <c r="H65" s="312"/>
      <c r="I65" s="282"/>
      <c r="J65" s="283"/>
      <c r="K65" s="193">
        <f t="shared" si="5"/>
        <v>100</v>
      </c>
      <c r="L65" s="194">
        <f t="shared" si="5"/>
        <v>0</v>
      </c>
      <c r="M65" s="283"/>
      <c r="N65" s="4"/>
      <c r="O65" s="4"/>
      <c r="P65" s="4"/>
      <c r="Q65" s="4"/>
      <c r="R65" s="4"/>
      <c r="S65" s="4"/>
    </row>
    <row r="66" spans="1:19" x14ac:dyDescent="0.2">
      <c r="A66" s="269" t="s">
        <v>61</v>
      </c>
      <c r="B66" s="270" t="str">
        <f>Walk!$B$66</f>
        <v>L P Add</v>
      </c>
      <c r="C66" s="164">
        <f t="shared" ref="C66:D71" si="6">A225</f>
        <v>0</v>
      </c>
      <c r="D66" s="163">
        <f t="shared" si="6"/>
        <v>150</v>
      </c>
      <c r="E66" s="319">
        <f>B222</f>
        <v>60</v>
      </c>
      <c r="F66" s="316"/>
      <c r="G66" s="317"/>
      <c r="H66" s="312"/>
      <c r="I66" s="288" t="s">
        <v>77</v>
      </c>
      <c r="J66" s="272" t="str">
        <f>Walk!$J$66</f>
        <v>R P Add</v>
      </c>
      <c r="K66" s="197">
        <f>A514</f>
        <v>0</v>
      </c>
      <c r="L66" s="198">
        <f>B514</f>
        <v>150</v>
      </c>
      <c r="M66" s="304">
        <f>B511</f>
        <v>60</v>
      </c>
      <c r="N66" s="4"/>
      <c r="O66" s="4"/>
      <c r="P66" s="4"/>
      <c r="Q66" s="4"/>
      <c r="R66" s="4"/>
      <c r="S66" s="4"/>
    </row>
    <row r="67" spans="1:19" x14ac:dyDescent="0.2">
      <c r="A67" s="269"/>
      <c r="B67" s="274"/>
      <c r="C67" s="169">
        <f t="shared" si="6"/>
        <v>10</v>
      </c>
      <c r="D67" s="168">
        <f t="shared" si="6"/>
        <v>150</v>
      </c>
      <c r="E67" s="320"/>
      <c r="F67" s="316"/>
      <c r="G67" s="317"/>
      <c r="H67" s="312"/>
      <c r="I67" s="271"/>
      <c r="J67" s="276"/>
      <c r="K67" s="189">
        <f t="shared" ref="K67:L73" si="7">A515</f>
        <v>10</v>
      </c>
      <c r="L67" s="190">
        <f t="shared" si="7"/>
        <v>150</v>
      </c>
      <c r="M67" s="305"/>
      <c r="N67" s="4"/>
      <c r="O67" s="4"/>
      <c r="P67" s="4"/>
      <c r="Q67" s="4"/>
      <c r="R67" s="4"/>
      <c r="S67" s="4"/>
    </row>
    <row r="68" spans="1:19" x14ac:dyDescent="0.2">
      <c r="A68" s="269"/>
      <c r="B68" s="274"/>
      <c r="C68" s="169">
        <f t="shared" si="6"/>
        <v>50</v>
      </c>
      <c r="D68" s="168">
        <f t="shared" si="6"/>
        <v>150</v>
      </c>
      <c r="E68" s="320"/>
      <c r="F68" s="316"/>
      <c r="G68" s="317"/>
      <c r="H68" s="312"/>
      <c r="I68" s="271"/>
      <c r="J68" s="276"/>
      <c r="K68" s="189">
        <f t="shared" si="7"/>
        <v>50</v>
      </c>
      <c r="L68" s="190">
        <f t="shared" si="7"/>
        <v>150</v>
      </c>
      <c r="M68" s="305"/>
      <c r="N68" s="4"/>
      <c r="O68" s="4"/>
      <c r="P68" s="4"/>
      <c r="Q68" s="4"/>
      <c r="R68" s="4"/>
      <c r="S68" s="4"/>
    </row>
    <row r="69" spans="1:19" x14ac:dyDescent="0.2">
      <c r="A69" s="269"/>
      <c r="B69" s="274"/>
      <c r="C69" s="169">
        <f t="shared" si="6"/>
        <v>80</v>
      </c>
      <c r="D69" s="168">
        <f t="shared" si="6"/>
        <v>150</v>
      </c>
      <c r="E69" s="320"/>
      <c r="F69" s="316"/>
      <c r="G69" s="317"/>
      <c r="H69" s="312"/>
      <c r="I69" s="271"/>
      <c r="J69" s="276"/>
      <c r="K69" s="189">
        <f t="shared" si="7"/>
        <v>80</v>
      </c>
      <c r="L69" s="190">
        <f t="shared" si="7"/>
        <v>150</v>
      </c>
      <c r="M69" s="305"/>
      <c r="N69" s="4"/>
      <c r="O69" s="4"/>
      <c r="P69" s="4"/>
      <c r="Q69" s="4"/>
      <c r="R69" s="4"/>
      <c r="S69" s="4"/>
    </row>
    <row r="70" spans="1:19" x14ac:dyDescent="0.2">
      <c r="A70" s="269"/>
      <c r="B70" s="274"/>
      <c r="C70" s="169">
        <f t="shared" si="6"/>
        <v>90</v>
      </c>
      <c r="D70" s="168">
        <f t="shared" si="6"/>
        <v>75</v>
      </c>
      <c r="E70" s="320"/>
      <c r="F70" s="316"/>
      <c r="G70" s="317"/>
      <c r="H70" s="312"/>
      <c r="I70" s="271"/>
      <c r="J70" s="276"/>
      <c r="K70" s="189">
        <f t="shared" si="7"/>
        <v>90</v>
      </c>
      <c r="L70" s="190">
        <f t="shared" si="7"/>
        <v>75</v>
      </c>
      <c r="M70" s="305"/>
      <c r="N70" s="4"/>
      <c r="O70" s="4"/>
      <c r="P70" s="4"/>
      <c r="Q70" s="4"/>
      <c r="R70" s="4"/>
      <c r="S70" s="4"/>
    </row>
    <row r="71" spans="1:19" x14ac:dyDescent="0.2">
      <c r="A71" s="269"/>
      <c r="B71" s="274"/>
      <c r="C71" s="169">
        <f t="shared" si="6"/>
        <v>95</v>
      </c>
      <c r="D71" s="168">
        <f t="shared" si="6"/>
        <v>38</v>
      </c>
      <c r="E71" s="320"/>
      <c r="F71" s="316"/>
      <c r="G71" s="317"/>
      <c r="H71" s="312"/>
      <c r="I71" s="271"/>
      <c r="J71" s="276"/>
      <c r="K71" s="189">
        <f t="shared" si="7"/>
        <v>95</v>
      </c>
      <c r="L71" s="190">
        <f t="shared" si="7"/>
        <v>38</v>
      </c>
      <c r="M71" s="305"/>
      <c r="N71" s="4"/>
      <c r="O71" s="4"/>
      <c r="P71" s="4"/>
      <c r="Q71" s="4"/>
      <c r="R71" s="4"/>
      <c r="S71" s="4"/>
    </row>
    <row r="72" spans="1:19" x14ac:dyDescent="0.2">
      <c r="A72" s="269"/>
      <c r="B72" s="274"/>
      <c r="C72" s="169">
        <f>A231</f>
        <v>98</v>
      </c>
      <c r="D72" s="168">
        <f>B231</f>
        <v>23</v>
      </c>
      <c r="E72" s="320"/>
      <c r="F72" s="316"/>
      <c r="G72" s="317"/>
      <c r="H72" s="312"/>
      <c r="I72" s="271"/>
      <c r="J72" s="276"/>
      <c r="K72" s="189">
        <f t="shared" si="7"/>
        <v>98</v>
      </c>
      <c r="L72" s="190">
        <f t="shared" si="7"/>
        <v>23</v>
      </c>
      <c r="M72" s="305"/>
      <c r="N72" s="4"/>
      <c r="O72" s="4"/>
      <c r="P72" s="4"/>
      <c r="Q72" s="4"/>
      <c r="R72" s="4"/>
      <c r="S72" s="4"/>
    </row>
    <row r="73" spans="1:19" ht="13.5" thickBot="1" x14ac:dyDescent="0.25">
      <c r="A73" s="279"/>
      <c r="B73" s="280"/>
      <c r="C73" s="173">
        <f>A232</f>
        <v>100</v>
      </c>
      <c r="D73" s="172">
        <f>B232</f>
        <v>0</v>
      </c>
      <c r="E73" s="321"/>
      <c r="F73" s="316"/>
      <c r="G73" s="317"/>
      <c r="H73" s="312"/>
      <c r="I73" s="282"/>
      <c r="J73" s="283"/>
      <c r="K73" s="193">
        <f t="shared" si="7"/>
        <v>100</v>
      </c>
      <c r="L73" s="194">
        <f t="shared" si="7"/>
        <v>0</v>
      </c>
      <c r="M73" s="306"/>
      <c r="N73" s="4"/>
      <c r="O73" s="4"/>
      <c r="P73" s="4"/>
      <c r="Q73" s="4"/>
      <c r="R73" s="4"/>
      <c r="S73" s="4"/>
    </row>
    <row r="74" spans="1:19" x14ac:dyDescent="0.2">
      <c r="A74" s="285" t="s">
        <v>62</v>
      </c>
      <c r="B74" s="270" t="str">
        <f>Walk!$B$74</f>
        <v>L Gl Max</v>
      </c>
      <c r="C74" s="164">
        <f t="shared" ref="C74:D79" si="8">A249</f>
        <v>0</v>
      </c>
      <c r="D74" s="163">
        <f t="shared" si="8"/>
        <v>125</v>
      </c>
      <c r="E74" s="217">
        <f>B246</f>
        <v>60</v>
      </c>
      <c r="F74" s="316"/>
      <c r="G74" s="317"/>
      <c r="H74" s="312"/>
      <c r="I74" s="288" t="s">
        <v>78</v>
      </c>
      <c r="J74" s="272" t="str">
        <f>Walk!$J$74</f>
        <v>R Quad</v>
      </c>
      <c r="K74" s="197">
        <f>A538</f>
        <v>0</v>
      </c>
      <c r="L74" s="198">
        <f>B538</f>
        <v>25</v>
      </c>
      <c r="M74" s="220">
        <f>B535</f>
        <v>60</v>
      </c>
      <c r="N74" s="4"/>
      <c r="O74" s="4"/>
      <c r="P74" s="4"/>
      <c r="Q74" s="4"/>
      <c r="R74" s="4"/>
      <c r="S74" s="4"/>
    </row>
    <row r="75" spans="1:19" x14ac:dyDescent="0.2">
      <c r="A75" s="269"/>
      <c r="B75" s="274"/>
      <c r="C75" s="169">
        <f t="shared" si="8"/>
        <v>40</v>
      </c>
      <c r="D75" s="168">
        <f t="shared" si="8"/>
        <v>0</v>
      </c>
      <c r="E75" s="274"/>
      <c r="F75" s="316"/>
      <c r="G75" s="317"/>
      <c r="H75" s="312"/>
      <c r="I75" s="271"/>
      <c r="J75" s="276"/>
      <c r="K75" s="189">
        <f t="shared" ref="K75:L81" si="9">A539</f>
        <v>50</v>
      </c>
      <c r="L75" s="190">
        <f t="shared" si="9"/>
        <v>13</v>
      </c>
      <c r="M75" s="276"/>
      <c r="N75" s="4"/>
      <c r="O75" s="4"/>
      <c r="P75" s="4"/>
      <c r="Q75" s="4"/>
      <c r="R75" s="4"/>
      <c r="S75" s="4"/>
    </row>
    <row r="76" spans="1:19" x14ac:dyDescent="0.2">
      <c r="A76" s="269"/>
      <c r="B76" s="274"/>
      <c r="C76" s="169">
        <f t="shared" si="8"/>
        <v>70</v>
      </c>
      <c r="D76" s="168">
        <f t="shared" si="8"/>
        <v>0</v>
      </c>
      <c r="E76" s="274"/>
      <c r="F76" s="316"/>
      <c r="G76" s="317"/>
      <c r="H76" s="312"/>
      <c r="I76" s="271"/>
      <c r="J76" s="276"/>
      <c r="K76" s="189">
        <f t="shared" si="9"/>
        <v>55</v>
      </c>
      <c r="L76" s="190">
        <f t="shared" si="9"/>
        <v>13</v>
      </c>
      <c r="M76" s="276"/>
      <c r="N76" s="4"/>
      <c r="O76" s="4"/>
      <c r="P76" s="4"/>
      <c r="Q76" s="4"/>
      <c r="R76" s="4"/>
      <c r="S76" s="4"/>
    </row>
    <row r="77" spans="1:19" x14ac:dyDescent="0.2">
      <c r="A77" s="269"/>
      <c r="B77" s="274"/>
      <c r="C77" s="169">
        <f t="shared" si="8"/>
        <v>85</v>
      </c>
      <c r="D77" s="168">
        <f t="shared" si="8"/>
        <v>0</v>
      </c>
      <c r="E77" s="274"/>
      <c r="F77" s="316"/>
      <c r="G77" s="317"/>
      <c r="H77" s="312"/>
      <c r="I77" s="271"/>
      <c r="J77" s="276"/>
      <c r="K77" s="189">
        <f t="shared" si="9"/>
        <v>60</v>
      </c>
      <c r="L77" s="190">
        <f t="shared" si="9"/>
        <v>13</v>
      </c>
      <c r="M77" s="276"/>
      <c r="N77" s="4"/>
      <c r="O77" s="4"/>
      <c r="P77" s="4"/>
      <c r="Q77" s="4"/>
      <c r="R77" s="4"/>
      <c r="S77" s="4"/>
    </row>
    <row r="78" spans="1:19" x14ac:dyDescent="0.2">
      <c r="A78" s="269"/>
      <c r="B78" s="274"/>
      <c r="C78" s="169">
        <f t="shared" si="8"/>
        <v>93</v>
      </c>
      <c r="D78" s="168">
        <f t="shared" si="8"/>
        <v>0</v>
      </c>
      <c r="E78" s="274"/>
      <c r="F78" s="316"/>
      <c r="G78" s="317"/>
      <c r="H78" s="312"/>
      <c r="I78" s="271"/>
      <c r="J78" s="276"/>
      <c r="K78" s="189">
        <f t="shared" si="9"/>
        <v>75</v>
      </c>
      <c r="L78" s="190">
        <f t="shared" si="9"/>
        <v>13</v>
      </c>
      <c r="M78" s="276"/>
      <c r="N78" s="4"/>
      <c r="O78" s="4"/>
      <c r="P78" s="4"/>
      <c r="Q78" s="4"/>
      <c r="R78" s="4"/>
      <c r="S78" s="4"/>
    </row>
    <row r="79" spans="1:19" x14ac:dyDescent="0.2">
      <c r="A79" s="269"/>
      <c r="B79" s="274"/>
      <c r="C79" s="169">
        <f t="shared" si="8"/>
        <v>95</v>
      </c>
      <c r="D79" s="168">
        <f t="shared" si="8"/>
        <v>0</v>
      </c>
      <c r="E79" s="274"/>
      <c r="F79" s="316"/>
      <c r="G79" s="317"/>
      <c r="H79" s="312"/>
      <c r="I79" s="271"/>
      <c r="J79" s="276"/>
      <c r="K79" s="189">
        <f t="shared" si="9"/>
        <v>88</v>
      </c>
      <c r="L79" s="190">
        <f t="shared" si="9"/>
        <v>7</v>
      </c>
      <c r="M79" s="276"/>
      <c r="N79" s="4"/>
      <c r="O79" s="4"/>
      <c r="P79" s="4"/>
      <c r="Q79" s="4"/>
      <c r="R79" s="4"/>
      <c r="S79" s="4"/>
    </row>
    <row r="80" spans="1:19" x14ac:dyDescent="0.2">
      <c r="A80" s="269"/>
      <c r="B80" s="274"/>
      <c r="C80" s="169">
        <f>A255</f>
        <v>98</v>
      </c>
      <c r="D80" s="168">
        <f>B255</f>
        <v>0</v>
      </c>
      <c r="E80" s="274"/>
      <c r="F80" s="316"/>
      <c r="G80" s="317"/>
      <c r="H80" s="312"/>
      <c r="I80" s="271"/>
      <c r="J80" s="276"/>
      <c r="K80" s="189">
        <f t="shared" si="9"/>
        <v>94</v>
      </c>
      <c r="L80" s="190">
        <f t="shared" si="9"/>
        <v>3</v>
      </c>
      <c r="M80" s="276"/>
      <c r="N80" s="4"/>
      <c r="O80" s="4"/>
      <c r="P80" s="4"/>
      <c r="Q80" s="4"/>
      <c r="R80" s="4"/>
      <c r="S80" s="4"/>
    </row>
    <row r="81" spans="1:19" ht="13.5" thickBot="1" x14ac:dyDescent="0.25">
      <c r="A81" s="269"/>
      <c r="B81" s="274"/>
      <c r="C81" s="178">
        <f>A256</f>
        <v>100</v>
      </c>
      <c r="D81" s="236">
        <f>B256</f>
        <v>0</v>
      </c>
      <c r="E81" s="274"/>
      <c r="F81" s="316"/>
      <c r="G81" s="317"/>
      <c r="H81" s="312"/>
      <c r="I81" s="282"/>
      <c r="J81" s="283"/>
      <c r="K81" s="193">
        <f t="shared" si="9"/>
        <v>100</v>
      </c>
      <c r="L81" s="194">
        <f t="shared" si="9"/>
        <v>0</v>
      </c>
      <c r="M81" s="283"/>
      <c r="N81" s="4"/>
      <c r="O81" s="4"/>
      <c r="P81" s="4"/>
      <c r="Q81" s="4"/>
      <c r="R81" s="4"/>
      <c r="S81" s="4"/>
    </row>
    <row r="82" spans="1:19" x14ac:dyDescent="0.2">
      <c r="A82" s="285" t="s">
        <v>63</v>
      </c>
      <c r="B82" s="286" t="str">
        <f>Walk!$B$82</f>
        <v>L Tensr</v>
      </c>
      <c r="C82" s="176">
        <f t="shared" ref="C82:D87" si="10">A273</f>
        <v>0</v>
      </c>
      <c r="D82" s="181">
        <f t="shared" si="10"/>
        <v>0</v>
      </c>
      <c r="E82" s="322">
        <f>B270</f>
        <v>60</v>
      </c>
      <c r="F82" s="316"/>
      <c r="G82" s="317"/>
      <c r="H82" s="312"/>
      <c r="I82" s="288" t="s">
        <v>79</v>
      </c>
      <c r="J82" s="272" t="str">
        <f>Walk!$J$82</f>
        <v>R Sart</v>
      </c>
      <c r="K82" s="197">
        <f>A562</f>
        <v>0</v>
      </c>
      <c r="L82" s="198">
        <f>B562</f>
        <v>0</v>
      </c>
      <c r="M82" s="304">
        <f>B559</f>
        <v>60</v>
      </c>
      <c r="N82" s="4"/>
      <c r="O82" s="4"/>
      <c r="P82" s="4"/>
      <c r="Q82" s="4"/>
      <c r="R82" s="4"/>
      <c r="S82" s="4"/>
    </row>
    <row r="83" spans="1:19" x14ac:dyDescent="0.2">
      <c r="A83" s="269"/>
      <c r="B83" s="274"/>
      <c r="C83" s="169">
        <f t="shared" si="10"/>
        <v>10</v>
      </c>
      <c r="D83" s="168">
        <f t="shared" si="10"/>
        <v>0</v>
      </c>
      <c r="E83" s="320"/>
      <c r="F83" s="316"/>
      <c r="G83" s="317"/>
      <c r="H83" s="312"/>
      <c r="I83" s="271"/>
      <c r="J83" s="276"/>
      <c r="K83" s="189">
        <f t="shared" ref="K83:L89" si="11">A563</f>
        <v>10</v>
      </c>
      <c r="L83" s="190">
        <f t="shared" si="11"/>
        <v>0</v>
      </c>
      <c r="M83" s="305"/>
      <c r="N83" s="4"/>
      <c r="O83" s="4"/>
      <c r="P83" s="4"/>
      <c r="Q83" s="4"/>
      <c r="R83" s="4"/>
      <c r="S83" s="4"/>
    </row>
    <row r="84" spans="1:19" x14ac:dyDescent="0.2">
      <c r="A84" s="269"/>
      <c r="B84" s="274"/>
      <c r="C84" s="169">
        <f t="shared" si="10"/>
        <v>50</v>
      </c>
      <c r="D84" s="168">
        <f t="shared" si="10"/>
        <v>0</v>
      </c>
      <c r="E84" s="320"/>
      <c r="F84" s="316"/>
      <c r="G84" s="317"/>
      <c r="H84" s="312"/>
      <c r="I84" s="271"/>
      <c r="J84" s="276"/>
      <c r="K84" s="189">
        <f t="shared" si="11"/>
        <v>50</v>
      </c>
      <c r="L84" s="190">
        <f t="shared" si="11"/>
        <v>0</v>
      </c>
      <c r="M84" s="305"/>
      <c r="N84" s="4"/>
      <c r="O84" s="4"/>
      <c r="P84" s="4"/>
      <c r="Q84" s="4"/>
      <c r="R84" s="4"/>
      <c r="S84" s="4"/>
    </row>
    <row r="85" spans="1:19" x14ac:dyDescent="0.2">
      <c r="A85" s="269"/>
      <c r="B85" s="274"/>
      <c r="C85" s="169">
        <f t="shared" si="10"/>
        <v>75</v>
      </c>
      <c r="D85" s="168">
        <f t="shared" si="10"/>
        <v>0</v>
      </c>
      <c r="E85" s="320"/>
      <c r="F85" s="316"/>
      <c r="G85" s="317"/>
      <c r="H85" s="312"/>
      <c r="I85" s="271"/>
      <c r="J85" s="276"/>
      <c r="K85" s="189">
        <f t="shared" si="11"/>
        <v>75</v>
      </c>
      <c r="L85" s="190">
        <f t="shared" si="11"/>
        <v>0</v>
      </c>
      <c r="M85" s="305"/>
      <c r="N85" s="4"/>
      <c r="O85" s="4"/>
      <c r="P85" s="4"/>
      <c r="Q85" s="4"/>
      <c r="R85" s="4"/>
      <c r="S85" s="4"/>
    </row>
    <row r="86" spans="1:19" x14ac:dyDescent="0.2">
      <c r="A86" s="269"/>
      <c r="B86" s="274"/>
      <c r="C86" s="169">
        <f t="shared" si="10"/>
        <v>88</v>
      </c>
      <c r="D86" s="168">
        <f t="shared" si="10"/>
        <v>0</v>
      </c>
      <c r="E86" s="320"/>
      <c r="F86" s="316"/>
      <c r="G86" s="317"/>
      <c r="H86" s="312"/>
      <c r="I86" s="271"/>
      <c r="J86" s="276"/>
      <c r="K86" s="189">
        <f t="shared" si="11"/>
        <v>88</v>
      </c>
      <c r="L86" s="190">
        <f t="shared" si="11"/>
        <v>0</v>
      </c>
      <c r="M86" s="305"/>
      <c r="N86" s="4"/>
      <c r="O86" s="4"/>
      <c r="P86" s="4"/>
      <c r="Q86" s="4"/>
      <c r="R86" s="4"/>
      <c r="S86" s="4"/>
    </row>
    <row r="87" spans="1:19" x14ac:dyDescent="0.2">
      <c r="A87" s="269"/>
      <c r="B87" s="274"/>
      <c r="C87" s="169">
        <f t="shared" si="10"/>
        <v>94</v>
      </c>
      <c r="D87" s="168">
        <f t="shared" si="10"/>
        <v>0</v>
      </c>
      <c r="E87" s="320"/>
      <c r="F87" s="316"/>
      <c r="G87" s="317"/>
      <c r="H87" s="312"/>
      <c r="I87" s="271"/>
      <c r="J87" s="276"/>
      <c r="K87" s="189">
        <f t="shared" si="11"/>
        <v>94</v>
      </c>
      <c r="L87" s="190">
        <f t="shared" si="11"/>
        <v>0</v>
      </c>
      <c r="M87" s="305"/>
      <c r="N87" s="4"/>
      <c r="O87" s="4"/>
      <c r="P87" s="4"/>
      <c r="Q87" s="4"/>
      <c r="R87" s="4"/>
      <c r="S87" s="4"/>
    </row>
    <row r="88" spans="1:19" x14ac:dyDescent="0.2">
      <c r="A88" s="269"/>
      <c r="B88" s="274"/>
      <c r="C88" s="169">
        <f>A279</f>
        <v>95</v>
      </c>
      <c r="D88" s="168">
        <f>B279</f>
        <v>0</v>
      </c>
      <c r="E88" s="320"/>
      <c r="F88" s="316"/>
      <c r="G88" s="317"/>
      <c r="H88" s="312"/>
      <c r="I88" s="271"/>
      <c r="J88" s="276"/>
      <c r="K88" s="189">
        <f t="shared" si="11"/>
        <v>95</v>
      </c>
      <c r="L88" s="190">
        <f t="shared" si="11"/>
        <v>0</v>
      </c>
      <c r="M88" s="305"/>
      <c r="N88" s="4"/>
      <c r="O88" s="4"/>
      <c r="P88" s="4"/>
      <c r="Q88" s="4"/>
      <c r="R88" s="4"/>
      <c r="S88" s="4"/>
    </row>
    <row r="89" spans="1:19" ht="13.5" thickBot="1" x14ac:dyDescent="0.25">
      <c r="A89" s="279"/>
      <c r="B89" s="280"/>
      <c r="C89" s="173">
        <f>A280</f>
        <v>100</v>
      </c>
      <c r="D89" s="172">
        <f>B280</f>
        <v>0</v>
      </c>
      <c r="E89" s="321"/>
      <c r="F89" s="308"/>
      <c r="G89" s="308"/>
      <c r="H89" s="308"/>
      <c r="I89" s="282"/>
      <c r="J89" s="283"/>
      <c r="K89" s="193">
        <f t="shared" si="11"/>
        <v>100</v>
      </c>
      <c r="L89" s="194">
        <f t="shared" si="11"/>
        <v>0</v>
      </c>
      <c r="M89" s="306"/>
      <c r="N89" s="4"/>
      <c r="O89" s="4"/>
      <c r="P89" s="4"/>
      <c r="Q89" s="4"/>
      <c r="R89" s="4"/>
      <c r="S89" s="4"/>
    </row>
    <row r="90" spans="1:19" x14ac:dyDescent="0.2">
      <c r="A90" s="285" t="s">
        <v>64</v>
      </c>
      <c r="B90" s="270" t="str">
        <f>Walk!$B$90</f>
        <v>L Sart</v>
      </c>
      <c r="C90" s="164">
        <f t="shared" ref="C90:D95" si="12">A297</f>
        <v>0</v>
      </c>
      <c r="D90" s="163">
        <f t="shared" si="12"/>
        <v>0</v>
      </c>
      <c r="E90" s="217">
        <f>B294</f>
        <v>60</v>
      </c>
      <c r="F90" s="308"/>
      <c r="G90" s="308"/>
      <c r="H90" s="308"/>
      <c r="I90" s="288" t="s">
        <v>80</v>
      </c>
      <c r="J90" s="272" t="str">
        <f>Walk!$J$90</f>
        <v>R Grac</v>
      </c>
      <c r="K90" s="197">
        <f>A586</f>
        <v>0</v>
      </c>
      <c r="L90" s="198">
        <f>B586</f>
        <v>0</v>
      </c>
      <c r="M90" s="220">
        <f>B583</f>
        <v>60</v>
      </c>
      <c r="N90" s="4"/>
      <c r="O90" s="4"/>
      <c r="P90" s="4"/>
      <c r="Q90" s="4"/>
      <c r="R90" s="4"/>
      <c r="S90" s="4"/>
    </row>
    <row r="91" spans="1:19" x14ac:dyDescent="0.2">
      <c r="A91" s="269"/>
      <c r="B91" s="274"/>
      <c r="C91" s="169">
        <f t="shared" si="12"/>
        <v>10</v>
      </c>
      <c r="D91" s="168">
        <f t="shared" si="12"/>
        <v>0</v>
      </c>
      <c r="E91" s="274"/>
      <c r="F91" s="308"/>
      <c r="G91" s="308"/>
      <c r="H91" s="308"/>
      <c r="I91" s="271"/>
      <c r="J91" s="276"/>
      <c r="K91" s="189">
        <f t="shared" ref="K91:L97" si="13">A587</f>
        <v>10</v>
      </c>
      <c r="L91" s="190">
        <f t="shared" si="13"/>
        <v>0</v>
      </c>
      <c r="M91" s="276"/>
      <c r="N91" s="4"/>
      <c r="O91" s="4"/>
      <c r="P91" s="4"/>
      <c r="Q91" s="4"/>
      <c r="R91" s="4"/>
      <c r="S91" s="4"/>
    </row>
    <row r="92" spans="1:19" x14ac:dyDescent="0.2">
      <c r="A92" s="298"/>
      <c r="B92" s="299"/>
      <c r="C92" s="169">
        <f t="shared" si="12"/>
        <v>50</v>
      </c>
      <c r="D92" s="168">
        <f t="shared" si="12"/>
        <v>0</v>
      </c>
      <c r="E92" s="274"/>
      <c r="F92" s="308"/>
      <c r="G92" s="308"/>
      <c r="H92" s="308"/>
      <c r="I92" s="271"/>
      <c r="J92" s="276"/>
      <c r="K92" s="189">
        <f t="shared" si="13"/>
        <v>50</v>
      </c>
      <c r="L92" s="190">
        <f t="shared" si="13"/>
        <v>0</v>
      </c>
      <c r="M92" s="276"/>
      <c r="N92" s="4"/>
      <c r="O92" s="4"/>
      <c r="P92" s="4"/>
      <c r="Q92" s="4"/>
      <c r="R92" s="4"/>
      <c r="S92" s="4"/>
    </row>
    <row r="93" spans="1:19" x14ac:dyDescent="0.2">
      <c r="A93" s="298"/>
      <c r="B93" s="299"/>
      <c r="C93" s="169">
        <f t="shared" si="12"/>
        <v>75</v>
      </c>
      <c r="D93" s="168">
        <f t="shared" si="12"/>
        <v>0</v>
      </c>
      <c r="E93" s="274"/>
      <c r="F93" s="308"/>
      <c r="G93" s="308"/>
      <c r="H93" s="308"/>
      <c r="I93" s="271"/>
      <c r="J93" s="276"/>
      <c r="K93" s="189">
        <f t="shared" si="13"/>
        <v>75</v>
      </c>
      <c r="L93" s="190">
        <f t="shared" si="13"/>
        <v>0</v>
      </c>
      <c r="M93" s="276"/>
      <c r="N93" s="4"/>
      <c r="O93" s="4"/>
      <c r="P93" s="4"/>
      <c r="Q93" s="4"/>
      <c r="R93" s="4"/>
      <c r="S93" s="4"/>
    </row>
    <row r="94" spans="1:19" x14ac:dyDescent="0.2">
      <c r="A94" s="298"/>
      <c r="B94" s="299"/>
      <c r="C94" s="169">
        <f t="shared" si="12"/>
        <v>88</v>
      </c>
      <c r="D94" s="168">
        <f t="shared" si="12"/>
        <v>0</v>
      </c>
      <c r="E94" s="274"/>
      <c r="F94" s="308"/>
      <c r="G94" s="308"/>
      <c r="H94" s="308"/>
      <c r="I94" s="271"/>
      <c r="J94" s="276"/>
      <c r="K94" s="189">
        <f t="shared" si="13"/>
        <v>88</v>
      </c>
      <c r="L94" s="190">
        <f t="shared" si="13"/>
        <v>0</v>
      </c>
      <c r="M94" s="276"/>
      <c r="N94" s="4"/>
      <c r="O94" s="4"/>
      <c r="P94" s="4"/>
      <c r="Q94" s="4"/>
      <c r="R94" s="4"/>
      <c r="S94" s="4"/>
    </row>
    <row r="95" spans="1:19" x14ac:dyDescent="0.2">
      <c r="A95" s="298"/>
      <c r="B95" s="299"/>
      <c r="C95" s="169">
        <f t="shared" si="12"/>
        <v>94</v>
      </c>
      <c r="D95" s="168">
        <f t="shared" si="12"/>
        <v>0</v>
      </c>
      <c r="E95" s="274"/>
      <c r="F95" s="308"/>
      <c r="G95" s="308"/>
      <c r="H95" s="308"/>
      <c r="I95" s="271"/>
      <c r="J95" s="276"/>
      <c r="K95" s="189">
        <f t="shared" si="13"/>
        <v>94</v>
      </c>
      <c r="L95" s="190">
        <f t="shared" si="13"/>
        <v>0</v>
      </c>
      <c r="M95" s="276"/>
      <c r="N95" s="4"/>
      <c r="O95" s="4"/>
      <c r="P95" s="4"/>
      <c r="Q95" s="4"/>
      <c r="R95" s="4"/>
      <c r="S95" s="4"/>
    </row>
    <row r="96" spans="1:19" x14ac:dyDescent="0.2">
      <c r="A96" s="298"/>
      <c r="B96" s="299"/>
      <c r="C96" s="169">
        <f>A303</f>
        <v>95</v>
      </c>
      <c r="D96" s="168">
        <f>B303</f>
        <v>0</v>
      </c>
      <c r="E96" s="274"/>
      <c r="F96" s="308"/>
      <c r="G96" s="308"/>
      <c r="H96" s="308"/>
      <c r="I96" s="271"/>
      <c r="J96" s="276"/>
      <c r="K96" s="189">
        <f t="shared" si="13"/>
        <v>95</v>
      </c>
      <c r="L96" s="190">
        <f t="shared" si="13"/>
        <v>0</v>
      </c>
      <c r="M96" s="276"/>
      <c r="N96" s="4"/>
      <c r="O96" s="4"/>
      <c r="P96" s="4"/>
      <c r="Q96" s="4"/>
      <c r="R96" s="4"/>
      <c r="S96" s="4"/>
    </row>
    <row r="97" spans="1:19" ht="13.5" thickBot="1" x14ac:dyDescent="0.25">
      <c r="A97" s="298"/>
      <c r="B97" s="299"/>
      <c r="C97" s="178">
        <f>A304</f>
        <v>100</v>
      </c>
      <c r="D97" s="236">
        <f>B304</f>
        <v>0</v>
      </c>
      <c r="E97" s="274"/>
      <c r="F97" s="312"/>
      <c r="G97" s="308"/>
      <c r="H97" s="308"/>
      <c r="I97" s="282"/>
      <c r="J97" s="283"/>
      <c r="K97" s="193">
        <f t="shared" si="13"/>
        <v>100</v>
      </c>
      <c r="L97" s="194">
        <f t="shared" si="13"/>
        <v>0</v>
      </c>
      <c r="M97" s="283"/>
      <c r="N97" s="4"/>
      <c r="O97" s="4"/>
      <c r="P97" s="4"/>
      <c r="Q97" s="4"/>
      <c r="R97" s="4"/>
      <c r="S97" s="4"/>
    </row>
    <row r="98" spans="1:19" x14ac:dyDescent="0.2">
      <c r="A98" s="285" t="s">
        <v>65</v>
      </c>
      <c r="B98" s="286" t="str">
        <f>Walk!$B$98</f>
        <v>L TA/Per</v>
      </c>
      <c r="C98" s="176">
        <f t="shared" ref="C98:D103" si="14">A321</f>
        <v>0</v>
      </c>
      <c r="D98" s="181">
        <f t="shared" si="14"/>
        <v>0</v>
      </c>
      <c r="E98" s="322">
        <f>B318</f>
        <v>60</v>
      </c>
      <c r="F98" s="312"/>
      <c r="G98" s="308"/>
      <c r="H98" s="308"/>
      <c r="I98" s="271" t="s">
        <v>81</v>
      </c>
      <c r="J98" s="272" t="str">
        <f>Walk!$J$98</f>
        <v>R TA</v>
      </c>
      <c r="K98" s="199">
        <f>A610</f>
        <v>0</v>
      </c>
      <c r="L98" s="198">
        <f>B610</f>
        <v>0</v>
      </c>
      <c r="M98" s="304">
        <f>B607</f>
        <v>60</v>
      </c>
      <c r="N98" s="4"/>
      <c r="O98" s="4"/>
      <c r="P98" s="4"/>
      <c r="Q98" s="4"/>
      <c r="R98" s="4"/>
      <c r="S98" s="4"/>
    </row>
    <row r="99" spans="1:19" x14ac:dyDescent="0.2">
      <c r="A99" s="269"/>
      <c r="B99" s="274"/>
      <c r="C99" s="169">
        <f t="shared" si="14"/>
        <v>10</v>
      </c>
      <c r="D99" s="168">
        <f t="shared" si="14"/>
        <v>0</v>
      </c>
      <c r="E99" s="320"/>
      <c r="F99" s="323"/>
      <c r="G99" s="323"/>
      <c r="H99" s="308"/>
      <c r="I99" s="271"/>
      <c r="J99" s="276"/>
      <c r="K99" s="191">
        <f t="shared" ref="K99:L105" si="15">A611</f>
        <v>10</v>
      </c>
      <c r="L99" s="190">
        <f t="shared" si="15"/>
        <v>0</v>
      </c>
      <c r="M99" s="305"/>
      <c r="N99" s="4"/>
      <c r="O99" s="4"/>
      <c r="P99" s="4"/>
      <c r="Q99" s="4"/>
      <c r="R99" s="4"/>
      <c r="S99" s="4"/>
    </row>
    <row r="100" spans="1:19" ht="12.75" customHeight="1" x14ac:dyDescent="0.25">
      <c r="A100" s="269"/>
      <c r="B100" s="274"/>
      <c r="C100" s="169">
        <f t="shared" si="14"/>
        <v>50</v>
      </c>
      <c r="D100" s="168">
        <f t="shared" si="14"/>
        <v>0</v>
      </c>
      <c r="E100" s="320"/>
      <c r="F100" s="329"/>
      <c r="G100" s="323"/>
      <c r="H100" s="308"/>
      <c r="I100" s="271"/>
      <c r="J100" s="276"/>
      <c r="K100" s="191">
        <f t="shared" si="15"/>
        <v>50</v>
      </c>
      <c r="L100" s="190">
        <f t="shared" si="15"/>
        <v>0</v>
      </c>
      <c r="M100" s="305"/>
      <c r="N100" s="4"/>
      <c r="O100" s="4"/>
      <c r="P100" s="4"/>
      <c r="Q100" s="4"/>
      <c r="R100" s="4"/>
      <c r="S100" s="4"/>
    </row>
    <row r="101" spans="1:19" ht="12.75" customHeight="1" x14ac:dyDescent="0.25">
      <c r="A101" s="269"/>
      <c r="B101" s="274"/>
      <c r="C101" s="169">
        <f t="shared" si="14"/>
        <v>75</v>
      </c>
      <c r="D101" s="168">
        <f t="shared" si="14"/>
        <v>0</v>
      </c>
      <c r="E101" s="320"/>
      <c r="F101" s="329"/>
      <c r="G101" s="323"/>
      <c r="H101" s="308"/>
      <c r="I101" s="271"/>
      <c r="J101" s="276"/>
      <c r="K101" s="191">
        <f t="shared" si="15"/>
        <v>75</v>
      </c>
      <c r="L101" s="190">
        <f t="shared" si="15"/>
        <v>0</v>
      </c>
      <c r="M101" s="305"/>
      <c r="N101" s="4"/>
      <c r="O101" s="4"/>
      <c r="P101" s="4"/>
      <c r="Q101" s="4"/>
      <c r="R101" s="4"/>
      <c r="S101" s="4"/>
    </row>
    <row r="102" spans="1:19" x14ac:dyDescent="0.2">
      <c r="A102" s="269"/>
      <c r="B102" s="274"/>
      <c r="C102" s="169">
        <f t="shared" si="14"/>
        <v>88</v>
      </c>
      <c r="D102" s="168">
        <f t="shared" si="14"/>
        <v>0</v>
      </c>
      <c r="E102" s="320"/>
      <c r="F102" s="323"/>
      <c r="G102" s="323"/>
      <c r="H102" s="308"/>
      <c r="I102" s="271"/>
      <c r="J102" s="276"/>
      <c r="K102" s="191">
        <f t="shared" si="15"/>
        <v>88</v>
      </c>
      <c r="L102" s="190">
        <f t="shared" si="15"/>
        <v>0</v>
      </c>
      <c r="M102" s="305"/>
      <c r="N102" s="4"/>
      <c r="O102" s="4"/>
      <c r="P102" s="4"/>
      <c r="Q102" s="4"/>
      <c r="R102" s="4"/>
      <c r="S102" s="4"/>
    </row>
    <row r="103" spans="1:19" x14ac:dyDescent="0.2">
      <c r="A103" s="269"/>
      <c r="B103" s="274"/>
      <c r="C103" s="169">
        <f t="shared" si="14"/>
        <v>94</v>
      </c>
      <c r="D103" s="168">
        <f t="shared" si="14"/>
        <v>0</v>
      </c>
      <c r="E103" s="320"/>
      <c r="F103" s="323"/>
      <c r="G103" s="323"/>
      <c r="H103" s="308"/>
      <c r="I103" s="271"/>
      <c r="J103" s="276"/>
      <c r="K103" s="191">
        <f t="shared" si="15"/>
        <v>94</v>
      </c>
      <c r="L103" s="190">
        <f t="shared" si="15"/>
        <v>0</v>
      </c>
      <c r="M103" s="305"/>
      <c r="N103" s="4"/>
      <c r="O103" s="4"/>
      <c r="P103" s="4"/>
      <c r="Q103" s="4"/>
      <c r="R103" s="4"/>
      <c r="S103" s="4"/>
    </row>
    <row r="104" spans="1:19" x14ac:dyDescent="0.2">
      <c r="A104" s="269"/>
      <c r="B104" s="274"/>
      <c r="C104" s="169">
        <f>A327</f>
        <v>95</v>
      </c>
      <c r="D104" s="168">
        <f>B327</f>
        <v>0</v>
      </c>
      <c r="E104" s="320"/>
      <c r="F104" s="323"/>
      <c r="G104" s="323"/>
      <c r="H104" s="308"/>
      <c r="I104" s="271"/>
      <c r="J104" s="276"/>
      <c r="K104" s="191">
        <f t="shared" si="15"/>
        <v>95</v>
      </c>
      <c r="L104" s="190">
        <f t="shared" si="15"/>
        <v>0</v>
      </c>
      <c r="M104" s="305"/>
      <c r="N104" s="4"/>
      <c r="O104" s="4"/>
      <c r="P104" s="4"/>
      <c r="Q104" s="4"/>
      <c r="R104" s="4"/>
      <c r="S104" s="4"/>
    </row>
    <row r="105" spans="1:19" ht="13.5" thickBot="1" x14ac:dyDescent="0.25">
      <c r="A105" s="279"/>
      <c r="B105" s="280"/>
      <c r="C105" s="173">
        <f>A328</f>
        <v>100</v>
      </c>
      <c r="D105" s="172">
        <f>B328</f>
        <v>0</v>
      </c>
      <c r="E105" s="321"/>
      <c r="F105" s="323"/>
      <c r="G105" s="323"/>
      <c r="H105" s="308"/>
      <c r="I105" s="271"/>
      <c r="J105" s="276"/>
      <c r="K105" s="201">
        <f t="shared" si="15"/>
        <v>100</v>
      </c>
      <c r="L105" s="194">
        <f t="shared" si="15"/>
        <v>0</v>
      </c>
      <c r="M105" s="306"/>
      <c r="N105" s="4"/>
      <c r="O105" s="4"/>
      <c r="P105" s="4"/>
      <c r="Q105" s="4"/>
      <c r="R105" s="4"/>
      <c r="S105" s="4"/>
    </row>
    <row r="106" spans="1:19" x14ac:dyDescent="0.2">
      <c r="A106" s="285" t="s">
        <v>67</v>
      </c>
      <c r="B106" s="270" t="str">
        <f>Walk!$B$106</f>
        <v>N/A</v>
      </c>
      <c r="C106" s="176">
        <f>A345</f>
        <v>0</v>
      </c>
      <c r="D106" s="181">
        <f>B345</f>
        <v>0</v>
      </c>
      <c r="E106" s="218">
        <f>B342</f>
        <v>60</v>
      </c>
      <c r="F106" s="323"/>
      <c r="G106" s="323"/>
      <c r="H106" s="308"/>
      <c r="I106" s="288" t="s">
        <v>82</v>
      </c>
      <c r="J106" s="272" t="str">
        <f>Walk!$J$106</f>
        <v>N/A</v>
      </c>
      <c r="K106" s="189">
        <f>A634</f>
        <v>0</v>
      </c>
      <c r="L106" s="192">
        <f>B634</f>
        <v>0</v>
      </c>
      <c r="M106" s="220">
        <f>B631</f>
        <v>60</v>
      </c>
      <c r="N106" s="4"/>
      <c r="O106" s="4"/>
      <c r="P106" s="4"/>
      <c r="Q106" s="4"/>
      <c r="R106" s="4"/>
      <c r="S106" s="4"/>
    </row>
    <row r="107" spans="1:19" x14ac:dyDescent="0.2">
      <c r="A107" s="269"/>
      <c r="B107" s="274"/>
      <c r="C107" s="164">
        <f t="shared" ref="C107:D113" si="16">A346</f>
        <v>7.89</v>
      </c>
      <c r="D107" s="163">
        <f t="shared" si="16"/>
        <v>0</v>
      </c>
      <c r="E107" s="274"/>
      <c r="F107" s="323"/>
      <c r="G107" s="323"/>
      <c r="H107" s="308"/>
      <c r="I107" s="271"/>
      <c r="J107" s="276"/>
      <c r="K107" s="206">
        <f t="shared" ref="K107:L113" si="17">A635</f>
        <v>7.89</v>
      </c>
      <c r="L107" s="207">
        <f t="shared" si="17"/>
        <v>0</v>
      </c>
      <c r="M107" s="276"/>
      <c r="N107" s="4"/>
      <c r="O107" s="4"/>
      <c r="P107" s="4"/>
      <c r="Q107" s="4"/>
      <c r="R107" s="4"/>
      <c r="S107" s="4"/>
    </row>
    <row r="108" spans="1:19" x14ac:dyDescent="0.2">
      <c r="A108" s="269"/>
      <c r="B108" s="274"/>
      <c r="C108" s="164">
        <f t="shared" si="16"/>
        <v>20</v>
      </c>
      <c r="D108" s="163">
        <f t="shared" si="16"/>
        <v>0</v>
      </c>
      <c r="E108" s="274"/>
      <c r="F108" s="323"/>
      <c r="G108" s="323"/>
      <c r="H108" s="308"/>
      <c r="I108" s="271"/>
      <c r="J108" s="276"/>
      <c r="K108" s="206">
        <f t="shared" si="17"/>
        <v>20</v>
      </c>
      <c r="L108" s="207">
        <f t="shared" si="17"/>
        <v>0</v>
      </c>
      <c r="M108" s="276"/>
      <c r="N108" s="4"/>
      <c r="O108" s="4"/>
      <c r="P108" s="4"/>
      <c r="Q108" s="4"/>
      <c r="R108" s="4"/>
      <c r="S108" s="4"/>
    </row>
    <row r="109" spans="1:19" x14ac:dyDescent="0.2">
      <c r="A109" s="269"/>
      <c r="B109" s="274"/>
      <c r="C109" s="164">
        <f t="shared" si="16"/>
        <v>55.26</v>
      </c>
      <c r="D109" s="163">
        <f t="shared" si="16"/>
        <v>0</v>
      </c>
      <c r="E109" s="274"/>
      <c r="F109" s="323"/>
      <c r="G109" s="323"/>
      <c r="H109" s="308"/>
      <c r="I109" s="271"/>
      <c r="J109" s="276"/>
      <c r="K109" s="206">
        <f t="shared" si="17"/>
        <v>55.26</v>
      </c>
      <c r="L109" s="207">
        <f t="shared" si="17"/>
        <v>0</v>
      </c>
      <c r="M109" s="276"/>
      <c r="N109" s="4"/>
      <c r="O109" s="4"/>
      <c r="P109" s="4"/>
      <c r="Q109" s="4"/>
      <c r="R109" s="4"/>
      <c r="S109" s="4"/>
    </row>
    <row r="110" spans="1:19" x14ac:dyDescent="0.2">
      <c r="A110" s="269"/>
      <c r="B110" s="274"/>
      <c r="C110" s="164">
        <f t="shared" si="16"/>
        <v>60</v>
      </c>
      <c r="D110" s="163">
        <f t="shared" si="16"/>
        <v>0</v>
      </c>
      <c r="E110" s="274"/>
      <c r="F110" s="323"/>
      <c r="G110" s="323"/>
      <c r="H110" s="308"/>
      <c r="I110" s="271"/>
      <c r="J110" s="276"/>
      <c r="K110" s="206">
        <f t="shared" si="17"/>
        <v>60</v>
      </c>
      <c r="L110" s="207">
        <f t="shared" si="17"/>
        <v>0</v>
      </c>
      <c r="M110" s="276"/>
      <c r="N110" s="4"/>
      <c r="O110" s="4"/>
      <c r="P110" s="4"/>
      <c r="Q110" s="4"/>
      <c r="R110" s="4"/>
      <c r="S110" s="4"/>
    </row>
    <row r="111" spans="1:19" x14ac:dyDescent="0.2">
      <c r="A111" s="269"/>
      <c r="B111" s="274"/>
      <c r="C111" s="164">
        <f t="shared" si="16"/>
        <v>65</v>
      </c>
      <c r="D111" s="163">
        <f t="shared" si="16"/>
        <v>0</v>
      </c>
      <c r="E111" s="274"/>
      <c r="F111" s="323"/>
      <c r="G111" s="323"/>
      <c r="H111" s="308"/>
      <c r="I111" s="271"/>
      <c r="J111" s="276"/>
      <c r="K111" s="206">
        <f t="shared" si="17"/>
        <v>65</v>
      </c>
      <c r="L111" s="207">
        <f t="shared" si="17"/>
        <v>0</v>
      </c>
      <c r="M111" s="276"/>
      <c r="N111" s="4"/>
      <c r="O111" s="4"/>
      <c r="P111" s="4"/>
      <c r="Q111" s="4"/>
      <c r="R111" s="4"/>
      <c r="S111" s="4"/>
    </row>
    <row r="112" spans="1:19" x14ac:dyDescent="0.2">
      <c r="A112" s="298"/>
      <c r="B112" s="299"/>
      <c r="C112" s="164">
        <f t="shared" si="16"/>
        <v>71.05</v>
      </c>
      <c r="D112" s="163">
        <f t="shared" si="16"/>
        <v>0</v>
      </c>
      <c r="E112" s="274"/>
      <c r="F112" s="323"/>
      <c r="G112" s="323"/>
      <c r="H112" s="308"/>
      <c r="I112" s="271"/>
      <c r="J112" s="276"/>
      <c r="K112" s="206">
        <f t="shared" si="17"/>
        <v>71.05</v>
      </c>
      <c r="L112" s="207">
        <f t="shared" si="17"/>
        <v>0</v>
      </c>
      <c r="M112" s="276"/>
      <c r="N112" s="4"/>
      <c r="O112" s="4"/>
      <c r="P112" s="4"/>
      <c r="Q112" s="4"/>
      <c r="R112" s="4"/>
      <c r="S112" s="4"/>
    </row>
    <row r="113" spans="1:19" ht="13.5" thickBot="1" x14ac:dyDescent="0.25">
      <c r="A113" s="301"/>
      <c r="B113" s="302"/>
      <c r="C113" s="186">
        <f t="shared" si="16"/>
        <v>100</v>
      </c>
      <c r="D113" s="183">
        <f t="shared" si="16"/>
        <v>0</v>
      </c>
      <c r="E113" s="280"/>
      <c r="F113" s="323"/>
      <c r="G113" s="323"/>
      <c r="H113" s="308"/>
      <c r="I113" s="271"/>
      <c r="J113" s="276"/>
      <c r="K113" s="211">
        <f t="shared" si="17"/>
        <v>100</v>
      </c>
      <c r="L113" s="212">
        <f t="shared" si="17"/>
        <v>0</v>
      </c>
      <c r="M113" s="283"/>
      <c r="N113" s="4"/>
      <c r="O113" s="4"/>
      <c r="P113" s="4"/>
      <c r="Q113" s="4"/>
      <c r="R113" s="4"/>
      <c r="S113" s="4"/>
    </row>
    <row r="114" spans="1:19" x14ac:dyDescent="0.2">
      <c r="A114" s="303" t="s">
        <v>68</v>
      </c>
      <c r="B114" s="270" t="str">
        <f>Walk!$B$114</f>
        <v>N/A</v>
      </c>
      <c r="C114" s="176">
        <f>A369</f>
        <v>0</v>
      </c>
      <c r="D114" s="181">
        <f>B369</f>
        <v>0</v>
      </c>
      <c r="E114" s="322">
        <f>B366</f>
        <v>60</v>
      </c>
      <c r="F114" s="323"/>
      <c r="G114" s="323"/>
      <c r="H114" s="308"/>
      <c r="I114" s="288" t="s">
        <v>86</v>
      </c>
      <c r="J114" s="272" t="str">
        <f>Walk!$J$114</f>
        <v>N/A</v>
      </c>
      <c r="K114" s="197">
        <f>A658</f>
        <v>0</v>
      </c>
      <c r="L114" s="198">
        <f>B658</f>
        <v>0</v>
      </c>
      <c r="M114" s="304">
        <f>B655</f>
        <v>60</v>
      </c>
      <c r="N114" s="4"/>
      <c r="O114" s="4"/>
      <c r="P114" s="4"/>
      <c r="Q114" s="4"/>
      <c r="R114" s="4"/>
      <c r="S114" s="4"/>
    </row>
    <row r="115" spans="1:19" x14ac:dyDescent="0.2">
      <c r="A115" s="298"/>
      <c r="B115" s="299"/>
      <c r="C115" s="164">
        <f t="shared" ref="C115:D121" si="18">A370</f>
        <v>7.89</v>
      </c>
      <c r="D115" s="163">
        <f t="shared" si="18"/>
        <v>0</v>
      </c>
      <c r="E115" s="320"/>
      <c r="F115" s="323"/>
      <c r="G115" s="323"/>
      <c r="H115" s="308"/>
      <c r="I115" s="271"/>
      <c r="J115" s="276"/>
      <c r="K115" s="189">
        <f t="shared" ref="K115:L121" si="19">A659</f>
        <v>7.89</v>
      </c>
      <c r="L115" s="190">
        <f t="shared" si="19"/>
        <v>0</v>
      </c>
      <c r="M115" s="305"/>
      <c r="N115" s="4"/>
      <c r="O115" s="4"/>
      <c r="P115" s="4"/>
      <c r="Q115" s="4"/>
      <c r="R115" s="4"/>
      <c r="S115" s="4"/>
    </row>
    <row r="116" spans="1:19" x14ac:dyDescent="0.2">
      <c r="A116" s="298"/>
      <c r="B116" s="299"/>
      <c r="C116" s="164">
        <f t="shared" si="18"/>
        <v>20</v>
      </c>
      <c r="D116" s="163">
        <f t="shared" si="18"/>
        <v>0</v>
      </c>
      <c r="E116" s="320"/>
      <c r="F116" s="323"/>
      <c r="G116" s="323"/>
      <c r="H116" s="308"/>
      <c r="I116" s="271"/>
      <c r="J116" s="276"/>
      <c r="K116" s="189">
        <f t="shared" si="19"/>
        <v>20</v>
      </c>
      <c r="L116" s="190">
        <f t="shared" si="19"/>
        <v>0</v>
      </c>
      <c r="M116" s="305"/>
      <c r="N116" s="4"/>
      <c r="O116" s="4"/>
      <c r="P116" s="4"/>
      <c r="Q116" s="4"/>
      <c r="R116" s="4"/>
      <c r="S116" s="4"/>
    </row>
    <row r="117" spans="1:19" x14ac:dyDescent="0.2">
      <c r="A117" s="298"/>
      <c r="B117" s="299"/>
      <c r="C117" s="164">
        <f t="shared" si="18"/>
        <v>55.26</v>
      </c>
      <c r="D117" s="163">
        <f t="shared" si="18"/>
        <v>0</v>
      </c>
      <c r="E117" s="320"/>
      <c r="F117" s="323"/>
      <c r="G117" s="323"/>
      <c r="H117" s="308"/>
      <c r="I117" s="271"/>
      <c r="J117" s="276"/>
      <c r="K117" s="189">
        <f t="shared" si="19"/>
        <v>55.26</v>
      </c>
      <c r="L117" s="190">
        <f t="shared" si="19"/>
        <v>0</v>
      </c>
      <c r="M117" s="305"/>
      <c r="N117" s="4"/>
      <c r="O117" s="4"/>
      <c r="P117" s="4"/>
      <c r="Q117" s="4"/>
      <c r="R117" s="4"/>
      <c r="S117" s="4"/>
    </row>
    <row r="118" spans="1:19" x14ac:dyDescent="0.2">
      <c r="A118" s="269"/>
      <c r="B118" s="274"/>
      <c r="C118" s="164">
        <f t="shared" si="18"/>
        <v>60</v>
      </c>
      <c r="D118" s="163">
        <f t="shared" si="18"/>
        <v>0</v>
      </c>
      <c r="E118" s="320"/>
      <c r="F118" s="323"/>
      <c r="G118" s="323"/>
      <c r="H118" s="308"/>
      <c r="I118" s="271"/>
      <c r="J118" s="276"/>
      <c r="K118" s="189">
        <f t="shared" si="19"/>
        <v>60</v>
      </c>
      <c r="L118" s="190">
        <f t="shared" si="19"/>
        <v>0</v>
      </c>
      <c r="M118" s="305"/>
      <c r="N118" s="4"/>
      <c r="O118" s="4"/>
      <c r="P118" s="4"/>
      <c r="Q118" s="4"/>
      <c r="R118" s="4"/>
      <c r="S118" s="4"/>
    </row>
    <row r="119" spans="1:19" x14ac:dyDescent="0.2">
      <c r="A119" s="269"/>
      <c r="B119" s="274"/>
      <c r="C119" s="164">
        <f t="shared" si="18"/>
        <v>65</v>
      </c>
      <c r="D119" s="163">
        <f t="shared" si="18"/>
        <v>0</v>
      </c>
      <c r="E119" s="320"/>
      <c r="F119" s="323"/>
      <c r="G119" s="323"/>
      <c r="H119" s="308"/>
      <c r="I119" s="271"/>
      <c r="J119" s="276"/>
      <c r="K119" s="189">
        <f t="shared" si="19"/>
        <v>65</v>
      </c>
      <c r="L119" s="190">
        <f t="shared" si="19"/>
        <v>0</v>
      </c>
      <c r="M119" s="305"/>
      <c r="N119" s="4"/>
      <c r="O119" s="4"/>
      <c r="P119" s="4"/>
      <c r="Q119" s="4"/>
      <c r="R119" s="4"/>
      <c r="S119" s="4"/>
    </row>
    <row r="120" spans="1:19" x14ac:dyDescent="0.2">
      <c r="A120" s="269"/>
      <c r="B120" s="274"/>
      <c r="C120" s="164">
        <f t="shared" si="18"/>
        <v>71.05</v>
      </c>
      <c r="D120" s="163">
        <f t="shared" si="18"/>
        <v>0</v>
      </c>
      <c r="E120" s="320"/>
      <c r="F120" s="323"/>
      <c r="G120" s="323"/>
      <c r="H120" s="308"/>
      <c r="I120" s="271"/>
      <c r="J120" s="276"/>
      <c r="K120" s="189">
        <f t="shared" si="19"/>
        <v>71.05</v>
      </c>
      <c r="L120" s="190">
        <f t="shared" si="19"/>
        <v>0</v>
      </c>
      <c r="M120" s="305"/>
      <c r="N120" s="4"/>
      <c r="O120" s="4"/>
      <c r="P120" s="4"/>
      <c r="Q120" s="4"/>
      <c r="R120" s="4"/>
      <c r="S120" s="4"/>
    </row>
    <row r="121" spans="1:19" ht="13.5" thickBot="1" x14ac:dyDescent="0.25">
      <c r="A121" s="279"/>
      <c r="B121" s="280"/>
      <c r="C121" s="186">
        <f t="shared" si="18"/>
        <v>100</v>
      </c>
      <c r="D121" s="183">
        <f t="shared" si="18"/>
        <v>0</v>
      </c>
      <c r="E121" s="321"/>
      <c r="F121" s="323"/>
      <c r="G121" s="323"/>
      <c r="H121" s="308"/>
      <c r="I121" s="282"/>
      <c r="J121" s="283"/>
      <c r="K121" s="193">
        <f t="shared" si="19"/>
        <v>100</v>
      </c>
      <c r="L121" s="194">
        <f t="shared" si="19"/>
        <v>0</v>
      </c>
      <c r="M121" s="306"/>
      <c r="N121" s="4"/>
      <c r="O121" s="4"/>
      <c r="P121" s="4"/>
      <c r="Q121" s="4"/>
      <c r="R121" s="4"/>
      <c r="S121" s="4"/>
    </row>
    <row r="122" spans="1:19" x14ac:dyDescent="0.2">
      <c r="A122" s="285" t="s">
        <v>71</v>
      </c>
      <c r="B122" s="270" t="str">
        <f>Walk!$B$122</f>
        <v>N/A</v>
      </c>
      <c r="C122" s="176">
        <f>A393</f>
        <v>0</v>
      </c>
      <c r="D122" s="181">
        <f>B393</f>
        <v>0</v>
      </c>
      <c r="E122" s="218">
        <f>B390</f>
        <v>60</v>
      </c>
      <c r="F122" s="323"/>
      <c r="G122" s="323"/>
      <c r="H122" s="308"/>
      <c r="I122" s="271" t="s">
        <v>87</v>
      </c>
      <c r="J122" s="272" t="str">
        <f>Walk!$J$122</f>
        <v>N/A</v>
      </c>
      <c r="K122" s="189">
        <f>A682</f>
        <v>0</v>
      </c>
      <c r="L122" s="192">
        <f>B682</f>
        <v>0</v>
      </c>
      <c r="M122" s="220">
        <f>B679</f>
        <v>60</v>
      </c>
      <c r="N122" s="4"/>
      <c r="O122" s="4"/>
      <c r="P122" s="4"/>
      <c r="Q122" s="4"/>
      <c r="R122" s="4"/>
      <c r="S122" s="4"/>
    </row>
    <row r="123" spans="1:19" x14ac:dyDescent="0.2">
      <c r="A123" s="269"/>
      <c r="B123" s="274"/>
      <c r="C123" s="164">
        <f t="shared" ref="C123:D129" si="20">A394</f>
        <v>7.89</v>
      </c>
      <c r="D123" s="163">
        <f t="shared" si="20"/>
        <v>0</v>
      </c>
      <c r="E123" s="274"/>
      <c r="F123" s="323"/>
      <c r="G123" s="323"/>
      <c r="H123" s="308"/>
      <c r="I123" s="271"/>
      <c r="J123" s="276"/>
      <c r="K123" s="206">
        <f t="shared" ref="K123:L129" si="21">A683</f>
        <v>7.89</v>
      </c>
      <c r="L123" s="207">
        <f t="shared" si="21"/>
        <v>0</v>
      </c>
      <c r="M123" s="276"/>
      <c r="N123" s="4"/>
      <c r="O123" s="4"/>
      <c r="P123" s="4"/>
      <c r="Q123" s="4"/>
      <c r="R123" s="4"/>
      <c r="S123" s="4"/>
    </row>
    <row r="124" spans="1:19" x14ac:dyDescent="0.2">
      <c r="A124" s="269"/>
      <c r="B124" s="274"/>
      <c r="C124" s="164">
        <f t="shared" si="20"/>
        <v>20</v>
      </c>
      <c r="D124" s="163">
        <f t="shared" si="20"/>
        <v>0</v>
      </c>
      <c r="E124" s="274"/>
      <c r="F124" s="323"/>
      <c r="G124" s="323"/>
      <c r="H124" s="308"/>
      <c r="I124" s="271"/>
      <c r="J124" s="276"/>
      <c r="K124" s="206">
        <f t="shared" si="21"/>
        <v>20</v>
      </c>
      <c r="L124" s="207">
        <f t="shared" si="21"/>
        <v>0</v>
      </c>
      <c r="M124" s="276"/>
      <c r="N124" s="4"/>
      <c r="O124" s="4"/>
      <c r="P124" s="4"/>
      <c r="Q124" s="4"/>
      <c r="R124" s="4"/>
      <c r="S124" s="4"/>
    </row>
    <row r="125" spans="1:19" x14ac:dyDescent="0.2">
      <c r="A125" s="269"/>
      <c r="B125" s="274"/>
      <c r="C125" s="164">
        <f t="shared" si="20"/>
        <v>55.26</v>
      </c>
      <c r="D125" s="163">
        <f t="shared" si="20"/>
        <v>0</v>
      </c>
      <c r="E125" s="274"/>
      <c r="F125" s="323"/>
      <c r="G125" s="323"/>
      <c r="H125" s="308"/>
      <c r="I125" s="271"/>
      <c r="J125" s="276"/>
      <c r="K125" s="206">
        <f t="shared" si="21"/>
        <v>55.26</v>
      </c>
      <c r="L125" s="207">
        <f t="shared" si="21"/>
        <v>0</v>
      </c>
      <c r="M125" s="276"/>
      <c r="N125" s="4"/>
      <c r="O125" s="4"/>
      <c r="P125" s="4"/>
      <c r="Q125" s="4"/>
      <c r="R125" s="4"/>
      <c r="S125" s="4"/>
    </row>
    <row r="126" spans="1:19" x14ac:dyDescent="0.2">
      <c r="A126" s="269"/>
      <c r="B126" s="274"/>
      <c r="C126" s="164">
        <f t="shared" si="20"/>
        <v>60</v>
      </c>
      <c r="D126" s="163">
        <f t="shared" si="20"/>
        <v>0</v>
      </c>
      <c r="E126" s="274"/>
      <c r="F126" s="323"/>
      <c r="G126" s="323"/>
      <c r="H126" s="308"/>
      <c r="I126" s="271"/>
      <c r="J126" s="276"/>
      <c r="K126" s="206">
        <f t="shared" si="21"/>
        <v>60</v>
      </c>
      <c r="L126" s="207">
        <f t="shared" si="21"/>
        <v>0</v>
      </c>
      <c r="M126" s="276"/>
      <c r="N126" s="4"/>
      <c r="O126" s="4"/>
      <c r="P126" s="4"/>
      <c r="Q126" s="4"/>
      <c r="R126" s="4"/>
      <c r="S126" s="4"/>
    </row>
    <row r="127" spans="1:19" x14ac:dyDescent="0.2">
      <c r="A127" s="269"/>
      <c r="B127" s="274"/>
      <c r="C127" s="164">
        <f t="shared" si="20"/>
        <v>65</v>
      </c>
      <c r="D127" s="163">
        <f t="shared" si="20"/>
        <v>0</v>
      </c>
      <c r="E127" s="274"/>
      <c r="F127" s="323"/>
      <c r="G127" s="323"/>
      <c r="H127" s="308"/>
      <c r="I127" s="271"/>
      <c r="J127" s="276"/>
      <c r="K127" s="206">
        <f t="shared" si="21"/>
        <v>65</v>
      </c>
      <c r="L127" s="207">
        <f t="shared" si="21"/>
        <v>0</v>
      </c>
      <c r="M127" s="276"/>
      <c r="N127" s="4"/>
      <c r="O127" s="4"/>
      <c r="P127" s="4"/>
      <c r="Q127" s="4"/>
      <c r="R127" s="4"/>
      <c r="S127" s="4"/>
    </row>
    <row r="128" spans="1:19" x14ac:dyDescent="0.2">
      <c r="A128" s="269"/>
      <c r="B128" s="274"/>
      <c r="C128" s="164">
        <f t="shared" si="20"/>
        <v>71.05</v>
      </c>
      <c r="D128" s="163">
        <f t="shared" si="20"/>
        <v>0</v>
      </c>
      <c r="E128" s="274"/>
      <c r="F128" s="323"/>
      <c r="G128" s="323"/>
      <c r="H128" s="308"/>
      <c r="I128" s="271"/>
      <c r="J128" s="276"/>
      <c r="K128" s="206">
        <f t="shared" si="21"/>
        <v>71.05</v>
      </c>
      <c r="L128" s="207">
        <f t="shared" si="21"/>
        <v>0</v>
      </c>
      <c r="M128" s="276"/>
      <c r="N128" s="4"/>
      <c r="O128" s="4"/>
      <c r="P128" s="4"/>
      <c r="Q128" s="4"/>
      <c r="R128" s="4"/>
      <c r="S128" s="4"/>
    </row>
    <row r="129" spans="1:19" ht="13.5" thickBot="1" x14ac:dyDescent="0.25">
      <c r="A129" s="279"/>
      <c r="B129" s="280"/>
      <c r="C129" s="186">
        <f t="shared" si="20"/>
        <v>100</v>
      </c>
      <c r="D129" s="183">
        <f t="shared" si="20"/>
        <v>0</v>
      </c>
      <c r="E129" s="280"/>
      <c r="F129" s="323"/>
      <c r="G129" s="323"/>
      <c r="H129" s="308"/>
      <c r="I129" s="271"/>
      <c r="J129" s="276"/>
      <c r="K129" s="211">
        <f t="shared" si="21"/>
        <v>100</v>
      </c>
      <c r="L129" s="212">
        <f t="shared" si="21"/>
        <v>0</v>
      </c>
      <c r="M129" s="276"/>
      <c r="N129" s="4"/>
      <c r="O129" s="4"/>
      <c r="P129" s="4"/>
      <c r="Q129" s="4"/>
      <c r="R129" s="4"/>
      <c r="S129" s="4"/>
    </row>
    <row r="130" spans="1:19" x14ac:dyDescent="0.2">
      <c r="A130" s="285" t="s">
        <v>73</v>
      </c>
      <c r="B130" s="270" t="str">
        <f>Walk!$B$130</f>
        <v>N/A</v>
      </c>
      <c r="C130" s="176">
        <f>A417</f>
        <v>0</v>
      </c>
      <c r="D130" s="181">
        <f>B417</f>
        <v>0</v>
      </c>
      <c r="E130" s="322">
        <f>B414</f>
        <v>60</v>
      </c>
      <c r="F130" s="323"/>
      <c r="G130" s="323"/>
      <c r="H130" s="308"/>
      <c r="I130" s="288" t="s">
        <v>88</v>
      </c>
      <c r="J130" s="272" t="str">
        <f>Walk!$J$130</f>
        <v>N/A</v>
      </c>
      <c r="K130" s="197">
        <f>A706</f>
        <v>0</v>
      </c>
      <c r="L130" s="198">
        <f>B706</f>
        <v>0</v>
      </c>
      <c r="M130" s="304">
        <f>B703</f>
        <v>60</v>
      </c>
      <c r="N130" s="4"/>
      <c r="O130" s="4"/>
      <c r="P130" s="4"/>
      <c r="Q130" s="4"/>
      <c r="R130" s="4"/>
      <c r="S130" s="4"/>
    </row>
    <row r="131" spans="1:19" x14ac:dyDescent="0.2">
      <c r="A131" s="269"/>
      <c r="B131" s="274"/>
      <c r="C131" s="164">
        <f t="shared" ref="C131:D137" si="22">A418</f>
        <v>7.89</v>
      </c>
      <c r="D131" s="163">
        <f t="shared" si="22"/>
        <v>0</v>
      </c>
      <c r="E131" s="320"/>
      <c r="F131" s="323"/>
      <c r="G131" s="323"/>
      <c r="H131" s="308"/>
      <c r="I131" s="271"/>
      <c r="J131" s="276"/>
      <c r="K131" s="189">
        <f t="shared" ref="K131:L137" si="23">A707</f>
        <v>7.89</v>
      </c>
      <c r="L131" s="190">
        <f t="shared" si="23"/>
        <v>0</v>
      </c>
      <c r="M131" s="305"/>
      <c r="N131" s="4"/>
      <c r="O131" s="4"/>
      <c r="P131" s="4"/>
      <c r="Q131" s="4"/>
      <c r="R131" s="4"/>
      <c r="S131" s="4"/>
    </row>
    <row r="132" spans="1:19" x14ac:dyDescent="0.2">
      <c r="A132" s="298"/>
      <c r="B132" s="299"/>
      <c r="C132" s="164">
        <f t="shared" si="22"/>
        <v>20</v>
      </c>
      <c r="D132" s="163">
        <f t="shared" si="22"/>
        <v>0</v>
      </c>
      <c r="E132" s="320"/>
      <c r="F132" s="323"/>
      <c r="G132" s="323"/>
      <c r="H132" s="308"/>
      <c r="I132" s="271"/>
      <c r="J132" s="276"/>
      <c r="K132" s="189">
        <f t="shared" si="23"/>
        <v>20</v>
      </c>
      <c r="L132" s="190">
        <f t="shared" si="23"/>
        <v>0</v>
      </c>
      <c r="M132" s="305"/>
      <c r="N132" s="4"/>
      <c r="O132" s="4"/>
      <c r="P132" s="4"/>
      <c r="Q132" s="4"/>
      <c r="R132" s="4"/>
      <c r="S132" s="4"/>
    </row>
    <row r="133" spans="1:19" x14ac:dyDescent="0.2">
      <c r="A133" s="298"/>
      <c r="B133" s="299"/>
      <c r="C133" s="164">
        <f t="shared" si="22"/>
        <v>55.26</v>
      </c>
      <c r="D133" s="163">
        <f t="shared" si="22"/>
        <v>0</v>
      </c>
      <c r="E133" s="320"/>
      <c r="F133" s="323"/>
      <c r="G133" s="323"/>
      <c r="H133" s="308"/>
      <c r="I133" s="271"/>
      <c r="J133" s="276"/>
      <c r="K133" s="189">
        <f t="shared" si="23"/>
        <v>55.26</v>
      </c>
      <c r="L133" s="190">
        <f t="shared" si="23"/>
        <v>0</v>
      </c>
      <c r="M133" s="305"/>
      <c r="N133" s="4"/>
      <c r="O133" s="4"/>
      <c r="P133" s="4"/>
      <c r="Q133" s="4"/>
      <c r="R133" s="4"/>
      <c r="S133" s="4"/>
    </row>
    <row r="134" spans="1:19" x14ac:dyDescent="0.2">
      <c r="A134" s="298"/>
      <c r="B134" s="299"/>
      <c r="C134" s="164">
        <f t="shared" si="22"/>
        <v>60</v>
      </c>
      <c r="D134" s="163">
        <f t="shared" si="22"/>
        <v>0</v>
      </c>
      <c r="E134" s="320"/>
      <c r="F134" s="323"/>
      <c r="G134" s="323"/>
      <c r="H134" s="308"/>
      <c r="I134" s="271"/>
      <c r="J134" s="276"/>
      <c r="K134" s="189">
        <f t="shared" si="23"/>
        <v>60</v>
      </c>
      <c r="L134" s="190">
        <f t="shared" si="23"/>
        <v>0</v>
      </c>
      <c r="M134" s="305"/>
      <c r="N134" s="4"/>
      <c r="O134" s="4"/>
      <c r="P134" s="4"/>
      <c r="Q134" s="4"/>
      <c r="R134" s="4"/>
      <c r="S134" s="4"/>
    </row>
    <row r="135" spans="1:19" x14ac:dyDescent="0.2">
      <c r="A135" s="298"/>
      <c r="B135" s="299"/>
      <c r="C135" s="164">
        <f t="shared" si="22"/>
        <v>65</v>
      </c>
      <c r="D135" s="163">
        <f t="shared" si="22"/>
        <v>0</v>
      </c>
      <c r="E135" s="320"/>
      <c r="F135" s="323"/>
      <c r="G135" s="323"/>
      <c r="H135" s="308"/>
      <c r="I135" s="271"/>
      <c r="J135" s="276"/>
      <c r="K135" s="189">
        <f t="shared" si="23"/>
        <v>65</v>
      </c>
      <c r="L135" s="190">
        <f t="shared" si="23"/>
        <v>0</v>
      </c>
      <c r="M135" s="305"/>
      <c r="N135" s="4"/>
      <c r="O135" s="4"/>
      <c r="P135" s="4"/>
      <c r="Q135" s="4"/>
      <c r="R135" s="4"/>
      <c r="S135" s="4"/>
    </row>
    <row r="136" spans="1:19" x14ac:dyDescent="0.2">
      <c r="A136" s="298"/>
      <c r="B136" s="299"/>
      <c r="C136" s="164">
        <f t="shared" si="22"/>
        <v>71.05</v>
      </c>
      <c r="D136" s="163">
        <f t="shared" si="22"/>
        <v>0</v>
      </c>
      <c r="E136" s="320"/>
      <c r="F136" s="323"/>
      <c r="G136" s="323"/>
      <c r="H136" s="308"/>
      <c r="I136" s="271"/>
      <c r="J136" s="276"/>
      <c r="K136" s="189">
        <f t="shared" si="23"/>
        <v>71.05</v>
      </c>
      <c r="L136" s="190">
        <f t="shared" si="23"/>
        <v>0</v>
      </c>
      <c r="M136" s="305"/>
      <c r="N136" s="4"/>
      <c r="O136" s="4"/>
      <c r="P136" s="4"/>
      <c r="Q136" s="4"/>
      <c r="R136" s="4"/>
      <c r="S136" s="4"/>
    </row>
    <row r="137" spans="1:19" ht="13.5" thickBot="1" x14ac:dyDescent="0.25">
      <c r="A137" s="301"/>
      <c r="B137" s="302"/>
      <c r="C137" s="186">
        <f t="shared" si="22"/>
        <v>100</v>
      </c>
      <c r="D137" s="183">
        <f t="shared" si="22"/>
        <v>0</v>
      </c>
      <c r="E137" s="321"/>
      <c r="F137" s="323"/>
      <c r="G137" s="323"/>
      <c r="H137" s="308"/>
      <c r="I137" s="282"/>
      <c r="J137" s="283"/>
      <c r="K137" s="193">
        <f t="shared" si="23"/>
        <v>100</v>
      </c>
      <c r="L137" s="194">
        <f t="shared" si="23"/>
        <v>0</v>
      </c>
      <c r="M137" s="306"/>
      <c r="N137" s="4"/>
      <c r="O137" s="4"/>
      <c r="P137" s="4"/>
      <c r="Q137" s="4"/>
      <c r="R137" s="4"/>
      <c r="S137" s="4"/>
    </row>
    <row r="138" spans="1:19" x14ac:dyDescent="0.2">
      <c r="A138" s="316"/>
      <c r="B138" s="317"/>
      <c r="C138" s="323"/>
      <c r="D138" s="323"/>
      <c r="E138" s="323"/>
      <c r="F138" s="323"/>
      <c r="G138" s="323"/>
      <c r="H138" s="308"/>
      <c r="I138" s="308"/>
      <c r="J138" s="308"/>
      <c r="K138" s="308"/>
      <c r="L138" s="308"/>
      <c r="M138" s="308"/>
      <c r="N138" s="4"/>
      <c r="O138" s="4"/>
      <c r="P138" s="4"/>
      <c r="Q138" s="4"/>
      <c r="R138" s="4"/>
      <c r="S138" s="4"/>
    </row>
    <row r="139" spans="1:19" x14ac:dyDescent="0.2">
      <c r="A139" s="360" t="s">
        <v>49</v>
      </c>
      <c r="B139" s="361"/>
      <c r="C139" s="361"/>
      <c r="D139" s="361"/>
      <c r="E139" s="361"/>
      <c r="F139" s="323"/>
      <c r="G139" s="323"/>
      <c r="H139" s="308"/>
      <c r="I139" s="308"/>
      <c r="J139" s="308"/>
      <c r="K139" s="308"/>
      <c r="L139" s="308"/>
      <c r="M139" s="308"/>
      <c r="N139" s="4"/>
      <c r="O139" s="4"/>
      <c r="P139" s="4"/>
      <c r="Q139" s="4"/>
      <c r="R139" s="4"/>
      <c r="S139" s="4"/>
    </row>
    <row r="140" spans="1:19" x14ac:dyDescent="0.2">
      <c r="A140" s="21"/>
      <c r="B140" s="22"/>
      <c r="C140" s="69"/>
      <c r="D140" s="69"/>
      <c r="E140" s="69"/>
      <c r="F140" s="69"/>
      <c r="G140" s="69"/>
      <c r="H140" s="226"/>
      <c r="I140" s="226"/>
      <c r="J140" s="226"/>
      <c r="K140" s="226"/>
      <c r="L140" s="226"/>
      <c r="M140" s="226"/>
      <c r="N140" s="4"/>
      <c r="O140" s="4"/>
      <c r="P140" s="4"/>
      <c r="Q140" s="4"/>
      <c r="R140" s="4"/>
      <c r="S140" s="4"/>
    </row>
    <row r="141" spans="1:19" x14ac:dyDescent="0.2">
      <c r="A141" s="21"/>
      <c r="B141" s="22"/>
      <c r="C141" s="69"/>
      <c r="D141" s="69"/>
      <c r="E141" s="69"/>
      <c r="F141" s="69"/>
      <c r="G141" s="69"/>
      <c r="H141" s="226"/>
      <c r="I141" s="226"/>
      <c r="J141" s="226"/>
      <c r="K141" s="226"/>
      <c r="L141" s="226"/>
      <c r="M141" s="226"/>
      <c r="N141" s="4"/>
      <c r="O141" s="4"/>
      <c r="P141" s="4"/>
      <c r="Q141" s="4"/>
      <c r="R141" s="4"/>
      <c r="S141" s="4"/>
    </row>
    <row r="142" spans="1:19" x14ac:dyDescent="0.2">
      <c r="A142" s="29"/>
      <c r="B142" s="29"/>
      <c r="C142" s="29"/>
      <c r="D142" s="29"/>
      <c r="E142" s="29"/>
      <c r="F142" s="29"/>
      <c r="G142" s="29"/>
      <c r="H142" s="4"/>
      <c r="I142" s="4"/>
      <c r="J142" s="4"/>
      <c r="K142" s="4"/>
      <c r="L142" s="4"/>
      <c r="M142" s="4"/>
      <c r="N142" s="4"/>
      <c r="O142" s="4"/>
      <c r="P142" s="4"/>
      <c r="Q142" s="4"/>
      <c r="R142" s="4"/>
      <c r="S142" s="4"/>
    </row>
    <row r="143" spans="1:19" x14ac:dyDescent="0.2">
      <c r="A143" s="29"/>
      <c r="B143" s="29"/>
      <c r="C143" s="29"/>
      <c r="D143" s="29"/>
      <c r="E143" s="29"/>
      <c r="F143" s="29"/>
      <c r="G143" s="29"/>
      <c r="H143" s="4"/>
      <c r="I143" s="4"/>
      <c r="J143" s="4"/>
      <c r="K143" s="4"/>
      <c r="L143" s="4"/>
      <c r="M143" s="4"/>
      <c r="N143" s="4"/>
      <c r="O143" s="4"/>
      <c r="P143" s="4"/>
      <c r="Q143" s="4"/>
      <c r="R143" s="4"/>
      <c r="S143" s="4"/>
    </row>
    <row r="144" spans="1:19" x14ac:dyDescent="0.2">
      <c r="A144" s="227"/>
      <c r="B144" s="227"/>
      <c r="C144" s="29"/>
      <c r="D144" s="29"/>
      <c r="E144" s="29"/>
      <c r="F144" s="29"/>
      <c r="G144" s="29"/>
      <c r="H144" s="4"/>
      <c r="I144" s="4"/>
      <c r="J144" s="4"/>
      <c r="K144" s="4"/>
      <c r="L144" s="4"/>
      <c r="M144" s="4"/>
      <c r="N144" s="4"/>
      <c r="O144" s="4"/>
      <c r="P144" s="4"/>
      <c r="Q144" s="4"/>
      <c r="R144" s="4"/>
      <c r="S144" s="4"/>
    </row>
    <row r="145" spans="1:19" x14ac:dyDescent="0.2">
      <c r="A145" s="69"/>
      <c r="B145" s="22"/>
      <c r="C145" s="29"/>
      <c r="D145" s="396" t="s">
        <v>124</v>
      </c>
      <c r="E145" s="396"/>
      <c r="F145" s="396"/>
      <c r="G145" s="29"/>
      <c r="H145" s="4"/>
      <c r="I145" s="4"/>
      <c r="J145" s="4"/>
      <c r="K145" s="4"/>
      <c r="L145" s="4"/>
      <c r="M145" s="4"/>
      <c r="N145" s="4"/>
      <c r="O145" s="4"/>
      <c r="P145" s="4"/>
      <c r="Q145" s="4"/>
      <c r="R145" s="4"/>
      <c r="S145" s="4"/>
    </row>
    <row r="146" spans="1:19" x14ac:dyDescent="0.2">
      <c r="A146" s="29"/>
      <c r="B146" s="29"/>
      <c r="C146" s="29"/>
      <c r="D146" s="396"/>
      <c r="E146" s="396"/>
      <c r="F146" s="396"/>
      <c r="G146" s="29"/>
      <c r="H146" s="4"/>
      <c r="I146" s="4"/>
      <c r="J146" s="4"/>
      <c r="K146" s="4"/>
      <c r="L146" s="4"/>
      <c r="M146" s="4"/>
      <c r="N146" s="4"/>
      <c r="O146" s="4"/>
      <c r="P146" s="4"/>
      <c r="Q146" s="4"/>
      <c r="R146" s="4"/>
      <c r="S146" s="4"/>
    </row>
    <row r="147" spans="1:19" x14ac:dyDescent="0.2">
      <c r="A147" s="227"/>
      <c r="B147" s="227"/>
      <c r="C147" s="29"/>
      <c r="D147" s="29"/>
      <c r="E147" s="29"/>
      <c r="F147" s="29"/>
      <c r="G147" s="29"/>
      <c r="H147" s="4"/>
      <c r="I147" s="4"/>
      <c r="J147" s="4"/>
      <c r="K147" s="4"/>
      <c r="L147" s="4"/>
      <c r="M147" s="4"/>
      <c r="N147" s="4"/>
      <c r="O147" s="4"/>
      <c r="P147" s="4"/>
      <c r="Q147" s="4"/>
      <c r="R147" s="4"/>
      <c r="S147" s="4"/>
    </row>
    <row r="148" spans="1:19" ht="13.5" thickBot="1" x14ac:dyDescent="0.25">
      <c r="A148" s="73"/>
      <c r="B148" s="72"/>
      <c r="C148" s="29"/>
      <c r="D148" s="29"/>
      <c r="E148" s="29"/>
      <c r="F148" s="29"/>
      <c r="G148" s="29"/>
      <c r="H148" s="4"/>
      <c r="I148" s="4"/>
      <c r="J148" s="4"/>
      <c r="K148" s="4"/>
      <c r="L148" s="4"/>
      <c r="M148" s="4"/>
      <c r="N148" s="4"/>
      <c r="O148" s="4"/>
      <c r="P148" s="4"/>
      <c r="Q148" s="4"/>
      <c r="R148" s="4"/>
      <c r="S148" s="4"/>
    </row>
    <row r="149" spans="1:19" ht="13.5" thickBot="1" x14ac:dyDescent="0.25">
      <c r="A149" s="229" t="s">
        <v>57</v>
      </c>
      <c r="B149" s="26" t="s">
        <v>48</v>
      </c>
      <c r="C149" s="226"/>
      <c r="D149" s="226"/>
      <c r="E149" s="226"/>
      <c r="F149" s="226"/>
      <c r="G149" s="226"/>
      <c r="H149" s="4"/>
      <c r="I149" s="4"/>
      <c r="J149" s="4"/>
      <c r="K149" s="4"/>
      <c r="L149" s="4"/>
      <c r="M149" s="4"/>
      <c r="N149" s="4"/>
      <c r="O149" s="4"/>
      <c r="P149" s="4"/>
      <c r="Q149" s="4"/>
      <c r="R149" s="4"/>
      <c r="S149" s="4"/>
    </row>
    <row r="150" spans="1:19" ht="13.5" thickBot="1" x14ac:dyDescent="0.25">
      <c r="A150" s="13" t="s">
        <v>58</v>
      </c>
      <c r="B150" s="245">
        <v>60</v>
      </c>
      <c r="C150" s="226"/>
      <c r="D150" s="226"/>
      <c r="E150" s="226"/>
      <c r="F150" s="226"/>
      <c r="G150" s="226"/>
      <c r="H150" s="4"/>
      <c r="I150" s="4"/>
      <c r="J150" s="4"/>
      <c r="K150" s="4"/>
      <c r="L150" s="4"/>
      <c r="M150" s="4"/>
      <c r="N150" s="4"/>
      <c r="O150" s="4"/>
      <c r="P150" s="4"/>
      <c r="Q150" s="4"/>
      <c r="R150" s="4"/>
      <c r="S150" s="4"/>
    </row>
    <row r="151" spans="1:19" ht="13.5" thickBot="1" x14ac:dyDescent="0.25">
      <c r="A151" s="1"/>
      <c r="B151" s="228"/>
      <c r="C151" s="226"/>
      <c r="D151" s="226"/>
      <c r="E151" s="226"/>
      <c r="F151" s="226"/>
      <c r="G151" s="226"/>
      <c r="H151" s="4"/>
      <c r="I151" s="4"/>
      <c r="J151" s="4"/>
      <c r="K151" s="4"/>
      <c r="L151" s="4"/>
      <c r="M151" s="4"/>
      <c r="N151" s="4"/>
      <c r="O151" s="4"/>
      <c r="P151" s="4"/>
      <c r="Q151" s="4"/>
      <c r="R151" s="4"/>
      <c r="S151" s="4"/>
    </row>
    <row r="152" spans="1:19" ht="13.5" thickBot="1" x14ac:dyDescent="0.25">
      <c r="A152" s="129" t="s">
        <v>1</v>
      </c>
      <c r="B152" s="130" t="s">
        <v>16</v>
      </c>
      <c r="C152" s="226"/>
      <c r="D152" s="226"/>
      <c r="E152" s="226"/>
      <c r="F152" s="226"/>
      <c r="G152" s="226"/>
      <c r="H152" s="4"/>
      <c r="I152" s="4"/>
      <c r="J152" s="4"/>
      <c r="K152" s="4"/>
      <c r="L152" s="4"/>
      <c r="M152" s="4"/>
      <c r="N152" s="4"/>
      <c r="O152" s="4"/>
      <c r="P152" s="4"/>
      <c r="Q152" s="4"/>
      <c r="R152" s="4"/>
      <c r="S152" s="4"/>
    </row>
    <row r="153" spans="1:19" x14ac:dyDescent="0.2">
      <c r="A153" s="51">
        <v>0</v>
      </c>
      <c r="B153" s="54">
        <v>100</v>
      </c>
      <c r="C153" s="226"/>
      <c r="D153" s="226"/>
      <c r="E153" s="226"/>
      <c r="F153" s="226"/>
      <c r="G153" s="226"/>
      <c r="H153" s="4"/>
      <c r="I153" s="4"/>
      <c r="J153" s="4"/>
      <c r="K153" s="4"/>
      <c r="L153" s="4"/>
      <c r="M153" s="4"/>
      <c r="N153" s="4"/>
      <c r="O153" s="4"/>
      <c r="P153" s="4"/>
      <c r="Q153" s="4"/>
      <c r="R153" s="4"/>
      <c r="S153" s="4"/>
    </row>
    <row r="154" spans="1:19" x14ac:dyDescent="0.2">
      <c r="A154" s="52">
        <v>50</v>
      </c>
      <c r="B154" s="55">
        <v>50</v>
      </c>
      <c r="C154" s="226"/>
      <c r="D154" s="226"/>
      <c r="E154" s="226"/>
      <c r="F154" s="226"/>
      <c r="G154" s="226"/>
      <c r="H154" s="4"/>
      <c r="I154" s="4"/>
      <c r="J154" s="4"/>
      <c r="K154" s="4"/>
      <c r="L154" s="4"/>
      <c r="M154" s="4"/>
      <c r="N154" s="4"/>
      <c r="O154" s="4"/>
      <c r="P154" s="4"/>
      <c r="Q154" s="4"/>
      <c r="R154" s="4"/>
      <c r="S154" s="4"/>
    </row>
    <row r="155" spans="1:19" x14ac:dyDescent="0.2">
      <c r="A155" s="52">
        <v>55</v>
      </c>
      <c r="B155" s="55">
        <v>50</v>
      </c>
      <c r="C155" s="226"/>
      <c r="D155" s="226"/>
      <c r="E155" s="226"/>
      <c r="F155" s="226"/>
      <c r="G155" s="226"/>
      <c r="H155" s="4"/>
      <c r="I155" s="4"/>
      <c r="J155" s="4"/>
      <c r="K155" s="4"/>
      <c r="L155" s="4"/>
      <c r="M155" s="4"/>
      <c r="N155" s="4"/>
      <c r="O155" s="4"/>
      <c r="P155" s="4"/>
      <c r="Q155" s="4"/>
      <c r="R155" s="4"/>
      <c r="S155" s="4"/>
    </row>
    <row r="156" spans="1:19" x14ac:dyDescent="0.2">
      <c r="A156" s="52">
        <v>60</v>
      </c>
      <c r="B156" s="55">
        <v>50</v>
      </c>
      <c r="C156" s="226"/>
      <c r="D156" s="226"/>
      <c r="E156" s="226"/>
      <c r="F156" s="226"/>
      <c r="G156" s="226"/>
      <c r="H156" s="4"/>
      <c r="I156" s="4"/>
      <c r="J156" s="4"/>
      <c r="K156" s="4"/>
      <c r="L156" s="4"/>
      <c r="M156" s="4"/>
      <c r="N156" s="4"/>
      <c r="O156" s="4"/>
      <c r="P156" s="4"/>
      <c r="Q156" s="4"/>
      <c r="R156" s="4"/>
      <c r="S156" s="4"/>
    </row>
    <row r="157" spans="1:19" x14ac:dyDescent="0.2">
      <c r="A157" s="52">
        <v>75</v>
      </c>
      <c r="B157" s="55">
        <v>50</v>
      </c>
      <c r="C157" s="226"/>
      <c r="D157" s="226"/>
      <c r="E157" s="226"/>
      <c r="F157" s="226"/>
      <c r="G157" s="226"/>
      <c r="H157" s="4"/>
      <c r="I157" s="4"/>
      <c r="J157" s="4"/>
      <c r="K157" s="4"/>
      <c r="L157" s="4"/>
      <c r="M157" s="4"/>
      <c r="N157" s="4"/>
      <c r="O157" s="4"/>
      <c r="P157" s="4"/>
      <c r="Q157" s="4"/>
      <c r="R157" s="4"/>
      <c r="S157" s="4"/>
    </row>
    <row r="158" spans="1:19" x14ac:dyDescent="0.2">
      <c r="A158" s="52">
        <v>88</v>
      </c>
      <c r="B158" s="55">
        <v>26</v>
      </c>
      <c r="C158" s="226"/>
      <c r="D158" s="226"/>
      <c r="E158" s="226"/>
      <c r="F158" s="226"/>
      <c r="G158" s="226"/>
      <c r="H158" s="4"/>
      <c r="I158" s="4"/>
      <c r="J158" s="4"/>
      <c r="K158" s="4"/>
      <c r="L158" s="4"/>
      <c r="M158" s="4"/>
      <c r="N158" s="4"/>
      <c r="O158" s="4"/>
      <c r="P158" s="4"/>
      <c r="Q158" s="4"/>
      <c r="R158" s="4"/>
      <c r="S158" s="4"/>
    </row>
    <row r="159" spans="1:19" x14ac:dyDescent="0.2">
      <c r="A159" s="52">
        <v>94</v>
      </c>
      <c r="B159" s="55">
        <v>13</v>
      </c>
      <c r="C159" s="226"/>
      <c r="D159" s="226"/>
      <c r="E159" s="226"/>
      <c r="F159" s="226"/>
      <c r="G159" s="226"/>
      <c r="H159" s="4"/>
      <c r="I159" s="4"/>
      <c r="J159" s="4"/>
      <c r="K159" s="4"/>
      <c r="L159" s="4"/>
      <c r="M159" s="4"/>
      <c r="N159" s="4"/>
      <c r="O159" s="4"/>
      <c r="P159" s="4"/>
      <c r="Q159" s="4"/>
      <c r="R159" s="4"/>
      <c r="S159" s="4"/>
    </row>
    <row r="160" spans="1:19" ht="13.5" thickBot="1" x14ac:dyDescent="0.25">
      <c r="A160" s="53">
        <v>100</v>
      </c>
      <c r="B160" s="56">
        <v>0</v>
      </c>
      <c r="C160" s="226"/>
      <c r="D160" s="226"/>
      <c r="E160" s="226"/>
      <c r="F160" s="226"/>
      <c r="G160" s="226"/>
      <c r="H160" s="4"/>
      <c r="I160" s="4"/>
      <c r="J160" s="4"/>
      <c r="K160" s="4"/>
      <c r="L160" s="4"/>
      <c r="M160" s="4"/>
      <c r="N160" s="4"/>
      <c r="O160" s="4"/>
      <c r="P160" s="4"/>
      <c r="Q160" s="4"/>
      <c r="R160" s="4"/>
      <c r="S160" s="4"/>
    </row>
    <row r="161" spans="1:19" ht="13.5" thickBot="1" x14ac:dyDescent="0.25">
      <c r="A161" s="226"/>
      <c r="B161" s="226"/>
      <c r="C161" s="226"/>
      <c r="D161" s="226"/>
      <c r="E161" s="226"/>
      <c r="F161" s="226"/>
      <c r="G161" s="226"/>
      <c r="H161" s="4"/>
      <c r="I161" s="4"/>
      <c r="J161" s="4"/>
      <c r="K161" s="4"/>
      <c r="L161" s="4"/>
      <c r="M161" s="4"/>
      <c r="N161" s="4"/>
      <c r="O161" s="4"/>
      <c r="P161" s="4"/>
      <c r="Q161" s="4"/>
      <c r="R161" s="4"/>
      <c r="S161" s="4"/>
    </row>
    <row r="162" spans="1:19" ht="13.5" thickBot="1" x14ac:dyDescent="0.25">
      <c r="A162" s="229" t="s">
        <v>17</v>
      </c>
      <c r="B162" s="26" t="s">
        <v>16</v>
      </c>
      <c r="C162" s="226"/>
      <c r="D162" s="226"/>
      <c r="E162" s="226"/>
      <c r="F162" s="226"/>
      <c r="G162" s="226"/>
      <c r="H162" s="4"/>
      <c r="I162" s="4"/>
      <c r="J162" s="4"/>
      <c r="K162" s="4"/>
      <c r="L162" s="4"/>
      <c r="M162" s="4"/>
      <c r="N162" s="4"/>
      <c r="O162" s="4"/>
      <c r="P162" s="4"/>
      <c r="Q162" s="4"/>
      <c r="R162" s="4"/>
      <c r="S162" s="4"/>
    </row>
    <row r="163" spans="1:19" x14ac:dyDescent="0.2">
      <c r="A163" s="39">
        <f t="shared" ref="A163:A170" si="24">A153*F$4/100</f>
        <v>0</v>
      </c>
      <c r="B163" s="40">
        <f t="shared" ref="B163:B170" si="25">B153</f>
        <v>100</v>
      </c>
      <c r="C163" s="226"/>
      <c r="D163" s="226"/>
      <c r="E163" s="226"/>
      <c r="F163" s="226"/>
      <c r="G163" s="226"/>
      <c r="H163" s="4"/>
      <c r="I163" s="4"/>
      <c r="J163" s="4"/>
      <c r="K163" s="4"/>
      <c r="L163" s="4"/>
      <c r="M163" s="4"/>
      <c r="N163" s="4"/>
      <c r="O163" s="4"/>
      <c r="P163" s="4"/>
      <c r="Q163" s="4"/>
      <c r="R163" s="4"/>
      <c r="S163" s="4"/>
    </row>
    <row r="164" spans="1:19" x14ac:dyDescent="0.2">
      <c r="A164" s="41">
        <f t="shared" si="24"/>
        <v>0.75</v>
      </c>
      <c r="B164" s="42">
        <f t="shared" si="25"/>
        <v>50</v>
      </c>
      <c r="C164" s="226"/>
      <c r="D164" s="226"/>
      <c r="E164" s="226"/>
      <c r="F164" s="226"/>
      <c r="G164" s="226"/>
      <c r="H164" s="4"/>
      <c r="I164" s="4"/>
      <c r="J164" s="4"/>
      <c r="K164" s="4"/>
      <c r="L164" s="4"/>
      <c r="M164" s="4"/>
      <c r="N164" s="4"/>
      <c r="O164" s="4"/>
      <c r="P164" s="4"/>
      <c r="Q164" s="4"/>
      <c r="R164" s="4"/>
      <c r="S164" s="4"/>
    </row>
    <row r="165" spans="1:19" x14ac:dyDescent="0.2">
      <c r="A165" s="41">
        <f t="shared" si="24"/>
        <v>0.82499999999999996</v>
      </c>
      <c r="B165" s="42">
        <f t="shared" si="25"/>
        <v>50</v>
      </c>
      <c r="C165" s="226"/>
      <c r="D165" s="226"/>
      <c r="E165" s="226"/>
      <c r="F165" s="226"/>
      <c r="G165" s="226"/>
      <c r="H165" s="4"/>
      <c r="I165" s="4"/>
      <c r="J165" s="4"/>
      <c r="K165" s="4"/>
      <c r="L165" s="4"/>
      <c r="M165" s="4"/>
      <c r="N165" s="4"/>
      <c r="O165" s="4"/>
      <c r="P165" s="4"/>
      <c r="Q165" s="4"/>
      <c r="R165" s="4"/>
      <c r="S165" s="4"/>
    </row>
    <row r="166" spans="1:19" x14ac:dyDescent="0.2">
      <c r="A166" s="41">
        <f t="shared" si="24"/>
        <v>0.9</v>
      </c>
      <c r="B166" s="42">
        <f t="shared" si="25"/>
        <v>50</v>
      </c>
      <c r="C166" s="226"/>
      <c r="D166" s="226"/>
      <c r="E166" s="226"/>
      <c r="F166" s="226"/>
      <c r="G166" s="226"/>
      <c r="H166" s="4"/>
      <c r="I166" s="4"/>
      <c r="J166" s="4"/>
      <c r="K166" s="4"/>
      <c r="L166" s="4"/>
      <c r="M166" s="4"/>
      <c r="N166" s="4"/>
      <c r="O166" s="4"/>
      <c r="P166" s="4"/>
      <c r="Q166" s="4"/>
      <c r="R166" s="4"/>
      <c r="S166" s="4"/>
    </row>
    <row r="167" spans="1:19" x14ac:dyDescent="0.2">
      <c r="A167" s="41">
        <f t="shared" si="24"/>
        <v>1.125</v>
      </c>
      <c r="B167" s="42">
        <f t="shared" si="25"/>
        <v>50</v>
      </c>
      <c r="C167" s="226"/>
      <c r="D167" s="226"/>
      <c r="E167" s="226"/>
      <c r="F167" s="226"/>
      <c r="G167" s="226"/>
      <c r="H167" s="4"/>
      <c r="I167" s="4"/>
      <c r="J167" s="4"/>
      <c r="K167" s="4"/>
      <c r="L167" s="4"/>
      <c r="M167" s="4"/>
      <c r="N167" s="4"/>
      <c r="O167" s="4"/>
      <c r="P167" s="4"/>
      <c r="Q167" s="4"/>
      <c r="R167" s="4"/>
      <c r="S167" s="4"/>
    </row>
    <row r="168" spans="1:19" x14ac:dyDescent="0.2">
      <c r="A168" s="41">
        <f t="shared" si="24"/>
        <v>1.32</v>
      </c>
      <c r="B168" s="42">
        <f t="shared" si="25"/>
        <v>26</v>
      </c>
      <c r="C168" s="226"/>
      <c r="D168" s="226"/>
      <c r="E168" s="226"/>
      <c r="F168" s="226"/>
      <c r="G168" s="226"/>
      <c r="H168" s="4"/>
      <c r="I168" s="4"/>
      <c r="J168" s="4"/>
      <c r="K168" s="4"/>
      <c r="L168" s="4"/>
      <c r="M168" s="4"/>
      <c r="N168" s="4"/>
      <c r="O168" s="4"/>
      <c r="P168" s="4"/>
      <c r="Q168" s="4"/>
      <c r="R168" s="4"/>
      <c r="S168" s="4"/>
    </row>
    <row r="169" spans="1:19" x14ac:dyDescent="0.2">
      <c r="A169" s="41">
        <f t="shared" si="24"/>
        <v>1.41</v>
      </c>
      <c r="B169" s="42">
        <f t="shared" si="25"/>
        <v>13</v>
      </c>
      <c r="C169" s="226"/>
      <c r="D169" s="226"/>
      <c r="E169" s="226"/>
      <c r="F169" s="226"/>
      <c r="G169" s="226"/>
      <c r="H169" s="4"/>
      <c r="I169" s="4"/>
      <c r="J169" s="4"/>
      <c r="K169" s="4"/>
      <c r="L169" s="4"/>
      <c r="M169" s="4"/>
      <c r="N169" s="4"/>
      <c r="O169" s="4"/>
      <c r="P169" s="4"/>
      <c r="Q169" s="4"/>
      <c r="R169" s="4"/>
      <c r="S169" s="4"/>
    </row>
    <row r="170" spans="1:19" ht="13.5" thickBot="1" x14ac:dyDescent="0.25">
      <c r="A170" s="43">
        <f t="shared" si="24"/>
        <v>1.5</v>
      </c>
      <c r="B170" s="44">
        <f t="shared" si="25"/>
        <v>0</v>
      </c>
      <c r="C170" s="226"/>
      <c r="D170" s="226"/>
      <c r="E170" s="226"/>
      <c r="F170" s="226"/>
      <c r="G170" s="226"/>
      <c r="H170" s="4"/>
      <c r="I170" s="4"/>
      <c r="J170" s="4"/>
      <c r="K170" s="4"/>
      <c r="L170" s="4"/>
      <c r="M170" s="4"/>
      <c r="N170" s="4"/>
      <c r="O170" s="4"/>
      <c r="P170" s="4"/>
      <c r="Q170" s="4"/>
      <c r="R170" s="4"/>
      <c r="S170" s="4"/>
    </row>
    <row r="171" spans="1:19" x14ac:dyDescent="0.2">
      <c r="A171" s="226"/>
      <c r="B171" s="226"/>
      <c r="C171" s="226"/>
      <c r="D171" s="226"/>
      <c r="E171" s="226"/>
      <c r="F171" s="226"/>
      <c r="G171" s="226"/>
      <c r="H171" s="4"/>
      <c r="I171" s="4"/>
      <c r="J171" s="4"/>
      <c r="K171" s="4"/>
      <c r="L171" s="4"/>
      <c r="M171" s="4"/>
      <c r="N171" s="4"/>
      <c r="O171" s="4"/>
      <c r="P171" s="4"/>
      <c r="Q171" s="4"/>
      <c r="R171" s="4"/>
      <c r="S171" s="4"/>
    </row>
    <row r="172" spans="1:19" ht="13.5" thickBot="1" x14ac:dyDescent="0.25">
      <c r="A172" s="132"/>
      <c r="B172" s="132"/>
      <c r="C172" s="226"/>
      <c r="D172" s="226"/>
      <c r="E172" s="226"/>
      <c r="F172" s="226"/>
      <c r="G172" s="226"/>
      <c r="H172" s="4"/>
      <c r="I172" s="4"/>
      <c r="J172" s="4"/>
      <c r="K172" s="4"/>
      <c r="L172" s="4"/>
      <c r="M172" s="4"/>
      <c r="N172" s="4"/>
      <c r="O172" s="4"/>
      <c r="P172" s="4"/>
      <c r="Q172" s="4"/>
      <c r="R172" s="4"/>
      <c r="S172" s="4"/>
    </row>
    <row r="173" spans="1:19" ht="13.5" thickBot="1" x14ac:dyDescent="0.25">
      <c r="A173" s="129" t="s">
        <v>57</v>
      </c>
      <c r="B173" s="130" t="s">
        <v>48</v>
      </c>
      <c r="C173" s="226"/>
      <c r="D173" s="226"/>
      <c r="E173" s="226"/>
      <c r="F173" s="226"/>
      <c r="G173" s="226"/>
      <c r="H173" s="4"/>
      <c r="I173" s="4"/>
      <c r="J173" s="4"/>
      <c r="K173" s="4"/>
      <c r="L173" s="4"/>
      <c r="M173" s="4"/>
      <c r="N173" s="4"/>
      <c r="O173" s="4"/>
      <c r="P173" s="4"/>
      <c r="Q173" s="4"/>
      <c r="R173" s="4"/>
      <c r="S173" s="4"/>
    </row>
    <row r="174" spans="1:19" ht="13.5" thickBot="1" x14ac:dyDescent="0.25">
      <c r="A174" s="133" t="s">
        <v>59</v>
      </c>
      <c r="B174" s="246">
        <v>60</v>
      </c>
      <c r="C174" s="226"/>
      <c r="D174" s="226"/>
      <c r="E174" s="226"/>
      <c r="F174" s="226"/>
      <c r="G174" s="226"/>
      <c r="H174" s="4"/>
      <c r="I174" s="4"/>
      <c r="J174" s="4"/>
      <c r="K174" s="4"/>
      <c r="L174" s="4"/>
      <c r="M174" s="4"/>
      <c r="N174" s="4"/>
      <c r="O174" s="4"/>
      <c r="P174" s="4"/>
      <c r="Q174" s="4"/>
      <c r="R174" s="4"/>
      <c r="S174" s="4"/>
    </row>
    <row r="175" spans="1:19" ht="13.5" thickBot="1" x14ac:dyDescent="0.25">
      <c r="A175" s="132"/>
      <c r="B175" s="132"/>
      <c r="C175" s="226"/>
      <c r="D175" s="226"/>
      <c r="E175" s="226"/>
      <c r="F175" s="226"/>
      <c r="G175" s="226"/>
      <c r="H175" s="4"/>
      <c r="I175" s="4"/>
      <c r="J175" s="4"/>
      <c r="K175" s="4"/>
      <c r="L175" s="4"/>
      <c r="M175" s="4"/>
      <c r="N175" s="4"/>
      <c r="O175" s="4"/>
      <c r="P175" s="4"/>
      <c r="Q175" s="4"/>
      <c r="R175" s="4"/>
      <c r="S175" s="4"/>
    </row>
    <row r="176" spans="1:19" ht="13.5" thickBot="1" x14ac:dyDescent="0.25">
      <c r="A176" s="129" t="s">
        <v>1</v>
      </c>
      <c r="B176" s="130" t="s">
        <v>16</v>
      </c>
      <c r="C176" s="226"/>
      <c r="D176" s="226"/>
      <c r="E176" s="226"/>
      <c r="F176" s="226"/>
      <c r="G176" s="226"/>
      <c r="H176" s="4"/>
      <c r="I176" s="4"/>
      <c r="J176" s="4"/>
      <c r="K176" s="4"/>
      <c r="L176" s="4"/>
      <c r="M176" s="4"/>
      <c r="N176" s="4"/>
      <c r="O176" s="4"/>
      <c r="P176" s="4"/>
      <c r="Q176" s="4"/>
      <c r="R176" s="4"/>
      <c r="S176" s="4"/>
    </row>
    <row r="177" spans="1:19" x14ac:dyDescent="0.2">
      <c r="A177" s="57">
        <v>0</v>
      </c>
      <c r="B177" s="54">
        <v>0</v>
      </c>
      <c r="C177" s="226"/>
      <c r="D177" s="226"/>
      <c r="E177" s="226"/>
      <c r="F177" s="226"/>
      <c r="G177" s="226"/>
      <c r="H177" s="4"/>
      <c r="I177" s="4"/>
      <c r="J177" s="4"/>
      <c r="K177" s="4"/>
      <c r="L177" s="4"/>
      <c r="M177" s="4"/>
      <c r="N177" s="4"/>
      <c r="O177" s="4"/>
      <c r="P177" s="4"/>
      <c r="Q177" s="4"/>
      <c r="R177" s="4"/>
      <c r="S177" s="4"/>
    </row>
    <row r="178" spans="1:19" x14ac:dyDescent="0.2">
      <c r="A178" s="52">
        <v>10</v>
      </c>
      <c r="B178" s="55">
        <v>0</v>
      </c>
      <c r="C178" s="226"/>
      <c r="D178" s="226"/>
      <c r="E178" s="226"/>
      <c r="F178" s="226"/>
      <c r="G178" s="226"/>
      <c r="H178" s="4"/>
      <c r="I178" s="4"/>
      <c r="J178" s="4"/>
      <c r="K178" s="4"/>
      <c r="L178" s="4"/>
      <c r="M178" s="4"/>
      <c r="N178" s="4"/>
      <c r="O178" s="4"/>
      <c r="P178" s="4"/>
      <c r="Q178" s="4"/>
      <c r="R178" s="4"/>
      <c r="S178" s="4"/>
    </row>
    <row r="179" spans="1:19" x14ac:dyDescent="0.2">
      <c r="A179" s="52">
        <v>50</v>
      </c>
      <c r="B179" s="55">
        <v>0</v>
      </c>
      <c r="C179" s="226"/>
      <c r="D179" s="226"/>
      <c r="E179" s="226"/>
      <c r="F179" s="226"/>
      <c r="G179" s="226"/>
      <c r="H179" s="4"/>
      <c r="I179" s="4"/>
      <c r="J179" s="4"/>
      <c r="K179" s="4"/>
      <c r="L179" s="4"/>
      <c r="M179" s="4"/>
      <c r="N179" s="4"/>
      <c r="O179" s="4"/>
      <c r="P179" s="4"/>
      <c r="Q179" s="4"/>
      <c r="R179" s="4"/>
      <c r="S179" s="4"/>
    </row>
    <row r="180" spans="1:19" x14ac:dyDescent="0.2">
      <c r="A180" s="52">
        <v>75</v>
      </c>
      <c r="B180" s="55">
        <v>0</v>
      </c>
      <c r="C180" s="226"/>
      <c r="D180" s="226"/>
      <c r="E180" s="226"/>
      <c r="F180" s="226"/>
      <c r="G180" s="226"/>
      <c r="H180" s="4"/>
      <c r="I180" s="4"/>
      <c r="J180" s="4"/>
      <c r="K180" s="4"/>
      <c r="L180" s="4"/>
      <c r="M180" s="4"/>
      <c r="N180" s="4"/>
      <c r="O180" s="4"/>
      <c r="P180" s="4"/>
      <c r="Q180" s="4"/>
      <c r="R180" s="4"/>
      <c r="S180" s="4"/>
    </row>
    <row r="181" spans="1:19" x14ac:dyDescent="0.2">
      <c r="A181" s="52">
        <v>88</v>
      </c>
      <c r="B181" s="55">
        <v>0</v>
      </c>
      <c r="C181" s="226"/>
      <c r="D181" s="226"/>
      <c r="E181" s="226"/>
      <c r="F181" s="226"/>
      <c r="G181" s="226"/>
      <c r="H181" s="4"/>
      <c r="I181" s="4"/>
      <c r="J181" s="4"/>
      <c r="K181" s="4"/>
      <c r="L181" s="4"/>
      <c r="M181" s="4"/>
      <c r="N181" s="4"/>
      <c r="O181" s="4"/>
      <c r="P181" s="4"/>
      <c r="Q181" s="4"/>
      <c r="R181" s="4"/>
      <c r="S181" s="4"/>
    </row>
    <row r="182" spans="1:19" x14ac:dyDescent="0.2">
      <c r="A182" s="52">
        <v>94</v>
      </c>
      <c r="B182" s="55">
        <v>0</v>
      </c>
      <c r="C182" s="226"/>
      <c r="D182" s="226"/>
      <c r="E182" s="226"/>
      <c r="F182" s="226"/>
      <c r="G182" s="226"/>
      <c r="H182" s="4"/>
      <c r="I182" s="4"/>
      <c r="J182" s="4"/>
      <c r="K182" s="4"/>
      <c r="L182" s="4"/>
      <c r="M182" s="4"/>
      <c r="N182" s="4"/>
      <c r="O182" s="4"/>
      <c r="P182" s="4"/>
      <c r="Q182" s="4"/>
      <c r="R182" s="4"/>
      <c r="S182" s="4"/>
    </row>
    <row r="183" spans="1:19" x14ac:dyDescent="0.2">
      <c r="A183" s="52">
        <v>95</v>
      </c>
      <c r="B183" s="55">
        <v>0</v>
      </c>
      <c r="C183" s="226"/>
      <c r="D183" s="226"/>
      <c r="E183" s="226"/>
      <c r="F183" s="226"/>
      <c r="G183" s="226"/>
      <c r="H183" s="4"/>
      <c r="I183" s="4"/>
      <c r="J183" s="4"/>
      <c r="K183" s="4"/>
      <c r="L183" s="4"/>
      <c r="M183" s="4"/>
      <c r="N183" s="4"/>
      <c r="O183" s="4"/>
      <c r="P183" s="4"/>
      <c r="Q183" s="4"/>
      <c r="R183" s="4"/>
      <c r="S183" s="4"/>
    </row>
    <row r="184" spans="1:19" ht="13.5" thickBot="1" x14ac:dyDescent="0.25">
      <c r="A184" s="53">
        <v>100</v>
      </c>
      <c r="B184" s="56">
        <v>0</v>
      </c>
      <c r="C184" s="226"/>
      <c r="D184" s="226"/>
      <c r="E184" s="226"/>
      <c r="F184" s="226"/>
      <c r="G184" s="226"/>
      <c r="H184" s="4"/>
      <c r="I184" s="4"/>
      <c r="J184" s="4"/>
      <c r="K184" s="4"/>
      <c r="L184" s="4"/>
      <c r="M184" s="4"/>
      <c r="N184" s="4"/>
      <c r="O184" s="4"/>
      <c r="P184" s="4"/>
      <c r="Q184" s="4"/>
      <c r="R184" s="4"/>
      <c r="S184" s="4"/>
    </row>
    <row r="185" spans="1:19" ht="13.5" thickBot="1" x14ac:dyDescent="0.25">
      <c r="A185" s="226"/>
      <c r="B185" s="226"/>
      <c r="C185" s="226"/>
      <c r="D185" s="226"/>
      <c r="E185" s="226"/>
      <c r="F185" s="226"/>
      <c r="G185" s="226"/>
      <c r="H185" s="4"/>
      <c r="I185" s="4"/>
      <c r="J185" s="4"/>
      <c r="K185" s="4"/>
      <c r="L185" s="4"/>
      <c r="M185" s="4"/>
      <c r="N185" s="4"/>
      <c r="O185" s="4"/>
      <c r="P185" s="4"/>
      <c r="Q185" s="4"/>
      <c r="R185" s="4"/>
      <c r="S185" s="4"/>
    </row>
    <row r="186" spans="1:19" ht="13.5" thickBot="1" x14ac:dyDescent="0.25">
      <c r="A186" s="229" t="s">
        <v>17</v>
      </c>
      <c r="B186" s="26" t="s">
        <v>16</v>
      </c>
      <c r="C186" s="226"/>
      <c r="D186" s="226"/>
      <c r="E186" s="226"/>
      <c r="F186" s="226"/>
      <c r="G186" s="226"/>
      <c r="H186" s="4"/>
      <c r="I186" s="4"/>
      <c r="J186" s="4"/>
      <c r="K186" s="4"/>
      <c r="L186" s="4"/>
      <c r="M186" s="4"/>
      <c r="N186" s="4"/>
      <c r="O186" s="4"/>
      <c r="P186" s="4"/>
      <c r="Q186" s="4"/>
      <c r="R186" s="4"/>
      <c r="S186" s="4"/>
    </row>
    <row r="187" spans="1:19" x14ac:dyDescent="0.2">
      <c r="A187" s="39">
        <f t="shared" ref="A187:A194" si="26">A177*F$4/100</f>
        <v>0</v>
      </c>
      <c r="B187" s="40">
        <f t="shared" ref="B187:B194" si="27">B177</f>
        <v>0</v>
      </c>
      <c r="C187" s="226"/>
      <c r="D187" s="226"/>
      <c r="E187" s="226"/>
      <c r="F187" s="226"/>
      <c r="G187" s="226"/>
      <c r="H187" s="4"/>
      <c r="I187" s="4"/>
      <c r="J187" s="4"/>
      <c r="K187" s="4"/>
      <c r="L187" s="4"/>
      <c r="M187" s="4"/>
      <c r="N187" s="4"/>
      <c r="O187" s="4"/>
      <c r="P187" s="4"/>
      <c r="Q187" s="4"/>
      <c r="R187" s="4"/>
      <c r="S187" s="4"/>
    </row>
    <row r="188" spans="1:19" x14ac:dyDescent="0.2">
      <c r="A188" s="41">
        <f t="shared" si="26"/>
        <v>0.15</v>
      </c>
      <c r="B188" s="42">
        <f t="shared" si="27"/>
        <v>0</v>
      </c>
      <c r="C188" s="226"/>
      <c r="D188" s="226"/>
      <c r="E188" s="226"/>
      <c r="F188" s="226"/>
      <c r="G188" s="226"/>
      <c r="H188" s="4"/>
      <c r="I188" s="4"/>
      <c r="J188" s="4"/>
      <c r="K188" s="4"/>
      <c r="L188" s="4"/>
      <c r="M188" s="4"/>
      <c r="N188" s="4"/>
      <c r="O188" s="4"/>
      <c r="P188" s="4"/>
      <c r="Q188" s="4"/>
      <c r="R188" s="4"/>
      <c r="S188" s="4"/>
    </row>
    <row r="189" spans="1:19" x14ac:dyDescent="0.2">
      <c r="A189" s="41">
        <f t="shared" si="26"/>
        <v>0.75</v>
      </c>
      <c r="B189" s="42">
        <f t="shared" si="27"/>
        <v>0</v>
      </c>
      <c r="C189" s="226"/>
      <c r="D189" s="226"/>
      <c r="E189" s="226"/>
      <c r="F189" s="226"/>
      <c r="G189" s="226"/>
      <c r="H189" s="4"/>
      <c r="I189" s="4"/>
      <c r="J189" s="4"/>
      <c r="K189" s="4"/>
      <c r="L189" s="4"/>
      <c r="M189" s="4"/>
      <c r="N189" s="4"/>
      <c r="O189" s="4"/>
      <c r="P189" s="4"/>
      <c r="Q189" s="4"/>
      <c r="R189" s="4"/>
      <c r="S189" s="4"/>
    </row>
    <row r="190" spans="1:19" x14ac:dyDescent="0.2">
      <c r="A190" s="41">
        <f t="shared" si="26"/>
        <v>1.125</v>
      </c>
      <c r="B190" s="42">
        <f t="shared" si="27"/>
        <v>0</v>
      </c>
      <c r="C190" s="226"/>
      <c r="D190" s="226"/>
      <c r="E190" s="226"/>
      <c r="F190" s="226"/>
      <c r="G190" s="226"/>
      <c r="H190" s="4"/>
      <c r="I190" s="4"/>
      <c r="J190" s="4"/>
      <c r="K190" s="4"/>
      <c r="L190" s="4"/>
      <c r="M190" s="4"/>
      <c r="N190" s="4"/>
      <c r="O190" s="4"/>
      <c r="P190" s="4"/>
      <c r="Q190" s="4"/>
      <c r="R190" s="4"/>
      <c r="S190" s="4"/>
    </row>
    <row r="191" spans="1:19" x14ac:dyDescent="0.2">
      <c r="A191" s="41">
        <f t="shared" si="26"/>
        <v>1.32</v>
      </c>
      <c r="B191" s="42">
        <f t="shared" si="27"/>
        <v>0</v>
      </c>
      <c r="C191" s="226"/>
      <c r="D191" s="226"/>
      <c r="E191" s="226"/>
      <c r="F191" s="226"/>
      <c r="G191" s="226"/>
      <c r="H191" s="4"/>
      <c r="I191" s="4"/>
      <c r="J191" s="4"/>
      <c r="K191" s="4"/>
      <c r="L191" s="4"/>
      <c r="M191" s="4"/>
      <c r="N191" s="4"/>
      <c r="O191" s="4"/>
      <c r="P191" s="4"/>
      <c r="Q191" s="4"/>
      <c r="R191" s="4"/>
      <c r="S191" s="4"/>
    </row>
    <row r="192" spans="1:19" x14ac:dyDescent="0.2">
      <c r="A192" s="131">
        <f t="shared" si="26"/>
        <v>1.41</v>
      </c>
      <c r="B192" s="137">
        <f t="shared" si="27"/>
        <v>0</v>
      </c>
      <c r="C192" s="226"/>
      <c r="D192" s="226"/>
      <c r="E192" s="226"/>
      <c r="F192" s="226"/>
      <c r="G192" s="226"/>
      <c r="H192" s="4"/>
      <c r="I192" s="4"/>
      <c r="J192" s="4"/>
      <c r="K192" s="4"/>
      <c r="L192" s="4"/>
      <c r="M192" s="4"/>
      <c r="N192" s="4"/>
      <c r="O192" s="4"/>
      <c r="P192" s="4"/>
      <c r="Q192" s="4"/>
      <c r="R192" s="4"/>
      <c r="S192" s="4"/>
    </row>
    <row r="193" spans="1:19" x14ac:dyDescent="0.2">
      <c r="A193" s="131">
        <f t="shared" si="26"/>
        <v>1.425</v>
      </c>
      <c r="B193" s="137">
        <f t="shared" si="27"/>
        <v>0</v>
      </c>
      <c r="C193" s="226"/>
      <c r="D193" s="226"/>
      <c r="E193" s="226"/>
      <c r="F193" s="226"/>
      <c r="G193" s="226"/>
      <c r="H193" s="4"/>
      <c r="I193" s="4"/>
      <c r="J193" s="4"/>
      <c r="K193" s="4"/>
      <c r="L193" s="4"/>
      <c r="M193" s="4"/>
      <c r="N193" s="4"/>
      <c r="O193" s="4"/>
      <c r="P193" s="4"/>
      <c r="Q193" s="4"/>
      <c r="R193" s="4"/>
      <c r="S193" s="4"/>
    </row>
    <row r="194" spans="1:19" ht="13.5" thickBot="1" x14ac:dyDescent="0.25">
      <c r="A194" s="138">
        <f t="shared" si="26"/>
        <v>1.5</v>
      </c>
      <c r="B194" s="139">
        <f t="shared" si="27"/>
        <v>0</v>
      </c>
      <c r="C194" s="1"/>
      <c r="D194" s="1"/>
      <c r="E194" s="1"/>
      <c r="F194" s="1"/>
      <c r="G194" s="1"/>
      <c r="H194" s="4"/>
      <c r="I194" s="4"/>
      <c r="J194" s="4"/>
      <c r="K194" s="4"/>
      <c r="L194" s="4"/>
      <c r="M194" s="4"/>
      <c r="N194" s="4"/>
      <c r="O194" s="4"/>
      <c r="P194" s="4"/>
      <c r="Q194" s="4"/>
      <c r="R194" s="4"/>
      <c r="S194" s="4"/>
    </row>
    <row r="195" spans="1:19" x14ac:dyDescent="0.2">
      <c r="A195" s="140"/>
      <c r="B195" s="140"/>
      <c r="C195" s="1"/>
      <c r="D195" s="1"/>
      <c r="E195" s="1"/>
      <c r="F195" s="1"/>
      <c r="G195" s="1"/>
      <c r="H195" s="4"/>
      <c r="I195" s="4"/>
      <c r="J195" s="4"/>
      <c r="K195" s="4"/>
      <c r="L195" s="4"/>
      <c r="M195" s="4"/>
      <c r="N195" s="4"/>
      <c r="O195" s="4"/>
      <c r="P195" s="4"/>
      <c r="Q195" s="4"/>
      <c r="R195" s="4"/>
      <c r="S195" s="4"/>
    </row>
    <row r="196" spans="1:19" ht="13.5" thickBot="1" x14ac:dyDescent="0.25">
      <c r="A196" s="140"/>
      <c r="B196" s="140"/>
      <c r="C196" s="1"/>
      <c r="D196" s="1"/>
      <c r="E196" s="1"/>
      <c r="F196" s="1"/>
      <c r="G196" s="1"/>
      <c r="H196" s="4"/>
      <c r="I196" s="4"/>
      <c r="J196" s="4"/>
      <c r="K196" s="4"/>
      <c r="L196" s="4"/>
      <c r="M196" s="4"/>
      <c r="N196" s="4"/>
      <c r="O196" s="4"/>
      <c r="P196" s="4"/>
      <c r="Q196" s="4"/>
      <c r="R196" s="4"/>
      <c r="S196" s="4"/>
    </row>
    <row r="197" spans="1:19" ht="13.5" thickBot="1" x14ac:dyDescent="0.25">
      <c r="A197" s="141" t="s">
        <v>57</v>
      </c>
      <c r="B197" s="130" t="s">
        <v>48</v>
      </c>
      <c r="C197" s="1"/>
      <c r="D197" s="1"/>
      <c r="E197" s="1"/>
      <c r="F197" s="1"/>
      <c r="G197" s="1"/>
      <c r="H197" s="4"/>
      <c r="I197" s="4"/>
      <c r="J197" s="4"/>
      <c r="K197" s="4"/>
      <c r="L197" s="4"/>
      <c r="M197" s="4"/>
      <c r="N197" s="4"/>
      <c r="O197" s="4"/>
      <c r="P197" s="4"/>
      <c r="Q197" s="4"/>
      <c r="R197" s="4"/>
      <c r="S197" s="4"/>
    </row>
    <row r="198" spans="1:19" ht="13.5" thickBot="1" x14ac:dyDescent="0.25">
      <c r="A198" s="13" t="s">
        <v>60</v>
      </c>
      <c r="B198" s="245">
        <v>60</v>
      </c>
      <c r="C198" s="1"/>
      <c r="D198" s="1"/>
      <c r="E198" s="1"/>
      <c r="F198" s="1"/>
      <c r="G198" s="1"/>
      <c r="H198" s="4"/>
      <c r="I198" s="4"/>
      <c r="J198" s="4"/>
      <c r="K198" s="4"/>
      <c r="L198" s="4"/>
      <c r="M198" s="4"/>
      <c r="N198" s="4"/>
      <c r="O198" s="4"/>
      <c r="P198" s="4"/>
      <c r="Q198" s="4"/>
      <c r="R198" s="4"/>
      <c r="S198" s="4"/>
    </row>
    <row r="199" spans="1:19" ht="13.5" thickBot="1" x14ac:dyDescent="0.25">
      <c r="H199" s="4"/>
      <c r="I199" s="4"/>
      <c r="J199" s="4"/>
      <c r="K199" s="4"/>
      <c r="L199" s="4"/>
      <c r="M199" s="4"/>
      <c r="N199" s="4"/>
      <c r="O199" s="4"/>
      <c r="P199" s="4"/>
      <c r="Q199" s="4"/>
      <c r="R199" s="4"/>
      <c r="S199" s="4"/>
    </row>
    <row r="200" spans="1:19" ht="13.5" thickBot="1" x14ac:dyDescent="0.25">
      <c r="A200" s="229" t="s">
        <v>1</v>
      </c>
      <c r="B200" s="26" t="s">
        <v>16</v>
      </c>
      <c r="H200" s="4"/>
      <c r="I200" s="4"/>
      <c r="J200" s="4"/>
      <c r="K200" s="4"/>
      <c r="L200" s="4"/>
      <c r="M200" s="4"/>
      <c r="N200" s="4"/>
      <c r="O200" s="4"/>
      <c r="P200" s="4"/>
      <c r="Q200" s="4"/>
      <c r="R200" s="4"/>
      <c r="S200" s="4"/>
    </row>
    <row r="201" spans="1:19" x14ac:dyDescent="0.2">
      <c r="A201" s="57">
        <v>0</v>
      </c>
      <c r="B201" s="54">
        <v>20</v>
      </c>
      <c r="H201" s="4"/>
      <c r="I201" s="4"/>
      <c r="J201" s="4"/>
      <c r="K201" s="4"/>
      <c r="L201" s="4"/>
      <c r="M201" s="4"/>
      <c r="N201" s="4"/>
      <c r="O201" s="4"/>
      <c r="P201" s="4"/>
      <c r="Q201" s="4"/>
      <c r="R201" s="4"/>
      <c r="S201" s="4"/>
    </row>
    <row r="202" spans="1:19" x14ac:dyDescent="0.2">
      <c r="A202" s="52">
        <v>50</v>
      </c>
      <c r="B202" s="55">
        <v>10</v>
      </c>
      <c r="H202" s="4"/>
      <c r="I202" s="4"/>
      <c r="J202" s="4"/>
      <c r="K202" s="4"/>
      <c r="L202" s="4"/>
      <c r="M202" s="4"/>
      <c r="N202" s="4"/>
      <c r="O202" s="4"/>
      <c r="P202" s="4"/>
      <c r="Q202" s="4"/>
      <c r="R202" s="4"/>
      <c r="S202" s="4"/>
    </row>
    <row r="203" spans="1:19" x14ac:dyDescent="0.2">
      <c r="A203" s="52">
        <v>55</v>
      </c>
      <c r="B203" s="55">
        <v>10</v>
      </c>
      <c r="H203" s="4"/>
      <c r="I203" s="4"/>
      <c r="J203" s="4"/>
      <c r="K203" s="4"/>
      <c r="L203" s="4"/>
      <c r="M203" s="4"/>
      <c r="N203" s="4"/>
      <c r="O203" s="4"/>
      <c r="P203" s="4"/>
      <c r="Q203" s="4"/>
      <c r="R203" s="4"/>
      <c r="S203" s="4"/>
    </row>
    <row r="204" spans="1:19" x14ac:dyDescent="0.2">
      <c r="A204" s="52">
        <v>60</v>
      </c>
      <c r="B204" s="55">
        <v>10</v>
      </c>
      <c r="H204" s="4"/>
      <c r="I204" s="4"/>
      <c r="J204" s="4"/>
      <c r="K204" s="4"/>
      <c r="L204" s="4"/>
      <c r="M204" s="4"/>
      <c r="N204" s="4"/>
      <c r="O204" s="4"/>
      <c r="P204" s="4"/>
      <c r="Q204" s="4"/>
      <c r="R204" s="4"/>
      <c r="S204" s="4"/>
    </row>
    <row r="205" spans="1:19" x14ac:dyDescent="0.2">
      <c r="A205" s="52">
        <v>75</v>
      </c>
      <c r="B205" s="55">
        <v>10</v>
      </c>
      <c r="H205" s="4"/>
      <c r="I205" s="4"/>
      <c r="J205" s="4"/>
      <c r="K205" s="4"/>
      <c r="L205" s="4"/>
      <c r="M205" s="4"/>
      <c r="N205" s="4"/>
      <c r="O205" s="4"/>
      <c r="P205" s="4"/>
      <c r="Q205" s="4"/>
      <c r="R205" s="4"/>
      <c r="S205" s="4"/>
    </row>
    <row r="206" spans="1:19" x14ac:dyDescent="0.2">
      <c r="A206" s="52">
        <v>88</v>
      </c>
      <c r="B206" s="55">
        <v>5</v>
      </c>
      <c r="H206" s="4"/>
      <c r="I206" s="4"/>
      <c r="J206" s="4"/>
      <c r="K206" s="4"/>
      <c r="L206" s="4"/>
      <c r="M206" s="4"/>
      <c r="N206" s="4"/>
      <c r="O206" s="4"/>
      <c r="P206" s="4"/>
      <c r="Q206" s="4"/>
      <c r="R206" s="4"/>
      <c r="S206" s="4"/>
    </row>
    <row r="207" spans="1:19" x14ac:dyDescent="0.2">
      <c r="A207" s="52">
        <v>94</v>
      </c>
      <c r="B207" s="55">
        <v>3</v>
      </c>
      <c r="H207" s="4"/>
      <c r="I207" s="4"/>
      <c r="J207" s="4"/>
      <c r="K207" s="4"/>
      <c r="L207" s="4"/>
      <c r="M207" s="4"/>
      <c r="N207" s="4"/>
      <c r="O207" s="4"/>
      <c r="P207" s="4"/>
      <c r="Q207" s="4"/>
      <c r="R207" s="4"/>
      <c r="S207" s="4"/>
    </row>
    <row r="208" spans="1:19" ht="13.5" thickBot="1" x14ac:dyDescent="0.25">
      <c r="A208" s="53">
        <v>100</v>
      </c>
      <c r="B208" s="56">
        <v>0</v>
      </c>
      <c r="H208" s="4"/>
      <c r="I208" s="4"/>
      <c r="J208" s="4"/>
      <c r="K208" s="4"/>
      <c r="L208" s="4"/>
      <c r="M208" s="4"/>
      <c r="N208" s="4"/>
      <c r="O208" s="4"/>
      <c r="P208" s="4"/>
      <c r="Q208" s="4"/>
      <c r="R208" s="4"/>
      <c r="S208" s="4"/>
    </row>
    <row r="209" spans="1:19" ht="13.5" thickBot="1" x14ac:dyDescent="0.25">
      <c r="H209" s="4"/>
      <c r="I209" s="4"/>
      <c r="J209" s="4"/>
      <c r="K209" s="4"/>
      <c r="L209" s="4"/>
      <c r="M209" s="4"/>
      <c r="N209" s="4"/>
      <c r="O209" s="4"/>
      <c r="P209" s="4"/>
      <c r="Q209" s="4"/>
      <c r="R209" s="4"/>
      <c r="S209" s="4"/>
    </row>
    <row r="210" spans="1:19" ht="13.5" thickBot="1" x14ac:dyDescent="0.25">
      <c r="A210" s="229" t="s">
        <v>17</v>
      </c>
      <c r="B210" s="26" t="s">
        <v>16</v>
      </c>
      <c r="H210" s="4"/>
      <c r="I210" s="4"/>
      <c r="J210" s="4"/>
      <c r="K210" s="4"/>
      <c r="L210" s="4"/>
      <c r="M210" s="4"/>
      <c r="N210" s="4"/>
      <c r="O210" s="4"/>
      <c r="P210" s="4"/>
      <c r="Q210" s="4"/>
      <c r="R210" s="4"/>
      <c r="S210" s="4"/>
    </row>
    <row r="211" spans="1:19" x14ac:dyDescent="0.2">
      <c r="A211" s="39">
        <f t="shared" ref="A211:A218" si="28">A201*F$4/100</f>
        <v>0</v>
      </c>
      <c r="B211" s="40">
        <f t="shared" ref="B211:B218" si="29">B201</f>
        <v>20</v>
      </c>
      <c r="H211" s="4"/>
      <c r="I211" s="4"/>
      <c r="J211" s="4"/>
      <c r="K211" s="4"/>
      <c r="L211" s="4"/>
      <c r="M211" s="4"/>
      <c r="N211" s="4"/>
      <c r="O211" s="4"/>
      <c r="P211" s="4"/>
      <c r="Q211" s="4"/>
      <c r="R211" s="4"/>
      <c r="S211" s="4"/>
    </row>
    <row r="212" spans="1:19" x14ac:dyDescent="0.2">
      <c r="A212" s="131">
        <f t="shared" si="28"/>
        <v>0.75</v>
      </c>
      <c r="B212" s="137">
        <f t="shared" si="29"/>
        <v>10</v>
      </c>
      <c r="H212" s="4"/>
      <c r="I212" s="4"/>
      <c r="J212" s="4"/>
      <c r="K212" s="4"/>
      <c r="L212" s="4"/>
      <c r="M212" s="4"/>
      <c r="N212" s="4"/>
      <c r="O212" s="4"/>
      <c r="P212" s="4"/>
      <c r="Q212" s="4"/>
      <c r="R212" s="4"/>
      <c r="S212" s="4"/>
    </row>
    <row r="213" spans="1:19" x14ac:dyDescent="0.2">
      <c r="A213" s="131">
        <f t="shared" si="28"/>
        <v>0.82499999999999996</v>
      </c>
      <c r="B213" s="137">
        <f t="shared" si="29"/>
        <v>10</v>
      </c>
      <c r="H213" s="4"/>
      <c r="I213" s="4"/>
      <c r="J213" s="4"/>
      <c r="K213" s="4"/>
      <c r="L213" s="4"/>
      <c r="M213" s="4"/>
      <c r="N213" s="4"/>
      <c r="O213" s="4"/>
      <c r="P213" s="4"/>
      <c r="Q213" s="4"/>
      <c r="R213" s="4"/>
      <c r="S213" s="4"/>
    </row>
    <row r="214" spans="1:19" x14ac:dyDescent="0.2">
      <c r="A214" s="131">
        <f t="shared" si="28"/>
        <v>0.9</v>
      </c>
      <c r="B214" s="137">
        <f t="shared" si="29"/>
        <v>10</v>
      </c>
      <c r="H214" s="4"/>
      <c r="I214" s="4"/>
      <c r="J214" s="4"/>
      <c r="K214" s="4"/>
      <c r="L214" s="4"/>
      <c r="M214" s="4"/>
      <c r="N214" s="4"/>
      <c r="O214" s="4"/>
      <c r="P214" s="4"/>
      <c r="Q214" s="4"/>
      <c r="R214" s="4"/>
      <c r="S214" s="4"/>
    </row>
    <row r="215" spans="1:19" x14ac:dyDescent="0.2">
      <c r="A215" s="131">
        <f t="shared" si="28"/>
        <v>1.125</v>
      </c>
      <c r="B215" s="137">
        <f t="shared" si="29"/>
        <v>10</v>
      </c>
      <c r="H215" s="4"/>
      <c r="I215" s="4"/>
      <c r="J215" s="4"/>
      <c r="K215" s="4"/>
      <c r="L215" s="4"/>
      <c r="M215" s="4"/>
      <c r="N215" s="4"/>
      <c r="O215" s="4"/>
      <c r="P215" s="4"/>
      <c r="Q215" s="4"/>
      <c r="R215" s="4"/>
      <c r="S215" s="4"/>
    </row>
    <row r="216" spans="1:19" x14ac:dyDescent="0.2">
      <c r="A216" s="131">
        <f t="shared" si="28"/>
        <v>1.32</v>
      </c>
      <c r="B216" s="137">
        <f t="shared" si="29"/>
        <v>5</v>
      </c>
      <c r="H216" s="4"/>
      <c r="I216" s="4"/>
      <c r="J216" s="4"/>
      <c r="K216" s="4"/>
      <c r="L216" s="4"/>
      <c r="M216" s="4"/>
      <c r="N216" s="4"/>
      <c r="O216" s="4"/>
      <c r="P216" s="4"/>
      <c r="Q216" s="4"/>
      <c r="R216" s="4"/>
      <c r="S216" s="4"/>
    </row>
    <row r="217" spans="1:19" x14ac:dyDescent="0.2">
      <c r="A217" s="131">
        <f t="shared" si="28"/>
        <v>1.41</v>
      </c>
      <c r="B217" s="137">
        <f t="shared" si="29"/>
        <v>3</v>
      </c>
      <c r="H217" s="4"/>
      <c r="I217" s="4"/>
      <c r="J217" s="4"/>
      <c r="K217" s="4"/>
      <c r="L217" s="4"/>
      <c r="M217" s="4"/>
      <c r="N217" s="4"/>
      <c r="O217" s="4"/>
      <c r="P217" s="4"/>
      <c r="Q217" s="4"/>
      <c r="R217" s="4"/>
      <c r="S217" s="4"/>
    </row>
    <row r="218" spans="1:19" ht="13.5" thickBot="1" x14ac:dyDescent="0.25">
      <c r="A218" s="43">
        <f t="shared" si="28"/>
        <v>1.5</v>
      </c>
      <c r="B218" s="44">
        <f t="shared" si="29"/>
        <v>0</v>
      </c>
      <c r="H218" s="4"/>
      <c r="I218" s="4"/>
      <c r="J218" s="4"/>
      <c r="K218" s="4"/>
      <c r="L218" s="4"/>
      <c r="M218" s="4"/>
      <c r="N218" s="4"/>
      <c r="O218" s="4"/>
      <c r="P218" s="4"/>
      <c r="Q218" s="4"/>
      <c r="R218" s="4"/>
      <c r="S218" s="4"/>
    </row>
    <row r="219" spans="1:19" x14ac:dyDescent="0.2">
      <c r="H219" s="4"/>
      <c r="I219" s="4"/>
      <c r="J219" s="4"/>
      <c r="K219" s="4"/>
      <c r="L219" s="4"/>
      <c r="M219" s="4"/>
      <c r="N219" s="4"/>
      <c r="O219" s="4"/>
      <c r="P219" s="4"/>
      <c r="Q219" s="4"/>
      <c r="R219" s="4"/>
      <c r="S219" s="4"/>
    </row>
    <row r="220" spans="1:19" ht="13.5" thickBot="1" x14ac:dyDescent="0.25">
      <c r="H220" s="4"/>
      <c r="I220" s="4"/>
      <c r="J220" s="4"/>
      <c r="K220" s="4"/>
      <c r="L220" s="4"/>
      <c r="M220" s="4"/>
      <c r="N220" s="4"/>
      <c r="O220" s="4"/>
      <c r="P220" s="4"/>
      <c r="Q220" s="4"/>
      <c r="R220" s="4"/>
      <c r="S220" s="4"/>
    </row>
    <row r="221" spans="1:19" ht="13.5" thickBot="1" x14ac:dyDescent="0.25">
      <c r="A221" s="229" t="s">
        <v>57</v>
      </c>
      <c r="B221" s="26" t="s">
        <v>48</v>
      </c>
      <c r="H221" s="4"/>
      <c r="I221" s="4"/>
      <c r="J221" s="4"/>
      <c r="K221" s="4"/>
      <c r="L221" s="4"/>
      <c r="M221" s="4"/>
      <c r="N221" s="4"/>
      <c r="O221" s="4"/>
      <c r="P221" s="4"/>
      <c r="Q221" s="4"/>
      <c r="R221" s="4"/>
      <c r="S221" s="4"/>
    </row>
    <row r="222" spans="1:19" ht="13.5" thickBot="1" x14ac:dyDescent="0.25">
      <c r="A222" s="13" t="s">
        <v>61</v>
      </c>
      <c r="B222" s="245">
        <v>60</v>
      </c>
      <c r="H222" s="4"/>
      <c r="I222" s="4"/>
      <c r="J222" s="4"/>
      <c r="K222" s="4"/>
      <c r="L222" s="4"/>
      <c r="M222" s="4"/>
      <c r="N222" s="4"/>
      <c r="O222" s="4"/>
      <c r="P222" s="4"/>
      <c r="Q222" s="4"/>
      <c r="R222" s="4"/>
      <c r="S222" s="4"/>
    </row>
    <row r="223" spans="1:19" ht="13.5" thickBot="1" x14ac:dyDescent="0.25">
      <c r="H223" s="4"/>
      <c r="I223" s="4"/>
      <c r="J223" s="4"/>
      <c r="K223" s="4"/>
      <c r="L223" s="4"/>
      <c r="M223" s="4"/>
      <c r="N223" s="4"/>
      <c r="O223" s="4"/>
      <c r="P223" s="4"/>
      <c r="Q223" s="4"/>
      <c r="R223" s="4"/>
      <c r="S223" s="4"/>
    </row>
    <row r="224" spans="1:19" ht="13.5" thickBot="1" x14ac:dyDescent="0.25">
      <c r="A224" s="229" t="s">
        <v>1</v>
      </c>
      <c r="B224" s="26" t="s">
        <v>16</v>
      </c>
      <c r="H224" s="4"/>
      <c r="I224" s="4"/>
      <c r="J224" s="4"/>
      <c r="K224" s="4"/>
      <c r="L224" s="4"/>
      <c r="M224" s="4"/>
      <c r="N224" s="4"/>
      <c r="O224" s="4"/>
      <c r="P224" s="4"/>
      <c r="Q224" s="4"/>
      <c r="R224" s="4"/>
      <c r="S224" s="4"/>
    </row>
    <row r="225" spans="1:19" x14ac:dyDescent="0.2">
      <c r="A225" s="57">
        <v>0</v>
      </c>
      <c r="B225" s="54">
        <v>150</v>
      </c>
      <c r="H225" s="4"/>
      <c r="I225" s="4"/>
      <c r="J225" s="4"/>
      <c r="K225" s="4"/>
      <c r="L225" s="4"/>
      <c r="M225" s="4"/>
      <c r="N225" s="4"/>
      <c r="O225" s="4"/>
      <c r="P225" s="4"/>
      <c r="Q225" s="4"/>
      <c r="R225" s="4"/>
      <c r="S225" s="4"/>
    </row>
    <row r="226" spans="1:19" x14ac:dyDescent="0.2">
      <c r="A226" s="52">
        <v>10</v>
      </c>
      <c r="B226" s="55">
        <v>150</v>
      </c>
      <c r="H226" s="4"/>
      <c r="I226" s="4"/>
      <c r="J226" s="4"/>
      <c r="K226" s="4"/>
      <c r="L226" s="4"/>
      <c r="M226" s="4"/>
      <c r="N226" s="4"/>
      <c r="O226" s="4"/>
      <c r="P226" s="4"/>
      <c r="Q226" s="4"/>
      <c r="R226" s="4"/>
      <c r="S226" s="4"/>
    </row>
    <row r="227" spans="1:19" x14ac:dyDescent="0.2">
      <c r="A227" s="52">
        <v>50</v>
      </c>
      <c r="B227" s="55">
        <v>150</v>
      </c>
      <c r="H227" s="4"/>
      <c r="I227" s="4"/>
      <c r="J227" s="4"/>
      <c r="K227" s="4"/>
      <c r="L227" s="4"/>
      <c r="M227" s="4"/>
      <c r="N227" s="4"/>
      <c r="O227" s="4"/>
      <c r="P227" s="4"/>
      <c r="Q227" s="4"/>
      <c r="R227" s="4"/>
      <c r="S227" s="4"/>
    </row>
    <row r="228" spans="1:19" x14ac:dyDescent="0.2">
      <c r="A228" s="52">
        <v>80</v>
      </c>
      <c r="B228" s="55">
        <v>150</v>
      </c>
      <c r="H228" s="4"/>
      <c r="I228" s="4"/>
      <c r="J228" s="4"/>
      <c r="K228" s="4"/>
      <c r="L228" s="4"/>
      <c r="M228" s="4"/>
      <c r="N228" s="4"/>
      <c r="O228" s="4"/>
      <c r="P228" s="4"/>
      <c r="Q228" s="4"/>
      <c r="R228" s="4"/>
      <c r="S228" s="4"/>
    </row>
    <row r="229" spans="1:19" x14ac:dyDescent="0.2">
      <c r="A229" s="52">
        <v>90</v>
      </c>
      <c r="B229" s="55">
        <v>75</v>
      </c>
      <c r="H229" s="4"/>
      <c r="I229" s="4"/>
      <c r="J229" s="4"/>
      <c r="K229" s="4"/>
      <c r="L229" s="4"/>
      <c r="M229" s="4"/>
      <c r="N229" s="4"/>
      <c r="O229" s="4"/>
      <c r="P229" s="4"/>
      <c r="Q229" s="4"/>
      <c r="R229" s="4"/>
      <c r="S229" s="4"/>
    </row>
    <row r="230" spans="1:19" x14ac:dyDescent="0.2">
      <c r="A230" s="52">
        <v>95</v>
      </c>
      <c r="B230" s="55">
        <v>38</v>
      </c>
      <c r="H230" s="4"/>
      <c r="I230" s="4"/>
      <c r="J230" s="4"/>
      <c r="K230" s="4"/>
      <c r="L230" s="4"/>
      <c r="M230" s="4"/>
      <c r="N230" s="4"/>
      <c r="O230" s="4"/>
      <c r="P230" s="4"/>
      <c r="Q230" s="4"/>
      <c r="R230" s="4"/>
      <c r="S230" s="4"/>
    </row>
    <row r="231" spans="1:19" x14ac:dyDescent="0.2">
      <c r="A231" s="52">
        <v>98</v>
      </c>
      <c r="B231" s="55">
        <v>23</v>
      </c>
      <c r="H231" s="4"/>
      <c r="I231" s="4"/>
      <c r="J231" s="4"/>
      <c r="K231" s="4"/>
      <c r="L231" s="4"/>
      <c r="M231" s="4"/>
      <c r="N231" s="4"/>
      <c r="O231" s="4"/>
      <c r="P231" s="4"/>
      <c r="Q231" s="4"/>
      <c r="R231" s="4"/>
      <c r="S231" s="4"/>
    </row>
    <row r="232" spans="1:19" ht="13.5" thickBot="1" x14ac:dyDescent="0.25">
      <c r="A232" s="53">
        <v>100</v>
      </c>
      <c r="B232" s="56">
        <v>0</v>
      </c>
      <c r="H232" s="4"/>
      <c r="I232" s="4"/>
      <c r="J232" s="4"/>
      <c r="K232" s="4"/>
      <c r="L232" s="4"/>
      <c r="M232" s="4"/>
      <c r="N232" s="4"/>
      <c r="O232" s="4"/>
      <c r="P232" s="4"/>
      <c r="Q232" s="4"/>
      <c r="R232" s="4"/>
      <c r="S232" s="4"/>
    </row>
    <row r="233" spans="1:19" ht="13.5" thickBot="1" x14ac:dyDescent="0.25">
      <c r="A233" s="134"/>
      <c r="B233" s="134"/>
      <c r="H233" s="4"/>
      <c r="I233" s="4"/>
      <c r="J233" s="4"/>
      <c r="K233" s="4"/>
      <c r="L233" s="4"/>
      <c r="M233" s="4"/>
      <c r="N233" s="4"/>
      <c r="O233" s="4"/>
      <c r="P233" s="4"/>
      <c r="Q233" s="4"/>
      <c r="R233" s="4"/>
      <c r="S233" s="4"/>
    </row>
    <row r="234" spans="1:19" ht="13.5" thickBot="1" x14ac:dyDescent="0.25">
      <c r="A234" s="129" t="s">
        <v>17</v>
      </c>
      <c r="B234" s="130" t="s">
        <v>16</v>
      </c>
      <c r="H234" s="4"/>
      <c r="I234" s="4"/>
      <c r="J234" s="4"/>
      <c r="K234" s="4"/>
      <c r="L234" s="4"/>
      <c r="M234" s="4"/>
      <c r="N234" s="4"/>
      <c r="O234" s="4"/>
      <c r="P234" s="4"/>
      <c r="Q234" s="4"/>
      <c r="R234" s="4"/>
      <c r="S234" s="4"/>
    </row>
    <row r="235" spans="1:19" x14ac:dyDescent="0.2">
      <c r="A235" s="143">
        <f t="shared" ref="A235:A242" si="30">A225*F$4/100</f>
        <v>0</v>
      </c>
      <c r="B235" s="144">
        <f t="shared" ref="B235:B242" si="31">B225</f>
        <v>150</v>
      </c>
      <c r="H235" s="4"/>
      <c r="I235" s="4"/>
      <c r="J235" s="4"/>
      <c r="K235" s="4"/>
      <c r="L235" s="4"/>
      <c r="M235" s="4"/>
      <c r="N235" s="4"/>
      <c r="O235" s="4"/>
      <c r="P235" s="4"/>
      <c r="Q235" s="4"/>
      <c r="R235" s="4"/>
      <c r="S235" s="4"/>
    </row>
    <row r="236" spans="1:19" x14ac:dyDescent="0.2">
      <c r="A236" s="131">
        <f t="shared" si="30"/>
        <v>0.15</v>
      </c>
      <c r="B236" s="137">
        <f t="shared" si="31"/>
        <v>150</v>
      </c>
      <c r="H236" s="4"/>
      <c r="I236" s="4"/>
      <c r="J236" s="4"/>
      <c r="K236" s="4"/>
      <c r="L236" s="4"/>
      <c r="M236" s="4"/>
      <c r="N236" s="4"/>
      <c r="O236" s="4"/>
      <c r="P236" s="4"/>
      <c r="Q236" s="4"/>
      <c r="R236" s="4"/>
      <c r="S236" s="4"/>
    </row>
    <row r="237" spans="1:19" x14ac:dyDescent="0.2">
      <c r="A237" s="131">
        <f t="shared" si="30"/>
        <v>0.75</v>
      </c>
      <c r="B237" s="137">
        <f t="shared" si="31"/>
        <v>150</v>
      </c>
      <c r="H237" s="4"/>
      <c r="I237" s="4"/>
      <c r="J237" s="4"/>
      <c r="K237" s="4"/>
      <c r="L237" s="4"/>
      <c r="M237" s="4"/>
      <c r="N237" s="4"/>
      <c r="O237" s="4"/>
      <c r="P237" s="4"/>
      <c r="Q237" s="4"/>
      <c r="R237" s="4"/>
      <c r="S237" s="4"/>
    </row>
    <row r="238" spans="1:19" x14ac:dyDescent="0.2">
      <c r="A238" s="41">
        <f t="shared" si="30"/>
        <v>1.2</v>
      </c>
      <c r="B238" s="42">
        <f t="shared" si="31"/>
        <v>150</v>
      </c>
      <c r="H238" s="4"/>
      <c r="I238" s="4"/>
      <c r="J238" s="4"/>
      <c r="K238" s="4"/>
      <c r="L238" s="4"/>
      <c r="M238" s="4"/>
      <c r="N238" s="4"/>
      <c r="O238" s="4"/>
      <c r="P238" s="4"/>
      <c r="Q238" s="4"/>
      <c r="R238" s="4"/>
      <c r="S238" s="4"/>
    </row>
    <row r="239" spans="1:19" x14ac:dyDescent="0.2">
      <c r="A239" s="41">
        <f t="shared" si="30"/>
        <v>1.35</v>
      </c>
      <c r="B239" s="42">
        <f t="shared" si="31"/>
        <v>75</v>
      </c>
      <c r="H239" s="4"/>
      <c r="I239" s="4"/>
      <c r="J239" s="4"/>
      <c r="K239" s="4"/>
      <c r="L239" s="4"/>
      <c r="M239" s="4"/>
      <c r="N239" s="4"/>
      <c r="O239" s="4"/>
      <c r="P239" s="4"/>
      <c r="Q239" s="4"/>
      <c r="R239" s="4"/>
      <c r="S239" s="4"/>
    </row>
    <row r="240" spans="1:19" x14ac:dyDescent="0.2">
      <c r="A240" s="41">
        <f t="shared" si="30"/>
        <v>1.425</v>
      </c>
      <c r="B240" s="42">
        <f t="shared" si="31"/>
        <v>38</v>
      </c>
      <c r="H240" s="4"/>
      <c r="I240" s="4"/>
      <c r="J240" s="4"/>
      <c r="K240" s="4"/>
      <c r="L240" s="4"/>
      <c r="M240" s="4"/>
      <c r="N240" s="4"/>
      <c r="O240" s="4"/>
      <c r="P240" s="4"/>
      <c r="Q240" s="4"/>
      <c r="R240" s="4"/>
      <c r="S240" s="4"/>
    </row>
    <row r="241" spans="1:19" x14ac:dyDescent="0.2">
      <c r="A241" s="41">
        <f t="shared" si="30"/>
        <v>1.47</v>
      </c>
      <c r="B241" s="42">
        <f t="shared" si="31"/>
        <v>23</v>
      </c>
      <c r="H241" s="4"/>
      <c r="I241" s="4"/>
      <c r="J241" s="4"/>
      <c r="K241" s="4"/>
      <c r="L241" s="4"/>
      <c r="M241" s="4"/>
      <c r="N241" s="4"/>
      <c r="O241" s="4"/>
      <c r="P241" s="4"/>
      <c r="Q241" s="4"/>
      <c r="R241" s="4"/>
      <c r="S241" s="4"/>
    </row>
    <row r="242" spans="1:19" ht="13.5" thickBot="1" x14ac:dyDescent="0.25">
      <c r="A242" s="43">
        <f t="shared" si="30"/>
        <v>1.5</v>
      </c>
      <c r="B242" s="44">
        <f t="shared" si="31"/>
        <v>0</v>
      </c>
      <c r="H242" s="4"/>
      <c r="I242" s="4"/>
      <c r="J242" s="4"/>
      <c r="K242" s="4"/>
      <c r="L242" s="4"/>
      <c r="M242" s="4"/>
      <c r="N242" s="4"/>
      <c r="O242" s="4"/>
      <c r="P242" s="4"/>
      <c r="Q242" s="4"/>
      <c r="R242" s="4"/>
      <c r="S242" s="4"/>
    </row>
    <row r="243" spans="1:19" x14ac:dyDescent="0.2">
      <c r="H243" s="4"/>
      <c r="I243" s="4"/>
      <c r="J243" s="4"/>
      <c r="K243" s="4"/>
      <c r="L243" s="4"/>
      <c r="M243" s="4"/>
      <c r="N243" s="4"/>
      <c r="O243" s="4"/>
      <c r="P243" s="4"/>
      <c r="Q243" s="4"/>
      <c r="R243" s="4"/>
      <c r="S243" s="4"/>
    </row>
    <row r="244" spans="1:19" ht="13.5" thickBot="1" x14ac:dyDescent="0.25">
      <c r="H244" s="4"/>
      <c r="I244" s="4"/>
      <c r="J244" s="4"/>
      <c r="K244" s="4"/>
      <c r="L244" s="4"/>
      <c r="M244" s="4"/>
      <c r="N244" s="4"/>
      <c r="O244" s="4"/>
      <c r="P244" s="4"/>
      <c r="Q244" s="4"/>
      <c r="R244" s="4"/>
      <c r="S244" s="4"/>
    </row>
    <row r="245" spans="1:19" ht="13.5" thickBot="1" x14ac:dyDescent="0.25">
      <c r="A245" s="229" t="s">
        <v>57</v>
      </c>
      <c r="B245" s="26" t="s">
        <v>48</v>
      </c>
      <c r="H245" s="4"/>
      <c r="I245" s="4"/>
      <c r="J245" s="4"/>
      <c r="K245" s="4"/>
      <c r="L245" s="4"/>
      <c r="M245" s="4"/>
      <c r="N245" s="4"/>
      <c r="O245" s="4"/>
      <c r="P245" s="4"/>
      <c r="Q245" s="4"/>
      <c r="R245" s="4"/>
      <c r="S245" s="4"/>
    </row>
    <row r="246" spans="1:19" ht="13.5" thickBot="1" x14ac:dyDescent="0.25">
      <c r="A246" s="13" t="s">
        <v>62</v>
      </c>
      <c r="B246" s="245">
        <v>60</v>
      </c>
      <c r="H246" s="4"/>
      <c r="I246" s="4"/>
      <c r="J246" s="4"/>
      <c r="K246" s="4"/>
      <c r="L246" s="4"/>
      <c r="M246" s="4"/>
      <c r="N246" s="4"/>
      <c r="O246" s="4"/>
      <c r="P246" s="4"/>
      <c r="Q246" s="4"/>
      <c r="R246" s="4"/>
      <c r="S246" s="4"/>
    </row>
    <row r="247" spans="1:19" ht="13.5" thickBot="1" x14ac:dyDescent="0.25">
      <c r="H247" s="4"/>
      <c r="I247" s="4"/>
      <c r="J247" s="4"/>
      <c r="K247" s="4"/>
      <c r="L247" s="4"/>
      <c r="M247" s="4"/>
      <c r="N247" s="4"/>
      <c r="O247" s="4"/>
      <c r="P247" s="4"/>
      <c r="Q247" s="4"/>
      <c r="R247" s="4"/>
      <c r="S247" s="4"/>
    </row>
    <row r="248" spans="1:19" ht="13.5" thickBot="1" x14ac:dyDescent="0.25">
      <c r="A248" s="229" t="s">
        <v>1</v>
      </c>
      <c r="B248" s="26" t="s">
        <v>16</v>
      </c>
      <c r="H248" s="4"/>
      <c r="I248" s="4"/>
      <c r="J248" s="4"/>
      <c r="K248" s="4"/>
      <c r="L248" s="4"/>
      <c r="M248" s="4"/>
      <c r="N248" s="4"/>
      <c r="O248" s="4"/>
      <c r="P248" s="4"/>
      <c r="Q248" s="4"/>
      <c r="R248" s="4"/>
      <c r="S248" s="4"/>
    </row>
    <row r="249" spans="1:19" x14ac:dyDescent="0.2">
      <c r="A249" s="57">
        <v>0</v>
      </c>
      <c r="B249" s="54">
        <v>125</v>
      </c>
      <c r="H249" s="4"/>
      <c r="I249" s="4"/>
      <c r="J249" s="4"/>
      <c r="K249" s="4"/>
      <c r="L249" s="4"/>
      <c r="M249" s="4"/>
      <c r="N249" s="4"/>
      <c r="O249" s="4"/>
      <c r="P249" s="4"/>
      <c r="Q249" s="4"/>
      <c r="R249" s="4"/>
      <c r="S249" s="4"/>
    </row>
    <row r="250" spans="1:19" x14ac:dyDescent="0.2">
      <c r="A250" s="52">
        <v>40</v>
      </c>
      <c r="B250" s="55">
        <v>0</v>
      </c>
      <c r="H250" s="4"/>
      <c r="I250" s="4"/>
      <c r="J250" s="4"/>
      <c r="K250" s="4"/>
      <c r="L250" s="4"/>
      <c r="M250" s="4"/>
      <c r="N250" s="4"/>
      <c r="O250" s="4"/>
      <c r="P250" s="4"/>
      <c r="Q250" s="4"/>
      <c r="R250" s="4"/>
      <c r="S250" s="4"/>
    </row>
    <row r="251" spans="1:19" x14ac:dyDescent="0.2">
      <c r="A251" s="52">
        <v>70</v>
      </c>
      <c r="B251" s="55">
        <v>0</v>
      </c>
      <c r="H251" s="4"/>
      <c r="I251" s="4"/>
      <c r="J251" s="4"/>
      <c r="K251" s="4"/>
      <c r="L251" s="4"/>
      <c r="M251" s="4"/>
      <c r="N251" s="4"/>
      <c r="O251" s="4"/>
      <c r="P251" s="4"/>
      <c r="Q251" s="4"/>
      <c r="R251" s="4"/>
      <c r="S251" s="4"/>
    </row>
    <row r="252" spans="1:19" x14ac:dyDescent="0.2">
      <c r="A252" s="52">
        <v>85</v>
      </c>
      <c r="B252" s="55">
        <v>0</v>
      </c>
      <c r="H252" s="4"/>
      <c r="I252" s="4"/>
      <c r="J252" s="4"/>
      <c r="K252" s="4"/>
      <c r="L252" s="4"/>
      <c r="M252" s="4"/>
      <c r="N252" s="4"/>
      <c r="O252" s="4"/>
      <c r="P252" s="4"/>
      <c r="Q252" s="4"/>
      <c r="R252" s="4"/>
      <c r="S252" s="4"/>
    </row>
    <row r="253" spans="1:19" x14ac:dyDescent="0.2">
      <c r="A253" s="52">
        <v>93</v>
      </c>
      <c r="B253" s="55">
        <v>0</v>
      </c>
      <c r="H253" s="4"/>
      <c r="I253" s="4"/>
      <c r="J253" s="4"/>
      <c r="K253" s="4"/>
      <c r="L253" s="4"/>
      <c r="M253" s="4"/>
      <c r="N253" s="4"/>
      <c r="O253" s="4"/>
      <c r="P253" s="4"/>
      <c r="Q253" s="4"/>
      <c r="R253" s="4"/>
      <c r="S253" s="4"/>
    </row>
    <row r="254" spans="1:19" x14ac:dyDescent="0.2">
      <c r="A254" s="52">
        <v>95</v>
      </c>
      <c r="B254" s="55">
        <v>0</v>
      </c>
      <c r="H254" s="4"/>
      <c r="I254" s="4"/>
      <c r="J254" s="4"/>
      <c r="K254" s="4"/>
      <c r="L254" s="4"/>
      <c r="M254" s="4"/>
      <c r="N254" s="4"/>
      <c r="O254" s="4"/>
      <c r="P254" s="4"/>
      <c r="Q254" s="4"/>
      <c r="R254" s="4"/>
      <c r="S254" s="4"/>
    </row>
    <row r="255" spans="1:19" x14ac:dyDescent="0.2">
      <c r="A255" s="52">
        <v>98</v>
      </c>
      <c r="B255" s="55">
        <v>0</v>
      </c>
      <c r="H255" s="4"/>
      <c r="I255" s="4"/>
      <c r="J255" s="4"/>
      <c r="K255" s="4"/>
      <c r="L255" s="4"/>
      <c r="M255" s="4"/>
      <c r="N255" s="4"/>
      <c r="O255" s="4"/>
      <c r="P255" s="4"/>
      <c r="Q255" s="4"/>
      <c r="R255" s="4"/>
      <c r="S255" s="4"/>
    </row>
    <row r="256" spans="1:19" ht="13.5" thickBot="1" x14ac:dyDescent="0.25">
      <c r="A256" s="53">
        <v>100</v>
      </c>
      <c r="B256" s="56">
        <v>0</v>
      </c>
      <c r="H256" s="4"/>
      <c r="I256" s="4"/>
      <c r="J256" s="4"/>
      <c r="K256" s="4"/>
      <c r="L256" s="4"/>
      <c r="M256" s="4"/>
      <c r="N256" s="4"/>
      <c r="O256" s="4"/>
      <c r="P256" s="4"/>
      <c r="Q256" s="4"/>
      <c r="R256" s="4"/>
      <c r="S256" s="4"/>
    </row>
    <row r="257" spans="1:19" ht="13.5" thickBot="1" x14ac:dyDescent="0.25">
      <c r="H257" s="4"/>
      <c r="I257" s="4"/>
      <c r="J257" s="4"/>
      <c r="K257" s="4"/>
      <c r="L257" s="4"/>
      <c r="M257" s="4"/>
      <c r="N257" s="4"/>
      <c r="O257" s="4"/>
      <c r="P257" s="4"/>
      <c r="Q257" s="4"/>
      <c r="R257" s="4"/>
      <c r="S257" s="4"/>
    </row>
    <row r="258" spans="1:19" ht="13.5" thickBot="1" x14ac:dyDescent="0.25">
      <c r="A258" s="229" t="s">
        <v>17</v>
      </c>
      <c r="B258" s="26" t="s">
        <v>16</v>
      </c>
      <c r="H258" s="4"/>
      <c r="I258" s="4"/>
      <c r="J258" s="4"/>
      <c r="K258" s="4"/>
      <c r="L258" s="4"/>
      <c r="M258" s="4"/>
      <c r="N258" s="4"/>
      <c r="O258" s="4"/>
      <c r="P258" s="4"/>
      <c r="Q258" s="4"/>
      <c r="R258" s="4"/>
      <c r="S258" s="4"/>
    </row>
    <row r="259" spans="1:19" x14ac:dyDescent="0.2">
      <c r="A259" s="39">
        <f t="shared" ref="A259:A266" si="32">A249*F$4/100</f>
        <v>0</v>
      </c>
      <c r="B259" s="40">
        <f t="shared" ref="B259:B266" si="33">B249</f>
        <v>125</v>
      </c>
      <c r="H259" s="4"/>
      <c r="I259" s="4"/>
      <c r="J259" s="4"/>
      <c r="K259" s="4"/>
      <c r="L259" s="4"/>
      <c r="M259" s="4"/>
      <c r="N259" s="4"/>
      <c r="O259" s="4"/>
      <c r="P259" s="4"/>
      <c r="Q259" s="4"/>
      <c r="R259" s="4"/>
      <c r="S259" s="4"/>
    </row>
    <row r="260" spans="1:19" x14ac:dyDescent="0.2">
      <c r="A260" s="41">
        <f t="shared" si="32"/>
        <v>0.6</v>
      </c>
      <c r="B260" s="42">
        <f t="shared" si="33"/>
        <v>0</v>
      </c>
      <c r="H260" s="4"/>
      <c r="I260" s="4"/>
      <c r="J260" s="4"/>
      <c r="K260" s="4"/>
      <c r="L260" s="4"/>
      <c r="M260" s="4"/>
      <c r="N260" s="4"/>
      <c r="O260" s="4"/>
      <c r="P260" s="4"/>
      <c r="Q260" s="4"/>
      <c r="R260" s="4"/>
      <c r="S260" s="4"/>
    </row>
    <row r="261" spans="1:19" x14ac:dyDescent="0.2">
      <c r="A261" s="41">
        <f t="shared" si="32"/>
        <v>1.05</v>
      </c>
      <c r="B261" s="42">
        <f t="shared" si="33"/>
        <v>0</v>
      </c>
      <c r="H261" s="4"/>
      <c r="I261" s="4"/>
      <c r="J261" s="4"/>
      <c r="K261" s="4"/>
      <c r="L261" s="4"/>
      <c r="M261" s="4"/>
      <c r="N261" s="4"/>
      <c r="O261" s="4"/>
      <c r="P261" s="4"/>
      <c r="Q261" s="4"/>
      <c r="R261" s="4"/>
      <c r="S261" s="4"/>
    </row>
    <row r="262" spans="1:19" x14ac:dyDescent="0.2">
      <c r="A262" s="41">
        <f t="shared" si="32"/>
        <v>1.2749999999999999</v>
      </c>
      <c r="B262" s="42">
        <f t="shared" si="33"/>
        <v>0</v>
      </c>
      <c r="H262" s="4"/>
      <c r="I262" s="4"/>
      <c r="J262" s="4"/>
      <c r="K262" s="4"/>
      <c r="L262" s="4"/>
      <c r="M262" s="4"/>
      <c r="N262" s="4"/>
      <c r="O262" s="4"/>
      <c r="P262" s="4"/>
      <c r="Q262" s="4"/>
      <c r="R262" s="4"/>
      <c r="S262" s="4"/>
    </row>
    <row r="263" spans="1:19" x14ac:dyDescent="0.2">
      <c r="A263" s="41">
        <f t="shared" si="32"/>
        <v>1.395</v>
      </c>
      <c r="B263" s="42">
        <f t="shared" si="33"/>
        <v>0</v>
      </c>
      <c r="H263" s="4"/>
      <c r="I263" s="4"/>
      <c r="J263" s="4"/>
      <c r="K263" s="4"/>
      <c r="L263" s="4"/>
      <c r="M263" s="4"/>
      <c r="N263" s="4"/>
      <c r="O263" s="4"/>
      <c r="P263" s="4"/>
      <c r="Q263" s="4"/>
      <c r="R263" s="4"/>
      <c r="S263" s="4"/>
    </row>
    <row r="264" spans="1:19" x14ac:dyDescent="0.2">
      <c r="A264" s="41">
        <f t="shared" si="32"/>
        <v>1.425</v>
      </c>
      <c r="B264" s="42">
        <f t="shared" si="33"/>
        <v>0</v>
      </c>
      <c r="H264" s="4"/>
      <c r="I264" s="4"/>
      <c r="J264" s="4"/>
      <c r="K264" s="4"/>
      <c r="L264" s="4"/>
      <c r="M264" s="4"/>
      <c r="N264" s="4"/>
      <c r="O264" s="4"/>
      <c r="P264" s="4"/>
      <c r="Q264" s="4"/>
      <c r="R264" s="4"/>
      <c r="S264" s="4"/>
    </row>
    <row r="265" spans="1:19" x14ac:dyDescent="0.2">
      <c r="A265" s="41">
        <f t="shared" si="32"/>
        <v>1.47</v>
      </c>
      <c r="B265" s="42">
        <f t="shared" si="33"/>
        <v>0</v>
      </c>
      <c r="H265" s="4"/>
      <c r="I265" s="4"/>
      <c r="J265" s="4"/>
      <c r="K265" s="4"/>
      <c r="L265" s="4"/>
      <c r="M265" s="4"/>
      <c r="N265" s="4"/>
      <c r="O265" s="4"/>
      <c r="P265" s="4"/>
      <c r="Q265" s="4"/>
      <c r="R265" s="4"/>
      <c r="S265" s="4"/>
    </row>
    <row r="266" spans="1:19" ht="13.5" thickBot="1" x14ac:dyDescent="0.25">
      <c r="A266" s="43">
        <f t="shared" si="32"/>
        <v>1.5</v>
      </c>
      <c r="B266" s="145">
        <f t="shared" si="33"/>
        <v>0</v>
      </c>
      <c r="H266" s="4"/>
      <c r="I266" s="4"/>
      <c r="J266" s="4"/>
      <c r="K266" s="4"/>
      <c r="L266" s="4"/>
      <c r="M266" s="4"/>
      <c r="N266" s="4"/>
      <c r="O266" s="4"/>
      <c r="P266" s="4"/>
      <c r="Q266" s="4"/>
      <c r="R266" s="4"/>
      <c r="S266" s="4"/>
    </row>
    <row r="267" spans="1:19" x14ac:dyDescent="0.2">
      <c r="H267" s="4"/>
      <c r="I267" s="4"/>
      <c r="J267" s="4"/>
      <c r="K267" s="4"/>
      <c r="L267" s="4"/>
      <c r="M267" s="4"/>
      <c r="N267" s="4"/>
      <c r="O267" s="4"/>
      <c r="P267" s="4"/>
      <c r="Q267" s="4"/>
      <c r="R267" s="4"/>
      <c r="S267" s="4"/>
    </row>
    <row r="268" spans="1:19" ht="13.5" thickBot="1" x14ac:dyDescent="0.25">
      <c r="H268" s="4"/>
      <c r="I268" s="4"/>
      <c r="J268" s="4"/>
      <c r="K268" s="4"/>
      <c r="L268" s="4"/>
      <c r="M268" s="4"/>
      <c r="N268" s="4"/>
      <c r="O268" s="4"/>
      <c r="P268" s="4"/>
      <c r="Q268" s="4"/>
      <c r="R268" s="4"/>
      <c r="S268" s="4"/>
    </row>
    <row r="269" spans="1:19" ht="13.5" thickBot="1" x14ac:dyDescent="0.25">
      <c r="A269" s="129" t="s">
        <v>57</v>
      </c>
      <c r="B269" s="130" t="s">
        <v>48</v>
      </c>
      <c r="H269" s="4"/>
      <c r="I269" s="4"/>
      <c r="J269" s="4"/>
      <c r="K269" s="4"/>
      <c r="L269" s="4"/>
      <c r="M269" s="4"/>
      <c r="N269" s="4"/>
      <c r="O269" s="4"/>
      <c r="P269" s="4"/>
      <c r="Q269" s="4"/>
      <c r="R269" s="4"/>
      <c r="S269" s="4"/>
    </row>
    <row r="270" spans="1:19" ht="13.5" thickBot="1" x14ac:dyDescent="0.25">
      <c r="A270" s="133" t="s">
        <v>63</v>
      </c>
      <c r="B270" s="246">
        <v>60</v>
      </c>
      <c r="H270" s="4"/>
      <c r="I270" s="4"/>
      <c r="J270" s="4"/>
      <c r="K270" s="4"/>
      <c r="L270" s="4"/>
      <c r="M270" s="4"/>
      <c r="N270" s="4"/>
      <c r="O270" s="4"/>
      <c r="P270" s="4"/>
      <c r="Q270" s="4"/>
      <c r="R270" s="4"/>
      <c r="S270" s="4"/>
    </row>
    <row r="271" spans="1:19" ht="13.5" thickBot="1" x14ac:dyDescent="0.25">
      <c r="A271" s="146"/>
      <c r="B271" s="146"/>
      <c r="H271" s="4"/>
      <c r="I271" s="4"/>
      <c r="J271" s="4"/>
      <c r="K271" s="4"/>
      <c r="L271" s="4"/>
      <c r="M271" s="4"/>
      <c r="N271" s="4"/>
      <c r="O271" s="4"/>
      <c r="P271" s="4"/>
      <c r="Q271" s="4"/>
      <c r="R271" s="4"/>
      <c r="S271" s="4"/>
    </row>
    <row r="272" spans="1:19" ht="13.5" thickBot="1" x14ac:dyDescent="0.25">
      <c r="A272" s="129" t="s">
        <v>1</v>
      </c>
      <c r="B272" s="130" t="s">
        <v>16</v>
      </c>
      <c r="H272" s="4"/>
      <c r="I272" s="4"/>
      <c r="J272" s="4"/>
      <c r="K272" s="4"/>
      <c r="L272" s="4"/>
      <c r="M272" s="4"/>
      <c r="N272" s="4"/>
      <c r="O272" s="4"/>
      <c r="P272" s="4"/>
      <c r="Q272" s="4"/>
      <c r="R272" s="4"/>
      <c r="S272" s="4"/>
    </row>
    <row r="273" spans="1:19" x14ac:dyDescent="0.2">
      <c r="A273" s="57">
        <v>0</v>
      </c>
      <c r="B273" s="54">
        <v>0</v>
      </c>
      <c r="H273" s="4"/>
      <c r="I273" s="4"/>
      <c r="J273" s="4"/>
      <c r="K273" s="4"/>
      <c r="L273" s="4"/>
      <c r="M273" s="4"/>
      <c r="N273" s="4"/>
      <c r="O273" s="4"/>
      <c r="P273" s="4"/>
      <c r="Q273" s="4"/>
      <c r="R273" s="4"/>
      <c r="S273" s="4"/>
    </row>
    <row r="274" spans="1:19" x14ac:dyDescent="0.2">
      <c r="A274" s="52">
        <v>10</v>
      </c>
      <c r="B274" s="55">
        <v>0</v>
      </c>
      <c r="H274" s="4"/>
      <c r="I274" s="4"/>
      <c r="J274" s="4"/>
      <c r="K274" s="4"/>
      <c r="L274" s="4"/>
      <c r="M274" s="4"/>
      <c r="N274" s="4"/>
      <c r="O274" s="4"/>
      <c r="P274" s="4"/>
      <c r="Q274" s="4"/>
      <c r="R274" s="4"/>
      <c r="S274" s="4"/>
    </row>
    <row r="275" spans="1:19" x14ac:dyDescent="0.2">
      <c r="A275" s="52">
        <v>50</v>
      </c>
      <c r="B275" s="55">
        <v>0</v>
      </c>
      <c r="H275" s="4"/>
      <c r="I275" s="4"/>
      <c r="J275" s="4"/>
      <c r="K275" s="4"/>
      <c r="L275" s="4"/>
      <c r="M275" s="4"/>
      <c r="N275" s="4"/>
      <c r="O275" s="4"/>
      <c r="P275" s="4"/>
      <c r="Q275" s="4"/>
      <c r="R275" s="4"/>
      <c r="S275" s="4"/>
    </row>
    <row r="276" spans="1:19" x14ac:dyDescent="0.2">
      <c r="A276" s="52">
        <v>75</v>
      </c>
      <c r="B276" s="55">
        <v>0</v>
      </c>
      <c r="H276" s="4"/>
      <c r="I276" s="4"/>
      <c r="J276" s="4"/>
      <c r="K276" s="4"/>
      <c r="L276" s="4"/>
      <c r="M276" s="4"/>
      <c r="N276" s="4"/>
      <c r="O276" s="4"/>
      <c r="P276" s="4"/>
      <c r="Q276" s="4"/>
      <c r="R276" s="4"/>
      <c r="S276" s="4"/>
    </row>
    <row r="277" spans="1:19" x14ac:dyDescent="0.2">
      <c r="A277" s="52">
        <v>88</v>
      </c>
      <c r="B277" s="55">
        <v>0</v>
      </c>
      <c r="H277" s="4"/>
      <c r="I277" s="4"/>
      <c r="J277" s="4"/>
      <c r="K277" s="4"/>
      <c r="L277" s="4"/>
      <c r="M277" s="4"/>
      <c r="N277" s="4"/>
      <c r="O277" s="4"/>
      <c r="P277" s="4"/>
      <c r="Q277" s="4"/>
      <c r="R277" s="4"/>
      <c r="S277" s="4"/>
    </row>
    <row r="278" spans="1:19" x14ac:dyDescent="0.2">
      <c r="A278" s="52">
        <v>94</v>
      </c>
      <c r="B278" s="55">
        <v>0</v>
      </c>
      <c r="H278" s="4"/>
      <c r="I278" s="4"/>
      <c r="J278" s="4"/>
      <c r="K278" s="4"/>
      <c r="L278" s="4"/>
      <c r="M278" s="4"/>
      <c r="N278" s="4"/>
      <c r="O278" s="4"/>
      <c r="P278" s="4"/>
      <c r="Q278" s="4"/>
      <c r="R278" s="4"/>
      <c r="S278" s="4"/>
    </row>
    <row r="279" spans="1:19" x14ac:dyDescent="0.2">
      <c r="A279" s="52">
        <v>95</v>
      </c>
      <c r="B279" s="55">
        <v>0</v>
      </c>
      <c r="H279" s="4"/>
      <c r="I279" s="4"/>
      <c r="J279" s="4"/>
      <c r="K279" s="4"/>
      <c r="L279" s="4"/>
      <c r="M279" s="4"/>
      <c r="N279" s="4"/>
      <c r="O279" s="4"/>
      <c r="P279" s="4"/>
      <c r="Q279" s="4"/>
      <c r="R279" s="4"/>
      <c r="S279" s="4"/>
    </row>
    <row r="280" spans="1:19" ht="13.5" thickBot="1" x14ac:dyDescent="0.25">
      <c r="A280" s="53">
        <v>100</v>
      </c>
      <c r="B280" s="56">
        <v>0</v>
      </c>
      <c r="H280" s="4"/>
      <c r="I280" s="4"/>
      <c r="J280" s="4"/>
      <c r="K280" s="4"/>
      <c r="L280" s="4"/>
      <c r="M280" s="4"/>
      <c r="N280" s="4"/>
      <c r="O280" s="4"/>
      <c r="P280" s="4"/>
      <c r="Q280" s="4"/>
      <c r="R280" s="4"/>
      <c r="S280" s="4"/>
    </row>
    <row r="281" spans="1:19" ht="13.5" thickBot="1" x14ac:dyDescent="0.25">
      <c r="H281" s="4"/>
      <c r="I281" s="4"/>
      <c r="J281" s="4"/>
      <c r="K281" s="4"/>
      <c r="L281" s="4"/>
      <c r="M281" s="4"/>
      <c r="N281" s="4"/>
      <c r="O281" s="4"/>
      <c r="P281" s="4"/>
      <c r="Q281" s="4"/>
      <c r="R281" s="4"/>
      <c r="S281" s="4"/>
    </row>
    <row r="282" spans="1:19" ht="13.5" thickBot="1" x14ac:dyDescent="0.25">
      <c r="A282" s="229" t="s">
        <v>17</v>
      </c>
      <c r="B282" s="26" t="s">
        <v>16</v>
      </c>
      <c r="H282" s="4"/>
      <c r="I282" s="4"/>
      <c r="J282" s="4"/>
      <c r="K282" s="4"/>
      <c r="L282" s="4"/>
      <c r="M282" s="4"/>
      <c r="N282" s="4"/>
      <c r="O282" s="4"/>
      <c r="P282" s="4"/>
      <c r="Q282" s="4"/>
      <c r="R282" s="4"/>
      <c r="S282" s="4"/>
    </row>
    <row r="283" spans="1:19" x14ac:dyDescent="0.2">
      <c r="A283" s="39">
        <f t="shared" ref="A283:A290" si="34">A273*F$4/100</f>
        <v>0</v>
      </c>
      <c r="B283" s="40">
        <f t="shared" ref="B283:B290" si="35">B273</f>
        <v>0</v>
      </c>
      <c r="H283" s="4"/>
      <c r="I283" s="4"/>
      <c r="J283" s="4"/>
      <c r="K283" s="4"/>
      <c r="L283" s="4"/>
      <c r="M283" s="4"/>
      <c r="N283" s="4"/>
      <c r="O283" s="4"/>
      <c r="P283" s="4"/>
      <c r="Q283" s="4"/>
      <c r="R283" s="4"/>
      <c r="S283" s="4"/>
    </row>
    <row r="284" spans="1:19" x14ac:dyDescent="0.2">
      <c r="A284" s="41">
        <f t="shared" si="34"/>
        <v>0.15</v>
      </c>
      <c r="B284" s="42">
        <f t="shared" si="35"/>
        <v>0</v>
      </c>
      <c r="H284" s="4"/>
      <c r="I284" s="4"/>
      <c r="J284" s="4"/>
      <c r="K284" s="4"/>
      <c r="L284" s="4"/>
      <c r="M284" s="4"/>
      <c r="N284" s="4"/>
      <c r="O284" s="4"/>
      <c r="P284" s="4"/>
      <c r="Q284" s="4"/>
      <c r="R284" s="4"/>
      <c r="S284" s="4"/>
    </row>
    <row r="285" spans="1:19" x14ac:dyDescent="0.2">
      <c r="A285" s="41">
        <f t="shared" si="34"/>
        <v>0.75</v>
      </c>
      <c r="B285" s="42">
        <f t="shared" si="35"/>
        <v>0</v>
      </c>
      <c r="H285" s="4"/>
      <c r="I285" s="4"/>
      <c r="J285" s="4"/>
      <c r="K285" s="4"/>
      <c r="L285" s="4"/>
      <c r="M285" s="4"/>
      <c r="N285" s="4"/>
      <c r="O285" s="4"/>
      <c r="P285" s="4"/>
      <c r="Q285" s="4"/>
      <c r="R285" s="4"/>
      <c r="S285" s="4"/>
    </row>
    <row r="286" spans="1:19" x14ac:dyDescent="0.2">
      <c r="A286" s="41">
        <f t="shared" si="34"/>
        <v>1.125</v>
      </c>
      <c r="B286" s="135">
        <f t="shared" si="35"/>
        <v>0</v>
      </c>
      <c r="H286" s="4"/>
      <c r="I286" s="4"/>
      <c r="J286" s="4"/>
      <c r="K286" s="4"/>
      <c r="L286" s="4"/>
      <c r="M286" s="4"/>
      <c r="N286" s="4"/>
      <c r="O286" s="4"/>
      <c r="P286" s="4"/>
      <c r="Q286" s="4"/>
      <c r="R286" s="4"/>
      <c r="S286" s="4"/>
    </row>
    <row r="287" spans="1:19" x14ac:dyDescent="0.2">
      <c r="A287" s="41">
        <f t="shared" si="34"/>
        <v>1.32</v>
      </c>
      <c r="B287" s="42">
        <f t="shared" si="35"/>
        <v>0</v>
      </c>
      <c r="H287" s="4"/>
      <c r="I287" s="4"/>
      <c r="J287" s="4"/>
      <c r="K287" s="4"/>
      <c r="L287" s="4"/>
      <c r="M287" s="4"/>
      <c r="N287" s="4"/>
      <c r="O287" s="4"/>
      <c r="P287" s="4"/>
      <c r="Q287" s="4"/>
      <c r="R287" s="4"/>
      <c r="S287" s="4"/>
    </row>
    <row r="288" spans="1:19" x14ac:dyDescent="0.2">
      <c r="A288" s="41">
        <f t="shared" si="34"/>
        <v>1.41</v>
      </c>
      <c r="B288" s="42">
        <f t="shared" si="35"/>
        <v>0</v>
      </c>
      <c r="H288" s="4"/>
      <c r="I288" s="4"/>
      <c r="J288" s="4"/>
      <c r="K288" s="4"/>
      <c r="L288" s="4"/>
      <c r="M288" s="4"/>
      <c r="N288" s="4"/>
      <c r="O288" s="4"/>
      <c r="P288" s="4"/>
      <c r="Q288" s="4"/>
      <c r="R288" s="4"/>
      <c r="S288" s="4"/>
    </row>
    <row r="289" spans="1:19" x14ac:dyDescent="0.2">
      <c r="A289" s="148">
        <f t="shared" si="34"/>
        <v>1.425</v>
      </c>
      <c r="B289" s="149">
        <f t="shared" si="35"/>
        <v>0</v>
      </c>
      <c r="H289" s="4"/>
      <c r="I289" s="4"/>
      <c r="J289" s="4"/>
      <c r="K289" s="4"/>
      <c r="L289" s="4"/>
      <c r="M289" s="4"/>
      <c r="N289" s="4"/>
      <c r="O289" s="4"/>
      <c r="P289" s="4"/>
      <c r="Q289" s="4"/>
      <c r="R289" s="4"/>
      <c r="S289" s="4"/>
    </row>
    <row r="290" spans="1:19" ht="13.5" thickBot="1" x14ac:dyDescent="0.25">
      <c r="A290" s="150">
        <f t="shared" si="34"/>
        <v>1.5</v>
      </c>
      <c r="B290" s="151">
        <f t="shared" si="35"/>
        <v>0</v>
      </c>
      <c r="H290" s="4"/>
      <c r="I290" s="4"/>
      <c r="J290" s="4"/>
      <c r="K290" s="4"/>
      <c r="L290" s="4"/>
      <c r="M290" s="4"/>
      <c r="N290" s="4"/>
      <c r="O290" s="4"/>
      <c r="P290" s="4"/>
      <c r="Q290" s="4"/>
      <c r="R290" s="4"/>
      <c r="S290" s="4"/>
    </row>
    <row r="291" spans="1:19" x14ac:dyDescent="0.2">
      <c r="A291" s="146"/>
      <c r="B291" s="146"/>
      <c r="H291" s="4"/>
      <c r="I291" s="4"/>
      <c r="J291" s="4"/>
      <c r="K291" s="4"/>
      <c r="L291" s="4"/>
      <c r="M291" s="4"/>
      <c r="N291" s="4"/>
      <c r="O291" s="4"/>
      <c r="P291" s="4"/>
      <c r="Q291" s="4"/>
      <c r="R291" s="4"/>
      <c r="S291" s="4"/>
    </row>
    <row r="292" spans="1:19" ht="13.5" thickBot="1" x14ac:dyDescent="0.25">
      <c r="A292" s="146"/>
      <c r="B292" s="146"/>
      <c r="H292" s="4"/>
      <c r="I292" s="4"/>
      <c r="J292" s="4"/>
      <c r="K292" s="4"/>
      <c r="L292" s="4"/>
      <c r="M292" s="4"/>
      <c r="N292" s="4"/>
      <c r="O292" s="4"/>
      <c r="P292" s="4"/>
      <c r="Q292" s="4"/>
      <c r="R292" s="4"/>
      <c r="S292" s="4"/>
    </row>
    <row r="293" spans="1:19" ht="13.5" thickBot="1" x14ac:dyDescent="0.25">
      <c r="A293" s="129" t="s">
        <v>57</v>
      </c>
      <c r="B293" s="130" t="s">
        <v>48</v>
      </c>
      <c r="H293" s="4"/>
      <c r="I293" s="4"/>
      <c r="J293" s="4"/>
      <c r="K293" s="4"/>
      <c r="L293" s="4"/>
      <c r="M293" s="4"/>
      <c r="N293" s="4"/>
      <c r="O293" s="4"/>
      <c r="P293" s="4"/>
      <c r="Q293" s="4"/>
      <c r="R293" s="4"/>
      <c r="S293" s="4"/>
    </row>
    <row r="294" spans="1:19" ht="13.5" thickBot="1" x14ac:dyDescent="0.25">
      <c r="A294" s="133" t="s">
        <v>64</v>
      </c>
      <c r="B294" s="246">
        <v>60</v>
      </c>
      <c r="H294" s="4"/>
      <c r="I294" s="4"/>
      <c r="J294" s="4"/>
      <c r="K294" s="4"/>
      <c r="L294" s="4"/>
      <c r="M294" s="4"/>
      <c r="N294" s="4"/>
      <c r="O294" s="4"/>
      <c r="P294" s="4"/>
      <c r="Q294" s="4"/>
      <c r="R294" s="4"/>
      <c r="S294" s="4"/>
    </row>
    <row r="295" spans="1:19" ht="13.5" thickBot="1" x14ac:dyDescent="0.25">
      <c r="H295" s="4"/>
      <c r="I295" s="4"/>
      <c r="J295" s="4"/>
      <c r="K295" s="4"/>
      <c r="L295" s="4"/>
      <c r="M295" s="4"/>
      <c r="N295" s="4"/>
      <c r="O295" s="4"/>
      <c r="P295" s="4"/>
      <c r="Q295" s="4"/>
      <c r="R295" s="4"/>
      <c r="S295" s="4"/>
    </row>
    <row r="296" spans="1:19" ht="13.5" thickBot="1" x14ac:dyDescent="0.25">
      <c r="A296" s="229" t="s">
        <v>1</v>
      </c>
      <c r="B296" s="26" t="s">
        <v>16</v>
      </c>
      <c r="H296" s="4"/>
      <c r="I296" s="4"/>
      <c r="J296" s="4"/>
      <c r="K296" s="4"/>
      <c r="L296" s="4"/>
      <c r="M296" s="4"/>
      <c r="N296" s="4"/>
      <c r="O296" s="4"/>
      <c r="P296" s="4"/>
      <c r="Q296" s="4"/>
      <c r="R296" s="4"/>
      <c r="S296" s="4"/>
    </row>
    <row r="297" spans="1:19" x14ac:dyDescent="0.2">
      <c r="A297" s="57">
        <v>0</v>
      </c>
      <c r="B297" s="54">
        <v>0</v>
      </c>
      <c r="H297" s="4"/>
      <c r="I297" s="4"/>
      <c r="J297" s="4"/>
      <c r="K297" s="4"/>
      <c r="L297" s="4"/>
      <c r="M297" s="4"/>
      <c r="N297" s="4"/>
      <c r="O297" s="4"/>
      <c r="P297" s="4"/>
      <c r="Q297" s="4"/>
      <c r="R297" s="4"/>
      <c r="S297" s="4"/>
    </row>
    <row r="298" spans="1:19" x14ac:dyDescent="0.2">
      <c r="A298" s="52">
        <v>10</v>
      </c>
      <c r="B298" s="55">
        <v>0</v>
      </c>
      <c r="H298" s="4"/>
      <c r="I298" s="4"/>
      <c r="J298" s="4"/>
      <c r="K298" s="4"/>
      <c r="L298" s="4"/>
      <c r="M298" s="4"/>
      <c r="N298" s="4"/>
      <c r="O298" s="4"/>
      <c r="P298" s="4"/>
      <c r="Q298" s="4"/>
      <c r="R298" s="4"/>
      <c r="S298" s="4"/>
    </row>
    <row r="299" spans="1:19" x14ac:dyDescent="0.2">
      <c r="A299" s="52">
        <v>50</v>
      </c>
      <c r="B299" s="55">
        <v>0</v>
      </c>
      <c r="H299" s="4"/>
      <c r="I299" s="4"/>
      <c r="J299" s="4"/>
      <c r="K299" s="4"/>
      <c r="L299" s="4"/>
      <c r="M299" s="4"/>
      <c r="N299" s="4"/>
      <c r="O299" s="4"/>
      <c r="P299" s="4"/>
      <c r="Q299" s="4"/>
      <c r="R299" s="4"/>
      <c r="S299" s="4"/>
    </row>
    <row r="300" spans="1:19" x14ac:dyDescent="0.2">
      <c r="A300" s="52">
        <v>75</v>
      </c>
      <c r="B300" s="55">
        <v>0</v>
      </c>
      <c r="H300" s="4"/>
      <c r="I300" s="4"/>
      <c r="J300" s="4"/>
      <c r="K300" s="4"/>
      <c r="L300" s="4"/>
      <c r="M300" s="4"/>
      <c r="N300" s="4"/>
      <c r="O300" s="4"/>
      <c r="P300" s="4"/>
      <c r="Q300" s="4"/>
      <c r="R300" s="4"/>
      <c r="S300" s="4"/>
    </row>
    <row r="301" spans="1:19" x14ac:dyDescent="0.2">
      <c r="A301" s="52">
        <v>88</v>
      </c>
      <c r="B301" s="55">
        <v>0</v>
      </c>
      <c r="H301" s="4"/>
      <c r="I301" s="4"/>
      <c r="J301" s="4"/>
      <c r="K301" s="4"/>
      <c r="L301" s="4"/>
      <c r="M301" s="4"/>
      <c r="N301" s="4"/>
      <c r="O301" s="4"/>
      <c r="P301" s="4"/>
      <c r="Q301" s="4"/>
      <c r="R301" s="4"/>
      <c r="S301" s="4"/>
    </row>
    <row r="302" spans="1:19" x14ac:dyDescent="0.2">
      <c r="A302" s="52">
        <v>94</v>
      </c>
      <c r="B302" s="55">
        <v>0</v>
      </c>
      <c r="H302" s="4"/>
      <c r="I302" s="4"/>
      <c r="J302" s="4"/>
      <c r="K302" s="4"/>
      <c r="L302" s="4"/>
      <c r="M302" s="4"/>
      <c r="N302" s="4"/>
      <c r="O302" s="4"/>
      <c r="P302" s="4"/>
      <c r="Q302" s="4"/>
      <c r="R302" s="4"/>
      <c r="S302" s="4"/>
    </row>
    <row r="303" spans="1:19" x14ac:dyDescent="0.2">
      <c r="A303" s="52">
        <v>95</v>
      </c>
      <c r="B303" s="55">
        <v>0</v>
      </c>
      <c r="H303" s="4"/>
      <c r="I303" s="4"/>
      <c r="J303" s="4"/>
      <c r="K303" s="4"/>
      <c r="L303" s="4"/>
      <c r="M303" s="4"/>
      <c r="N303" s="4"/>
      <c r="O303" s="4"/>
      <c r="P303" s="4"/>
      <c r="Q303" s="4"/>
      <c r="R303" s="4"/>
      <c r="S303" s="4"/>
    </row>
    <row r="304" spans="1:19" ht="13.5" thickBot="1" x14ac:dyDescent="0.25">
      <c r="A304" s="53">
        <v>100</v>
      </c>
      <c r="B304" s="56">
        <v>0</v>
      </c>
      <c r="H304" s="4"/>
      <c r="I304" s="4"/>
      <c r="J304" s="4"/>
      <c r="K304" s="4"/>
      <c r="L304" s="4"/>
      <c r="M304" s="4"/>
      <c r="N304" s="4"/>
      <c r="O304" s="4"/>
      <c r="P304" s="4"/>
      <c r="Q304" s="4"/>
      <c r="R304" s="4"/>
      <c r="S304" s="4"/>
    </row>
    <row r="305" spans="1:19" ht="13.5" thickBot="1" x14ac:dyDescent="0.25">
      <c r="H305" s="4"/>
      <c r="I305" s="4"/>
      <c r="J305" s="4"/>
      <c r="K305" s="4"/>
      <c r="L305" s="4"/>
      <c r="M305" s="4"/>
      <c r="N305" s="4"/>
      <c r="O305" s="4"/>
      <c r="P305" s="4"/>
      <c r="Q305" s="4"/>
      <c r="R305" s="4"/>
      <c r="S305" s="4"/>
    </row>
    <row r="306" spans="1:19" ht="13.5" thickBot="1" x14ac:dyDescent="0.25">
      <c r="A306" s="229" t="s">
        <v>17</v>
      </c>
      <c r="B306" s="130" t="s">
        <v>16</v>
      </c>
      <c r="H306" s="4"/>
      <c r="I306" s="4"/>
      <c r="J306" s="4"/>
      <c r="K306" s="4"/>
      <c r="L306" s="4"/>
      <c r="M306" s="4"/>
      <c r="N306" s="4"/>
      <c r="O306" s="4"/>
      <c r="P306" s="4"/>
      <c r="Q306" s="4"/>
      <c r="R306" s="4"/>
      <c r="S306" s="4"/>
    </row>
    <row r="307" spans="1:19" x14ac:dyDescent="0.2">
      <c r="A307" s="234">
        <f t="shared" ref="A307:A314" si="36">A297*F$4/100</f>
        <v>0</v>
      </c>
      <c r="B307" s="235">
        <f t="shared" ref="B307:B314" si="37">B297</f>
        <v>0</v>
      </c>
      <c r="H307" s="4"/>
      <c r="I307" s="4"/>
      <c r="J307" s="4"/>
      <c r="K307" s="4"/>
      <c r="L307" s="4"/>
      <c r="M307" s="4"/>
      <c r="N307" s="4"/>
      <c r="O307" s="4"/>
      <c r="P307" s="4"/>
      <c r="Q307" s="4"/>
      <c r="R307" s="4"/>
      <c r="S307" s="4"/>
    </row>
    <row r="308" spans="1:19" x14ac:dyDescent="0.2">
      <c r="A308" s="136">
        <f t="shared" si="36"/>
        <v>0.15</v>
      </c>
      <c r="B308" s="135">
        <f t="shared" si="37"/>
        <v>0</v>
      </c>
      <c r="H308" s="4"/>
      <c r="I308" s="4"/>
      <c r="J308" s="4"/>
      <c r="K308" s="4"/>
      <c r="L308" s="4"/>
      <c r="M308" s="4"/>
      <c r="N308" s="4"/>
      <c r="O308" s="4"/>
      <c r="P308" s="4"/>
      <c r="Q308" s="4"/>
      <c r="R308" s="4"/>
      <c r="S308" s="4"/>
    </row>
    <row r="309" spans="1:19" x14ac:dyDescent="0.2">
      <c r="A309" s="131">
        <f t="shared" si="36"/>
        <v>0.75</v>
      </c>
      <c r="B309" s="137">
        <f t="shared" si="37"/>
        <v>0</v>
      </c>
      <c r="H309" s="4"/>
      <c r="I309" s="4"/>
      <c r="J309" s="4"/>
      <c r="K309" s="4"/>
      <c r="L309" s="4"/>
      <c r="M309" s="4"/>
      <c r="N309" s="4"/>
      <c r="O309" s="4"/>
      <c r="P309" s="4"/>
      <c r="Q309" s="4"/>
      <c r="R309" s="4"/>
      <c r="S309" s="4"/>
    </row>
    <row r="310" spans="1:19" x14ac:dyDescent="0.2">
      <c r="A310" s="131">
        <f t="shared" si="36"/>
        <v>1.125</v>
      </c>
      <c r="B310" s="137">
        <f t="shared" si="37"/>
        <v>0</v>
      </c>
      <c r="H310" s="4"/>
      <c r="I310" s="4"/>
      <c r="J310" s="4"/>
      <c r="K310" s="4"/>
      <c r="L310" s="4"/>
      <c r="M310" s="4"/>
      <c r="N310" s="4"/>
      <c r="O310" s="4"/>
      <c r="P310" s="4"/>
      <c r="Q310" s="4"/>
      <c r="R310" s="4"/>
      <c r="S310" s="4"/>
    </row>
    <row r="311" spans="1:19" x14ac:dyDescent="0.2">
      <c r="A311" s="131">
        <f t="shared" si="36"/>
        <v>1.32</v>
      </c>
      <c r="B311" s="137">
        <f t="shared" si="37"/>
        <v>0</v>
      </c>
      <c r="H311" s="4"/>
      <c r="I311" s="4"/>
      <c r="J311" s="4"/>
      <c r="K311" s="4"/>
      <c r="L311" s="4"/>
      <c r="M311" s="4"/>
      <c r="N311" s="4"/>
      <c r="O311" s="4"/>
      <c r="P311" s="4"/>
      <c r="Q311" s="4"/>
      <c r="R311" s="4"/>
      <c r="S311" s="4"/>
    </row>
    <row r="312" spans="1:19" x14ac:dyDescent="0.2">
      <c r="A312" s="131">
        <f t="shared" si="36"/>
        <v>1.41</v>
      </c>
      <c r="B312" s="137">
        <f t="shared" si="37"/>
        <v>0</v>
      </c>
      <c r="H312" s="4"/>
      <c r="I312" s="4"/>
      <c r="J312" s="4"/>
      <c r="K312" s="4"/>
      <c r="L312" s="4"/>
      <c r="M312" s="4"/>
      <c r="N312" s="4"/>
      <c r="O312" s="4"/>
      <c r="P312" s="4"/>
      <c r="Q312" s="4"/>
      <c r="R312" s="4"/>
      <c r="S312" s="4"/>
    </row>
    <row r="313" spans="1:19" x14ac:dyDescent="0.2">
      <c r="A313" s="131">
        <f t="shared" si="36"/>
        <v>1.425</v>
      </c>
      <c r="B313" s="137">
        <f t="shared" si="37"/>
        <v>0</v>
      </c>
      <c r="H313" s="4"/>
      <c r="I313" s="4"/>
      <c r="J313" s="4"/>
      <c r="K313" s="4"/>
      <c r="L313" s="4"/>
      <c r="M313" s="4"/>
      <c r="N313" s="4"/>
      <c r="O313" s="4"/>
      <c r="P313" s="4"/>
      <c r="Q313" s="4"/>
      <c r="R313" s="4"/>
      <c r="S313" s="4"/>
    </row>
    <row r="314" spans="1:19" ht="13.5" thickBot="1" x14ac:dyDescent="0.25">
      <c r="A314" s="138">
        <f t="shared" si="36"/>
        <v>1.5</v>
      </c>
      <c r="B314" s="139">
        <f t="shared" si="37"/>
        <v>0</v>
      </c>
      <c r="H314" s="4"/>
      <c r="I314" s="4"/>
      <c r="J314" s="4"/>
      <c r="K314" s="4"/>
      <c r="L314" s="4"/>
      <c r="M314" s="4"/>
      <c r="N314" s="4"/>
      <c r="O314" s="4"/>
      <c r="P314" s="4"/>
      <c r="Q314" s="4"/>
      <c r="R314" s="4"/>
      <c r="S314" s="4"/>
    </row>
    <row r="315" spans="1:19" x14ac:dyDescent="0.2">
      <c r="H315" s="4"/>
      <c r="I315" s="4"/>
      <c r="J315" s="4"/>
      <c r="K315" s="4"/>
      <c r="L315" s="4"/>
      <c r="M315" s="4"/>
      <c r="N315" s="4"/>
      <c r="O315" s="4"/>
      <c r="P315" s="4"/>
      <c r="Q315" s="4"/>
      <c r="R315" s="4"/>
      <c r="S315" s="4"/>
    </row>
    <row r="316" spans="1:19" ht="13.5" thickBot="1" x14ac:dyDescent="0.25">
      <c r="H316" s="4"/>
      <c r="I316" s="4"/>
      <c r="J316" s="4"/>
      <c r="K316" s="4"/>
      <c r="L316" s="4"/>
      <c r="M316" s="4"/>
      <c r="N316" s="4"/>
      <c r="O316" s="4"/>
      <c r="P316" s="4"/>
      <c r="Q316" s="4"/>
      <c r="R316" s="4"/>
      <c r="S316" s="4"/>
    </row>
    <row r="317" spans="1:19" ht="13.5" thickBot="1" x14ac:dyDescent="0.25">
      <c r="A317" s="229" t="s">
        <v>57</v>
      </c>
      <c r="B317" s="26" t="s">
        <v>48</v>
      </c>
      <c r="H317" s="4"/>
      <c r="I317" s="4"/>
      <c r="J317" s="4"/>
      <c r="K317" s="4"/>
      <c r="L317" s="4"/>
      <c r="M317" s="4"/>
      <c r="N317" s="4"/>
      <c r="O317" s="4"/>
      <c r="P317" s="4"/>
      <c r="Q317" s="4"/>
      <c r="R317" s="4"/>
      <c r="S317" s="4"/>
    </row>
    <row r="318" spans="1:19" ht="13.5" thickBot="1" x14ac:dyDescent="0.25">
      <c r="A318" s="13" t="s">
        <v>65</v>
      </c>
      <c r="B318" s="245">
        <v>60</v>
      </c>
      <c r="H318" s="4"/>
      <c r="I318" s="4"/>
      <c r="J318" s="4"/>
      <c r="K318" s="4"/>
      <c r="L318" s="4"/>
      <c r="M318" s="4"/>
      <c r="N318" s="4"/>
      <c r="O318" s="4"/>
      <c r="P318" s="4"/>
      <c r="Q318" s="4"/>
      <c r="R318" s="4"/>
      <c r="S318" s="4"/>
    </row>
    <row r="319" spans="1:19" ht="13.5" thickBot="1" x14ac:dyDescent="0.25">
      <c r="H319" s="4"/>
      <c r="I319" s="4"/>
      <c r="J319" s="4"/>
      <c r="K319" s="4"/>
      <c r="L319" s="4"/>
      <c r="M319" s="4"/>
      <c r="N319" s="4"/>
      <c r="O319" s="4"/>
      <c r="P319" s="4"/>
      <c r="Q319" s="4"/>
      <c r="R319" s="4"/>
      <c r="S319" s="4"/>
    </row>
    <row r="320" spans="1:19" ht="13.5" thickBot="1" x14ac:dyDescent="0.25">
      <c r="A320" s="229" t="s">
        <v>1</v>
      </c>
      <c r="B320" s="26" t="s">
        <v>16</v>
      </c>
      <c r="H320" s="4"/>
      <c r="I320" s="4"/>
      <c r="J320" s="4"/>
      <c r="K320" s="4"/>
      <c r="L320" s="4"/>
      <c r="M320" s="4"/>
      <c r="N320" s="4"/>
      <c r="O320" s="4"/>
      <c r="P320" s="4"/>
      <c r="Q320" s="4"/>
      <c r="R320" s="4"/>
      <c r="S320" s="4"/>
    </row>
    <row r="321" spans="1:19" x14ac:dyDescent="0.2">
      <c r="A321" s="57">
        <v>0</v>
      </c>
      <c r="B321" s="54">
        <v>0</v>
      </c>
      <c r="H321" s="4"/>
      <c r="I321" s="4"/>
      <c r="J321" s="4"/>
      <c r="K321" s="4"/>
      <c r="L321" s="4"/>
      <c r="M321" s="4"/>
      <c r="N321" s="4"/>
      <c r="O321" s="4"/>
      <c r="P321" s="4"/>
      <c r="Q321" s="4"/>
      <c r="R321" s="4"/>
      <c r="S321" s="4"/>
    </row>
    <row r="322" spans="1:19" x14ac:dyDescent="0.2">
      <c r="A322" s="52">
        <v>10</v>
      </c>
      <c r="B322" s="55">
        <v>0</v>
      </c>
      <c r="H322" s="4"/>
      <c r="I322" s="4"/>
      <c r="J322" s="4"/>
      <c r="K322" s="4"/>
      <c r="L322" s="4"/>
      <c r="M322" s="4"/>
      <c r="N322" s="4"/>
      <c r="O322" s="4"/>
      <c r="P322" s="4"/>
      <c r="Q322" s="4"/>
      <c r="R322" s="4"/>
      <c r="S322" s="4"/>
    </row>
    <row r="323" spans="1:19" x14ac:dyDescent="0.2">
      <c r="A323" s="52">
        <v>50</v>
      </c>
      <c r="B323" s="55">
        <v>0</v>
      </c>
      <c r="H323" s="4"/>
      <c r="I323" s="4"/>
      <c r="J323" s="4"/>
      <c r="K323" s="4"/>
      <c r="L323" s="4"/>
      <c r="M323" s="4"/>
      <c r="N323" s="4"/>
      <c r="O323" s="4"/>
      <c r="P323" s="4"/>
      <c r="Q323" s="4"/>
      <c r="R323" s="4"/>
      <c r="S323" s="4"/>
    </row>
    <row r="324" spans="1:19" x14ac:dyDescent="0.2">
      <c r="A324" s="52">
        <v>75</v>
      </c>
      <c r="B324" s="55">
        <v>0</v>
      </c>
      <c r="H324" s="4"/>
      <c r="I324" s="4"/>
      <c r="J324" s="4"/>
      <c r="K324" s="4"/>
      <c r="L324" s="4"/>
      <c r="M324" s="4"/>
      <c r="N324" s="4"/>
      <c r="O324" s="4"/>
      <c r="P324" s="4"/>
      <c r="Q324" s="4"/>
      <c r="R324" s="4"/>
      <c r="S324" s="4"/>
    </row>
    <row r="325" spans="1:19" x14ac:dyDescent="0.2">
      <c r="A325" s="52">
        <v>88</v>
      </c>
      <c r="B325" s="55">
        <v>0</v>
      </c>
      <c r="H325" s="4"/>
      <c r="I325" s="4"/>
      <c r="J325" s="4"/>
      <c r="K325" s="4"/>
      <c r="L325" s="4"/>
      <c r="M325" s="4"/>
      <c r="N325" s="4"/>
      <c r="O325" s="4"/>
      <c r="P325" s="4"/>
      <c r="Q325" s="4"/>
      <c r="R325" s="4"/>
      <c r="S325" s="4"/>
    </row>
    <row r="326" spans="1:19" x14ac:dyDescent="0.2">
      <c r="A326" s="52">
        <v>94</v>
      </c>
      <c r="B326" s="55">
        <v>0</v>
      </c>
      <c r="H326" s="4"/>
      <c r="I326" s="4"/>
      <c r="J326" s="4"/>
      <c r="K326" s="4"/>
      <c r="L326" s="4"/>
      <c r="M326" s="4"/>
      <c r="N326" s="4"/>
      <c r="O326" s="4"/>
      <c r="P326" s="4"/>
      <c r="Q326" s="4"/>
      <c r="R326" s="4"/>
      <c r="S326" s="4"/>
    </row>
    <row r="327" spans="1:19" x14ac:dyDescent="0.2">
      <c r="A327" s="52">
        <v>95</v>
      </c>
      <c r="B327" s="55">
        <v>0</v>
      </c>
      <c r="H327" s="4"/>
      <c r="I327" s="4"/>
      <c r="J327" s="4"/>
      <c r="K327" s="4"/>
      <c r="L327" s="4"/>
      <c r="M327" s="4"/>
      <c r="N327" s="4"/>
      <c r="O327" s="4"/>
      <c r="P327" s="4"/>
      <c r="Q327" s="4"/>
      <c r="R327" s="4"/>
      <c r="S327" s="4"/>
    </row>
    <row r="328" spans="1:19" ht="13.5" thickBot="1" x14ac:dyDescent="0.25">
      <c r="A328" s="53">
        <v>100</v>
      </c>
      <c r="B328" s="56">
        <v>0</v>
      </c>
      <c r="H328" s="4"/>
      <c r="I328" s="4"/>
      <c r="J328" s="4"/>
      <c r="K328" s="4"/>
      <c r="L328" s="4"/>
      <c r="M328" s="4"/>
      <c r="N328" s="4"/>
      <c r="O328" s="4"/>
      <c r="P328" s="4"/>
      <c r="Q328" s="4"/>
      <c r="R328" s="4"/>
      <c r="S328" s="4"/>
    </row>
    <row r="329" spans="1:19" ht="13.5" thickBot="1" x14ac:dyDescent="0.25">
      <c r="A329" s="146"/>
      <c r="B329" s="146"/>
      <c r="H329" s="4"/>
      <c r="I329" s="4"/>
      <c r="J329" s="4"/>
      <c r="K329" s="4"/>
      <c r="L329" s="4"/>
      <c r="M329" s="4"/>
      <c r="N329" s="4"/>
      <c r="O329" s="4"/>
      <c r="P329" s="4"/>
      <c r="Q329" s="4"/>
      <c r="R329" s="4"/>
      <c r="S329" s="4"/>
    </row>
    <row r="330" spans="1:19" ht="13.5" thickBot="1" x14ac:dyDescent="0.25">
      <c r="A330" s="129" t="s">
        <v>17</v>
      </c>
      <c r="B330" s="130" t="s">
        <v>16</v>
      </c>
      <c r="H330" s="4"/>
      <c r="I330" s="4"/>
      <c r="J330" s="4"/>
      <c r="K330" s="4"/>
      <c r="L330" s="4"/>
      <c r="M330" s="4"/>
      <c r="N330" s="4"/>
      <c r="O330" s="4"/>
      <c r="P330" s="4"/>
      <c r="Q330" s="4"/>
      <c r="R330" s="4"/>
      <c r="S330" s="4"/>
    </row>
    <row r="331" spans="1:19" x14ac:dyDescent="0.2">
      <c r="A331" s="143">
        <f t="shared" ref="A331:A338" si="38">A321*F$4/100</f>
        <v>0</v>
      </c>
      <c r="B331" s="144">
        <f t="shared" ref="B331:B338" si="39">B321</f>
        <v>0</v>
      </c>
      <c r="H331" s="4"/>
      <c r="I331" s="4"/>
      <c r="J331" s="4"/>
      <c r="K331" s="4"/>
      <c r="L331" s="4"/>
      <c r="M331" s="4"/>
      <c r="N331" s="4"/>
      <c r="O331" s="4"/>
      <c r="P331" s="4"/>
      <c r="Q331" s="4"/>
      <c r="R331" s="4"/>
      <c r="S331" s="4"/>
    </row>
    <row r="332" spans="1:19" x14ac:dyDescent="0.2">
      <c r="A332" s="148">
        <f t="shared" si="38"/>
        <v>0.15</v>
      </c>
      <c r="B332" s="149">
        <f t="shared" si="39"/>
        <v>0</v>
      </c>
      <c r="H332" s="4"/>
      <c r="I332" s="4"/>
      <c r="J332" s="4"/>
      <c r="K332" s="4"/>
      <c r="L332" s="4"/>
      <c r="M332" s="4"/>
      <c r="N332" s="4"/>
      <c r="O332" s="4"/>
      <c r="P332" s="4"/>
      <c r="Q332" s="4"/>
      <c r="R332" s="4"/>
      <c r="S332" s="4"/>
    </row>
    <row r="333" spans="1:19" x14ac:dyDescent="0.2">
      <c r="A333" s="148">
        <f t="shared" si="38"/>
        <v>0.75</v>
      </c>
      <c r="B333" s="149">
        <f t="shared" si="39"/>
        <v>0</v>
      </c>
      <c r="H333" s="4"/>
      <c r="I333" s="4"/>
      <c r="J333" s="4"/>
      <c r="K333" s="4"/>
      <c r="L333" s="4"/>
      <c r="M333" s="4"/>
      <c r="N333" s="4"/>
      <c r="O333" s="4"/>
      <c r="P333" s="4"/>
      <c r="Q333" s="4"/>
      <c r="R333" s="4"/>
      <c r="S333" s="4"/>
    </row>
    <row r="334" spans="1:19" x14ac:dyDescent="0.2">
      <c r="A334" s="148">
        <f t="shared" si="38"/>
        <v>1.125</v>
      </c>
      <c r="B334" s="149">
        <f t="shared" si="39"/>
        <v>0</v>
      </c>
      <c r="H334" s="4"/>
      <c r="I334" s="4"/>
      <c r="J334" s="4"/>
      <c r="K334" s="4"/>
      <c r="L334" s="4"/>
      <c r="M334" s="4"/>
      <c r="N334" s="4"/>
      <c r="O334" s="4"/>
      <c r="P334" s="4"/>
      <c r="Q334" s="4"/>
      <c r="R334" s="4"/>
      <c r="S334" s="4"/>
    </row>
    <row r="335" spans="1:19" x14ac:dyDescent="0.2">
      <c r="A335" s="41">
        <f t="shared" si="38"/>
        <v>1.32</v>
      </c>
      <c r="B335" s="42">
        <f t="shared" si="39"/>
        <v>0</v>
      </c>
      <c r="H335" s="4"/>
      <c r="I335" s="4"/>
      <c r="J335" s="4"/>
      <c r="K335" s="4"/>
      <c r="L335" s="4"/>
      <c r="M335" s="4"/>
      <c r="N335" s="4"/>
      <c r="O335" s="4"/>
      <c r="P335" s="4"/>
      <c r="Q335" s="4"/>
      <c r="R335" s="4"/>
      <c r="S335" s="4"/>
    </row>
    <row r="336" spans="1:19" x14ac:dyDescent="0.2">
      <c r="A336" s="41">
        <f t="shared" si="38"/>
        <v>1.41</v>
      </c>
      <c r="B336" s="42">
        <f t="shared" si="39"/>
        <v>0</v>
      </c>
      <c r="H336" s="4"/>
      <c r="I336" s="4"/>
      <c r="J336" s="4"/>
      <c r="K336" s="4"/>
      <c r="L336" s="4"/>
      <c r="M336" s="4"/>
      <c r="N336" s="4"/>
      <c r="O336" s="4"/>
      <c r="P336" s="4"/>
      <c r="Q336" s="4"/>
      <c r="R336" s="4"/>
      <c r="S336" s="4"/>
    </row>
    <row r="337" spans="1:19" x14ac:dyDescent="0.2">
      <c r="A337" s="41">
        <f t="shared" si="38"/>
        <v>1.425</v>
      </c>
      <c r="B337" s="42">
        <f t="shared" si="39"/>
        <v>0</v>
      </c>
      <c r="H337" s="4"/>
      <c r="I337" s="4"/>
      <c r="J337" s="4"/>
      <c r="K337" s="4"/>
      <c r="L337" s="4"/>
      <c r="M337" s="4"/>
      <c r="N337" s="4"/>
      <c r="O337" s="4"/>
      <c r="P337" s="4"/>
      <c r="Q337" s="4"/>
      <c r="R337" s="4"/>
      <c r="S337" s="4"/>
    </row>
    <row r="338" spans="1:19" ht="13.5" thickBot="1" x14ac:dyDescent="0.25">
      <c r="A338" s="43">
        <f t="shared" si="38"/>
        <v>1.5</v>
      </c>
      <c r="B338" s="44">
        <f t="shared" si="39"/>
        <v>0</v>
      </c>
      <c r="H338" s="4"/>
      <c r="I338" s="4"/>
      <c r="J338" s="4"/>
      <c r="K338" s="4"/>
      <c r="L338" s="4"/>
      <c r="M338" s="4"/>
      <c r="N338" s="4"/>
      <c r="O338" s="4"/>
      <c r="P338" s="4"/>
      <c r="Q338" s="4"/>
      <c r="R338" s="4"/>
      <c r="S338" s="4"/>
    </row>
    <row r="339" spans="1:19" x14ac:dyDescent="0.2">
      <c r="H339" s="4"/>
      <c r="I339" s="4"/>
      <c r="J339" s="4"/>
      <c r="K339" s="4"/>
      <c r="L339" s="4"/>
      <c r="M339" s="4"/>
      <c r="N339" s="4"/>
      <c r="O339" s="4"/>
      <c r="P339" s="4"/>
      <c r="Q339" s="4"/>
      <c r="R339" s="4"/>
      <c r="S339" s="4"/>
    </row>
    <row r="340" spans="1:19" ht="13.5" thickBot="1" x14ac:dyDescent="0.25">
      <c r="H340" s="4"/>
      <c r="I340" s="4"/>
      <c r="J340" s="4"/>
      <c r="K340" s="4"/>
      <c r="L340" s="4"/>
      <c r="M340" s="4"/>
      <c r="N340" s="4"/>
      <c r="O340" s="4"/>
      <c r="P340" s="4"/>
      <c r="Q340" s="4"/>
      <c r="R340" s="4"/>
      <c r="S340" s="4"/>
    </row>
    <row r="341" spans="1:19" ht="13.5" thickBot="1" x14ac:dyDescent="0.25">
      <c r="A341" s="229" t="s">
        <v>57</v>
      </c>
      <c r="B341" s="26" t="s">
        <v>48</v>
      </c>
      <c r="H341" s="4"/>
      <c r="I341" s="4"/>
      <c r="J341" s="4"/>
      <c r="K341" s="4"/>
      <c r="L341" s="4"/>
      <c r="M341" s="4"/>
      <c r="N341" s="4"/>
      <c r="O341" s="4"/>
      <c r="P341" s="4"/>
      <c r="Q341" s="4"/>
      <c r="R341" s="4"/>
      <c r="S341" s="4"/>
    </row>
    <row r="342" spans="1:19" ht="13.5" thickBot="1" x14ac:dyDescent="0.25">
      <c r="A342" s="13" t="s">
        <v>67</v>
      </c>
      <c r="B342" s="245">
        <v>60</v>
      </c>
      <c r="C342" s="233"/>
      <c r="D342" s="233"/>
      <c r="E342" s="233"/>
      <c r="F342" s="233"/>
      <c r="G342" s="233"/>
      <c r="H342" s="4"/>
      <c r="I342" s="4"/>
      <c r="J342" s="4"/>
      <c r="K342" s="4"/>
      <c r="L342" s="4"/>
      <c r="M342" s="4"/>
      <c r="N342" s="4"/>
      <c r="O342" s="4"/>
      <c r="P342" s="4"/>
      <c r="Q342" s="4"/>
      <c r="R342" s="4"/>
      <c r="S342" s="4"/>
    </row>
    <row r="343" spans="1:19" ht="13.5" thickBot="1" x14ac:dyDescent="0.25">
      <c r="C343" s="77"/>
      <c r="D343" s="77"/>
      <c r="E343" s="77"/>
      <c r="F343" s="77"/>
      <c r="G343" s="77"/>
      <c r="H343" s="4"/>
      <c r="I343" s="4"/>
      <c r="J343" s="4"/>
      <c r="K343" s="4"/>
      <c r="L343" s="4"/>
      <c r="M343" s="4"/>
      <c r="N343" s="4"/>
      <c r="O343" s="4"/>
      <c r="P343" s="4"/>
      <c r="Q343" s="4"/>
      <c r="R343" s="4"/>
      <c r="S343" s="4"/>
    </row>
    <row r="344" spans="1:19" ht="13.5" thickBot="1" x14ac:dyDescent="0.25">
      <c r="A344" s="229" t="s">
        <v>1</v>
      </c>
      <c r="B344" s="26" t="s">
        <v>16</v>
      </c>
      <c r="C344" s="9"/>
      <c r="D344" s="9"/>
      <c r="E344" s="9"/>
      <c r="F344" s="9"/>
      <c r="G344" s="9"/>
      <c r="H344" s="4"/>
      <c r="I344" s="4"/>
      <c r="J344" s="4"/>
      <c r="K344" s="4"/>
      <c r="L344" s="4"/>
      <c r="M344" s="4"/>
      <c r="N344" s="4"/>
      <c r="O344" s="4"/>
      <c r="P344" s="4"/>
      <c r="Q344" s="4"/>
      <c r="R344" s="4"/>
      <c r="S344" s="4"/>
    </row>
    <row r="345" spans="1:19" x14ac:dyDescent="0.2">
      <c r="A345" s="57">
        <v>0</v>
      </c>
      <c r="B345" s="54">
        <v>0</v>
      </c>
      <c r="H345" s="4"/>
      <c r="I345" s="4"/>
      <c r="J345" s="4"/>
      <c r="K345" s="4"/>
      <c r="L345" s="4"/>
      <c r="M345" s="4"/>
      <c r="N345" s="4"/>
      <c r="O345" s="4"/>
      <c r="P345" s="4"/>
      <c r="Q345" s="4"/>
      <c r="R345" s="4"/>
      <c r="S345" s="4"/>
    </row>
    <row r="346" spans="1:19" x14ac:dyDescent="0.2">
      <c r="A346" s="52">
        <v>7.89</v>
      </c>
      <c r="B346" s="55">
        <v>0</v>
      </c>
      <c r="C346" s="225"/>
      <c r="D346" s="225"/>
      <c r="F346" s="225"/>
      <c r="G346" s="225"/>
      <c r="H346" s="4"/>
      <c r="I346" s="4"/>
      <c r="J346" s="4"/>
      <c r="K346" s="4"/>
      <c r="L346" s="4"/>
      <c r="M346" s="4"/>
      <c r="N346" s="4"/>
      <c r="O346" s="4"/>
      <c r="P346" s="4"/>
      <c r="Q346" s="4"/>
      <c r="R346" s="4"/>
      <c r="S346" s="4"/>
    </row>
    <row r="347" spans="1:19" x14ac:dyDescent="0.2">
      <c r="A347" s="52">
        <v>20</v>
      </c>
      <c r="B347" s="55">
        <v>0</v>
      </c>
      <c r="C347" s="20"/>
      <c r="D347" s="76"/>
      <c r="F347" s="226"/>
      <c r="G347" s="76"/>
      <c r="H347" s="4"/>
      <c r="I347" s="4"/>
      <c r="J347" s="4"/>
      <c r="K347" s="4"/>
      <c r="L347" s="4"/>
      <c r="M347" s="4"/>
      <c r="N347" s="4"/>
      <c r="O347" s="4"/>
      <c r="P347" s="4"/>
      <c r="Q347" s="4"/>
      <c r="R347" s="4"/>
      <c r="S347" s="4"/>
    </row>
    <row r="348" spans="1:19" x14ac:dyDescent="0.2">
      <c r="A348" s="52">
        <v>55.26</v>
      </c>
      <c r="B348" s="55">
        <v>0</v>
      </c>
      <c r="C348" s="20"/>
      <c r="D348" s="76"/>
      <c r="F348" s="226"/>
      <c r="G348" s="76"/>
      <c r="H348" s="4"/>
      <c r="I348" s="4"/>
      <c r="J348" s="4"/>
      <c r="K348" s="4"/>
      <c r="L348" s="4"/>
      <c r="M348" s="4"/>
      <c r="N348" s="4"/>
      <c r="O348" s="4"/>
      <c r="P348" s="4"/>
      <c r="Q348" s="4"/>
      <c r="R348" s="4"/>
      <c r="S348" s="4"/>
    </row>
    <row r="349" spans="1:19" x14ac:dyDescent="0.2">
      <c r="A349" s="52">
        <v>60</v>
      </c>
      <c r="B349" s="55">
        <v>0</v>
      </c>
      <c r="C349" s="20"/>
      <c r="D349" s="76"/>
      <c r="F349" s="226"/>
      <c r="G349" s="76"/>
      <c r="H349" s="4"/>
      <c r="I349" s="4"/>
      <c r="J349" s="4"/>
      <c r="K349" s="4"/>
      <c r="L349" s="4"/>
      <c r="M349" s="4"/>
      <c r="N349" s="4"/>
      <c r="O349" s="4"/>
      <c r="P349" s="4"/>
      <c r="Q349" s="4"/>
      <c r="R349" s="4"/>
      <c r="S349" s="4"/>
    </row>
    <row r="350" spans="1:19" x14ac:dyDescent="0.2">
      <c r="A350" s="52">
        <v>65</v>
      </c>
      <c r="B350" s="55">
        <v>0</v>
      </c>
      <c r="C350" s="20"/>
      <c r="D350" s="76"/>
      <c r="F350" s="226"/>
      <c r="G350" s="76"/>
      <c r="H350" s="4"/>
      <c r="I350" s="4"/>
      <c r="J350" s="4"/>
      <c r="K350" s="4"/>
      <c r="L350" s="4"/>
      <c r="M350" s="4"/>
      <c r="N350" s="4"/>
      <c r="O350" s="4"/>
      <c r="P350" s="4"/>
      <c r="Q350" s="4"/>
      <c r="R350" s="4"/>
      <c r="S350" s="4"/>
    </row>
    <row r="351" spans="1:19" x14ac:dyDescent="0.2">
      <c r="A351" s="52">
        <v>71.05</v>
      </c>
      <c r="B351" s="55">
        <v>0</v>
      </c>
      <c r="C351" s="20"/>
      <c r="D351" s="76"/>
      <c r="F351" s="226"/>
      <c r="G351" s="76"/>
      <c r="H351" s="4"/>
      <c r="I351" s="4"/>
      <c r="J351" s="4"/>
      <c r="K351" s="4"/>
      <c r="L351" s="4"/>
      <c r="M351" s="4"/>
      <c r="N351" s="4"/>
      <c r="O351" s="4"/>
      <c r="P351" s="4"/>
      <c r="Q351" s="4"/>
      <c r="R351" s="4"/>
      <c r="S351" s="4"/>
    </row>
    <row r="352" spans="1:19" ht="13.5" thickBot="1" x14ac:dyDescent="0.25">
      <c r="A352" s="53">
        <v>100</v>
      </c>
      <c r="B352" s="56">
        <v>0</v>
      </c>
      <c r="C352" s="20"/>
      <c r="D352" s="76"/>
      <c r="F352" s="226"/>
      <c r="G352" s="76"/>
      <c r="H352" s="4"/>
      <c r="I352" s="4"/>
      <c r="J352" s="4"/>
      <c r="K352" s="4"/>
      <c r="L352" s="4"/>
      <c r="M352" s="4"/>
      <c r="N352" s="4"/>
      <c r="O352" s="4"/>
      <c r="P352" s="4"/>
      <c r="Q352" s="4"/>
      <c r="R352" s="4"/>
      <c r="S352" s="4"/>
    </row>
    <row r="353" spans="1:19" ht="13.5" thickBot="1" x14ac:dyDescent="0.25">
      <c r="A353" s="146"/>
      <c r="B353" s="146"/>
      <c r="C353" s="20"/>
      <c r="D353" s="76"/>
      <c r="F353" s="226"/>
      <c r="G353" s="76"/>
      <c r="H353" s="4"/>
      <c r="I353" s="4"/>
      <c r="J353" s="4"/>
      <c r="K353" s="4"/>
      <c r="L353" s="4"/>
      <c r="M353" s="4"/>
      <c r="N353" s="4"/>
      <c r="O353" s="4"/>
      <c r="P353" s="4"/>
      <c r="Q353" s="4"/>
      <c r="R353" s="4"/>
      <c r="S353" s="4"/>
    </row>
    <row r="354" spans="1:19" ht="13.5" thickBot="1" x14ac:dyDescent="0.25">
      <c r="A354" s="129" t="s">
        <v>17</v>
      </c>
      <c r="B354" s="130" t="s">
        <v>16</v>
      </c>
      <c r="C354" s="20"/>
      <c r="D354" s="76"/>
      <c r="F354" s="226"/>
      <c r="G354" s="8"/>
      <c r="H354" s="4"/>
      <c r="I354" s="4"/>
      <c r="J354" s="4"/>
      <c r="K354" s="4"/>
      <c r="L354" s="4"/>
      <c r="M354" s="4"/>
      <c r="N354" s="4"/>
      <c r="O354" s="4"/>
      <c r="P354" s="4"/>
      <c r="Q354" s="4"/>
      <c r="R354" s="4"/>
      <c r="S354" s="4"/>
    </row>
    <row r="355" spans="1:19" x14ac:dyDescent="0.2">
      <c r="A355" s="39">
        <f t="shared" ref="A355:A362" si="40">A345*F$4/100</f>
        <v>0</v>
      </c>
      <c r="B355" s="40">
        <f t="shared" ref="B355:B362" si="41">B345</f>
        <v>0</v>
      </c>
      <c r="H355" s="4"/>
      <c r="I355" s="4"/>
      <c r="J355" s="4"/>
      <c r="K355" s="4"/>
      <c r="L355" s="4"/>
      <c r="M355" s="4"/>
      <c r="N355" s="4"/>
      <c r="O355" s="4"/>
      <c r="P355" s="4"/>
      <c r="Q355" s="4"/>
      <c r="R355" s="4"/>
      <c r="S355" s="4"/>
    </row>
    <row r="356" spans="1:19" x14ac:dyDescent="0.2">
      <c r="A356" s="41">
        <f t="shared" si="40"/>
        <v>0.11835</v>
      </c>
      <c r="B356" s="42">
        <f t="shared" si="41"/>
        <v>0</v>
      </c>
      <c r="C356" s="29"/>
      <c r="D356" s="29"/>
      <c r="E356" s="29"/>
      <c r="F356" s="29"/>
      <c r="G356" s="29"/>
      <c r="H356" s="4"/>
      <c r="I356" s="4"/>
      <c r="J356" s="4"/>
      <c r="K356" s="4"/>
      <c r="L356" s="4"/>
      <c r="M356" s="4"/>
      <c r="N356" s="4"/>
      <c r="O356" s="4"/>
      <c r="P356" s="4"/>
      <c r="Q356" s="4"/>
      <c r="R356" s="4"/>
      <c r="S356" s="4"/>
    </row>
    <row r="357" spans="1:19" x14ac:dyDescent="0.2">
      <c r="A357" s="41">
        <f t="shared" si="40"/>
        <v>0.3</v>
      </c>
      <c r="B357" s="42">
        <f t="shared" si="41"/>
        <v>0</v>
      </c>
      <c r="C357" s="29"/>
      <c r="D357" s="29"/>
      <c r="E357" s="29"/>
      <c r="F357" s="29"/>
      <c r="G357" s="29"/>
      <c r="H357" s="4"/>
      <c r="I357" s="4"/>
      <c r="J357" s="4"/>
      <c r="K357" s="4"/>
      <c r="L357" s="4"/>
      <c r="M357" s="4"/>
      <c r="N357" s="4"/>
      <c r="O357" s="4"/>
      <c r="P357" s="4"/>
      <c r="Q357" s="4"/>
      <c r="R357" s="4"/>
      <c r="S357" s="4"/>
    </row>
    <row r="358" spans="1:19" x14ac:dyDescent="0.2">
      <c r="A358" s="41">
        <f t="shared" si="40"/>
        <v>0.82889999999999997</v>
      </c>
      <c r="B358" s="42">
        <f t="shared" si="41"/>
        <v>0</v>
      </c>
      <c r="C358" s="29"/>
      <c r="D358" s="29"/>
      <c r="E358" s="29"/>
      <c r="F358" s="29"/>
      <c r="G358" s="29"/>
      <c r="H358" s="4"/>
      <c r="I358" s="4"/>
      <c r="J358" s="4"/>
      <c r="K358" s="4"/>
      <c r="L358" s="4"/>
      <c r="M358" s="4"/>
      <c r="N358" s="4"/>
      <c r="O358" s="4"/>
      <c r="P358" s="4"/>
      <c r="Q358" s="4"/>
      <c r="R358" s="4"/>
      <c r="S358" s="4"/>
    </row>
    <row r="359" spans="1:19" x14ac:dyDescent="0.2">
      <c r="A359" s="41">
        <f t="shared" si="40"/>
        <v>0.9</v>
      </c>
      <c r="B359" s="42">
        <f t="shared" si="41"/>
        <v>0</v>
      </c>
      <c r="C359" s="29"/>
      <c r="D359" s="29"/>
      <c r="E359" s="29"/>
      <c r="F359" s="29"/>
      <c r="G359" s="29"/>
      <c r="H359" s="4"/>
      <c r="I359" s="4"/>
      <c r="J359" s="4"/>
      <c r="K359" s="4"/>
      <c r="L359" s="4"/>
      <c r="M359" s="4"/>
      <c r="N359" s="4"/>
      <c r="O359" s="4"/>
      <c r="P359" s="4"/>
      <c r="Q359" s="4"/>
      <c r="R359" s="4"/>
      <c r="S359" s="4"/>
    </row>
    <row r="360" spans="1:19" x14ac:dyDescent="0.2">
      <c r="A360" s="41">
        <f t="shared" si="40"/>
        <v>0.97499999999999998</v>
      </c>
      <c r="B360" s="42">
        <f t="shared" si="41"/>
        <v>0</v>
      </c>
      <c r="C360" s="29"/>
      <c r="D360" s="29"/>
      <c r="E360" s="29"/>
      <c r="F360" s="29"/>
      <c r="G360" s="29"/>
      <c r="H360" s="4"/>
      <c r="I360" s="4"/>
      <c r="J360" s="4"/>
      <c r="K360" s="4"/>
      <c r="L360" s="4"/>
      <c r="M360" s="4"/>
      <c r="N360" s="4"/>
      <c r="O360" s="4"/>
      <c r="P360" s="4"/>
      <c r="Q360" s="4"/>
      <c r="R360" s="4"/>
      <c r="S360" s="4"/>
    </row>
    <row r="361" spans="1:19" x14ac:dyDescent="0.2">
      <c r="A361" s="41">
        <f t="shared" si="40"/>
        <v>1.06575</v>
      </c>
      <c r="B361" s="42">
        <f t="shared" si="41"/>
        <v>0</v>
      </c>
      <c r="C361" s="29"/>
      <c r="D361" s="29"/>
      <c r="E361" s="29"/>
      <c r="F361" s="29"/>
      <c r="G361" s="29"/>
      <c r="H361" s="4"/>
      <c r="I361" s="4"/>
      <c r="J361" s="4"/>
      <c r="K361" s="4"/>
      <c r="L361" s="4"/>
      <c r="M361" s="4"/>
      <c r="N361" s="4"/>
      <c r="O361" s="4"/>
      <c r="P361" s="4"/>
      <c r="Q361" s="4"/>
      <c r="R361" s="4"/>
      <c r="S361" s="4"/>
    </row>
    <row r="362" spans="1:19" ht="13.5" thickBot="1" x14ac:dyDescent="0.25">
      <c r="A362" s="43">
        <f t="shared" si="40"/>
        <v>1.5</v>
      </c>
      <c r="B362" s="44">
        <f t="shared" si="41"/>
        <v>0</v>
      </c>
      <c r="C362" s="29"/>
      <c r="D362" s="29"/>
      <c r="E362" s="29"/>
      <c r="F362" s="29"/>
      <c r="G362" s="29"/>
      <c r="H362" s="4"/>
      <c r="I362" s="4"/>
      <c r="J362" s="4"/>
      <c r="K362" s="4"/>
      <c r="L362" s="4"/>
      <c r="M362" s="4"/>
      <c r="N362" s="4"/>
      <c r="O362" s="4"/>
      <c r="P362" s="4"/>
      <c r="Q362" s="4"/>
      <c r="R362" s="4"/>
      <c r="S362" s="4"/>
    </row>
    <row r="363" spans="1:19" x14ac:dyDescent="0.2">
      <c r="A363" s="74"/>
      <c r="B363" s="72"/>
      <c r="C363" s="29"/>
      <c r="D363" s="29"/>
      <c r="E363" s="29"/>
      <c r="F363" s="29"/>
      <c r="G363" s="29"/>
      <c r="H363" s="4"/>
      <c r="I363" s="4"/>
      <c r="J363" s="4"/>
      <c r="K363" s="4"/>
      <c r="L363" s="4"/>
      <c r="M363" s="4"/>
      <c r="N363" s="4"/>
      <c r="O363" s="4"/>
      <c r="P363" s="4"/>
      <c r="Q363" s="4"/>
      <c r="R363" s="4"/>
      <c r="S363" s="4"/>
    </row>
    <row r="364" spans="1:19" ht="13.5" thickBot="1" x14ac:dyDescent="0.25">
      <c r="A364" s="74"/>
      <c r="B364" s="72"/>
      <c r="C364" s="29"/>
      <c r="D364" s="29"/>
      <c r="E364" s="29"/>
      <c r="F364" s="29"/>
      <c r="G364" s="29"/>
      <c r="H364" s="4"/>
      <c r="I364" s="4"/>
      <c r="J364" s="4"/>
      <c r="K364" s="4"/>
      <c r="L364" s="4"/>
      <c r="M364" s="4"/>
      <c r="N364" s="4"/>
      <c r="O364" s="4"/>
      <c r="P364" s="4"/>
      <c r="Q364" s="4"/>
      <c r="R364" s="4"/>
      <c r="S364" s="4"/>
    </row>
    <row r="365" spans="1:19" ht="13.5" thickBot="1" x14ac:dyDescent="0.25">
      <c r="A365" s="229" t="s">
        <v>57</v>
      </c>
      <c r="B365" s="26" t="s">
        <v>48</v>
      </c>
      <c r="C365" s="29"/>
      <c r="D365" s="29"/>
      <c r="E365" s="29"/>
      <c r="F365" s="29"/>
      <c r="G365" s="29"/>
      <c r="H365" s="4"/>
      <c r="I365" s="4"/>
      <c r="J365" s="4"/>
      <c r="K365" s="4"/>
      <c r="L365" s="4"/>
      <c r="M365" s="4"/>
      <c r="N365" s="4"/>
      <c r="O365" s="4"/>
      <c r="P365" s="4"/>
      <c r="Q365" s="4"/>
      <c r="R365" s="4"/>
      <c r="S365" s="4"/>
    </row>
    <row r="366" spans="1:19" ht="13.5" thickBot="1" x14ac:dyDescent="0.25">
      <c r="A366" s="13" t="s">
        <v>69</v>
      </c>
      <c r="B366" s="245">
        <v>60</v>
      </c>
      <c r="C366" s="29"/>
      <c r="D366" s="29"/>
      <c r="E366" s="29"/>
      <c r="F366" s="29"/>
      <c r="G366" s="29"/>
      <c r="H366" s="4"/>
      <c r="I366" s="4"/>
      <c r="J366" s="4"/>
      <c r="K366" s="4"/>
      <c r="L366" s="4"/>
      <c r="M366" s="4"/>
      <c r="N366" s="4"/>
      <c r="O366" s="4"/>
      <c r="P366" s="4"/>
      <c r="Q366" s="4"/>
      <c r="R366" s="4"/>
      <c r="S366" s="4"/>
    </row>
    <row r="367" spans="1:19" ht="13.5" thickBot="1" x14ac:dyDescent="0.25">
      <c r="C367" s="29"/>
      <c r="D367" s="29"/>
      <c r="E367" s="29"/>
      <c r="F367" s="29"/>
      <c r="G367" s="29"/>
      <c r="H367" s="4"/>
      <c r="I367" s="4"/>
      <c r="J367" s="4"/>
      <c r="K367" s="4"/>
      <c r="L367" s="4"/>
      <c r="M367" s="4"/>
      <c r="N367" s="4"/>
      <c r="O367" s="4"/>
      <c r="P367" s="4"/>
      <c r="Q367" s="4"/>
      <c r="R367" s="4"/>
      <c r="S367" s="4"/>
    </row>
    <row r="368" spans="1:19" ht="13.5" thickBot="1" x14ac:dyDescent="0.25">
      <c r="A368" s="229" t="s">
        <v>1</v>
      </c>
      <c r="B368" s="26" t="s">
        <v>16</v>
      </c>
      <c r="C368" s="29"/>
      <c r="D368" s="29"/>
      <c r="E368" s="29"/>
      <c r="F368" s="29"/>
      <c r="G368" s="29"/>
      <c r="H368" s="4"/>
      <c r="I368" s="4"/>
      <c r="J368" s="4"/>
      <c r="K368" s="4"/>
      <c r="L368" s="4"/>
      <c r="M368" s="4"/>
      <c r="N368" s="4"/>
      <c r="O368" s="4"/>
      <c r="P368" s="4"/>
      <c r="Q368" s="4"/>
      <c r="R368" s="4"/>
      <c r="S368" s="4"/>
    </row>
    <row r="369" spans="1:19" x14ac:dyDescent="0.2">
      <c r="A369" s="57">
        <v>0</v>
      </c>
      <c r="B369" s="54">
        <v>0</v>
      </c>
      <c r="C369" s="29"/>
      <c r="D369" s="29"/>
      <c r="E369" s="29"/>
      <c r="F369" s="29"/>
      <c r="G369" s="29"/>
      <c r="H369" s="4"/>
      <c r="I369" s="4"/>
      <c r="J369" s="4"/>
      <c r="K369" s="4"/>
      <c r="L369" s="4"/>
      <c r="M369" s="4"/>
      <c r="N369" s="4"/>
      <c r="O369" s="4"/>
      <c r="P369" s="4"/>
      <c r="Q369" s="4"/>
      <c r="R369" s="4"/>
      <c r="S369" s="4"/>
    </row>
    <row r="370" spans="1:19" x14ac:dyDescent="0.2">
      <c r="A370" s="52">
        <v>7.89</v>
      </c>
      <c r="B370" s="55">
        <v>0</v>
      </c>
      <c r="C370" s="29"/>
      <c r="D370" s="29"/>
      <c r="E370" s="29"/>
      <c r="F370" s="29"/>
      <c r="G370" s="29"/>
      <c r="H370" s="4"/>
      <c r="I370" s="4"/>
      <c r="J370" s="4"/>
      <c r="K370" s="4"/>
      <c r="L370" s="4"/>
      <c r="M370" s="4"/>
      <c r="N370" s="4"/>
      <c r="O370" s="4"/>
      <c r="P370" s="4"/>
      <c r="Q370" s="4"/>
      <c r="R370" s="4"/>
      <c r="S370" s="4"/>
    </row>
    <row r="371" spans="1:19" x14ac:dyDescent="0.2">
      <c r="A371" s="52">
        <v>20</v>
      </c>
      <c r="B371" s="55">
        <v>0</v>
      </c>
      <c r="C371" s="29"/>
      <c r="D371" s="29"/>
      <c r="E371" s="29"/>
      <c r="F371" s="29"/>
      <c r="G371" s="29"/>
      <c r="H371" s="4"/>
      <c r="I371" s="4"/>
      <c r="J371" s="4"/>
      <c r="K371" s="4"/>
      <c r="L371" s="4"/>
      <c r="M371" s="4"/>
      <c r="N371" s="4"/>
      <c r="O371" s="4"/>
      <c r="P371" s="4"/>
      <c r="Q371" s="4"/>
      <c r="R371" s="4"/>
      <c r="S371" s="4"/>
    </row>
    <row r="372" spans="1:19" x14ac:dyDescent="0.2">
      <c r="A372" s="52">
        <v>55.26</v>
      </c>
      <c r="B372" s="55">
        <v>0</v>
      </c>
      <c r="C372" s="29"/>
      <c r="D372" s="29"/>
      <c r="E372" s="29"/>
      <c r="F372" s="29"/>
      <c r="G372" s="29"/>
      <c r="H372" s="4"/>
      <c r="I372" s="4"/>
      <c r="J372" s="4"/>
      <c r="K372" s="4"/>
      <c r="L372" s="4"/>
      <c r="M372" s="4"/>
      <c r="N372" s="4"/>
      <c r="O372" s="4"/>
      <c r="P372" s="4"/>
      <c r="Q372" s="4"/>
      <c r="R372" s="4"/>
      <c r="S372" s="4"/>
    </row>
    <row r="373" spans="1:19" x14ac:dyDescent="0.2">
      <c r="A373" s="52">
        <v>60</v>
      </c>
      <c r="B373" s="55">
        <v>0</v>
      </c>
      <c r="C373" s="29"/>
      <c r="D373" s="29"/>
      <c r="E373" s="29"/>
      <c r="F373" s="29"/>
      <c r="G373" s="29"/>
      <c r="H373" s="4"/>
      <c r="I373" s="4"/>
      <c r="J373" s="4"/>
      <c r="K373" s="4"/>
      <c r="L373" s="4"/>
      <c r="M373" s="4"/>
      <c r="N373" s="4"/>
      <c r="O373" s="4"/>
      <c r="P373" s="4"/>
      <c r="Q373" s="4"/>
      <c r="R373" s="4"/>
      <c r="S373" s="4"/>
    </row>
    <row r="374" spans="1:19" x14ac:dyDescent="0.2">
      <c r="A374" s="52">
        <v>65</v>
      </c>
      <c r="B374" s="55">
        <v>0</v>
      </c>
      <c r="C374" s="29"/>
      <c r="D374" s="29"/>
      <c r="E374" s="29"/>
      <c r="F374" s="29"/>
      <c r="G374" s="29"/>
      <c r="H374" s="4"/>
      <c r="I374" s="4"/>
      <c r="J374" s="4"/>
      <c r="K374" s="4"/>
      <c r="L374" s="4"/>
      <c r="M374" s="4"/>
      <c r="N374" s="4"/>
      <c r="O374" s="4"/>
      <c r="P374" s="4"/>
      <c r="Q374" s="4"/>
      <c r="R374" s="4"/>
      <c r="S374" s="4"/>
    </row>
    <row r="375" spans="1:19" x14ac:dyDescent="0.2">
      <c r="A375" s="52">
        <v>71.05</v>
      </c>
      <c r="B375" s="55">
        <v>0</v>
      </c>
      <c r="C375" s="29"/>
      <c r="D375" s="29"/>
      <c r="E375" s="29"/>
      <c r="F375" s="29"/>
      <c r="G375" s="29"/>
      <c r="H375" s="4"/>
      <c r="I375" s="4"/>
      <c r="J375" s="4"/>
      <c r="K375" s="4"/>
      <c r="L375" s="4"/>
      <c r="M375" s="4"/>
      <c r="N375" s="4"/>
      <c r="O375" s="4"/>
      <c r="P375" s="4"/>
      <c r="Q375" s="4"/>
      <c r="R375" s="4"/>
      <c r="S375" s="4"/>
    </row>
    <row r="376" spans="1:19" ht="13.5" thickBot="1" x14ac:dyDescent="0.25">
      <c r="A376" s="53">
        <v>100</v>
      </c>
      <c r="B376" s="56">
        <v>0</v>
      </c>
      <c r="C376" s="29"/>
      <c r="D376" s="29"/>
      <c r="E376" s="29"/>
      <c r="F376" s="29"/>
      <c r="G376" s="29"/>
      <c r="H376" s="4"/>
      <c r="I376" s="4"/>
      <c r="J376" s="4"/>
      <c r="K376" s="4"/>
      <c r="L376" s="4"/>
      <c r="M376" s="4"/>
      <c r="N376" s="4"/>
      <c r="O376" s="4"/>
      <c r="P376" s="4"/>
      <c r="Q376" s="4"/>
      <c r="R376" s="4"/>
      <c r="S376" s="4"/>
    </row>
    <row r="377" spans="1:19" ht="13.5" thickBot="1" x14ac:dyDescent="0.25">
      <c r="C377" s="29"/>
      <c r="D377" s="29"/>
      <c r="E377" s="29"/>
      <c r="F377" s="29"/>
      <c r="G377" s="29"/>
      <c r="H377" s="4"/>
      <c r="I377" s="4"/>
      <c r="J377" s="4"/>
      <c r="K377" s="4"/>
      <c r="L377" s="4"/>
      <c r="M377" s="4"/>
      <c r="N377" s="4"/>
      <c r="O377" s="4"/>
      <c r="P377" s="4"/>
      <c r="Q377" s="4"/>
      <c r="R377" s="4"/>
      <c r="S377" s="4"/>
    </row>
    <row r="378" spans="1:19" ht="13.5" thickBot="1" x14ac:dyDescent="0.25">
      <c r="A378" s="229" t="s">
        <v>17</v>
      </c>
      <c r="B378" s="26" t="s">
        <v>16</v>
      </c>
      <c r="C378" s="29"/>
      <c r="D378" s="29"/>
      <c r="E378" s="29"/>
      <c r="F378" s="29"/>
      <c r="G378" s="29"/>
      <c r="H378" s="4"/>
      <c r="I378" s="4"/>
      <c r="J378" s="4"/>
      <c r="K378" s="4"/>
      <c r="L378" s="4"/>
      <c r="M378" s="4"/>
      <c r="N378" s="4"/>
      <c r="O378" s="4"/>
      <c r="P378" s="4"/>
      <c r="Q378" s="4"/>
      <c r="R378" s="4"/>
      <c r="S378" s="4"/>
    </row>
    <row r="379" spans="1:19" x14ac:dyDescent="0.2">
      <c r="A379" s="39">
        <f t="shared" ref="A379:A386" si="42">A369*F$4/100</f>
        <v>0</v>
      </c>
      <c r="B379" s="40">
        <f t="shared" ref="B379:B386" si="43">B369</f>
        <v>0</v>
      </c>
      <c r="C379" s="29"/>
      <c r="D379" s="29"/>
      <c r="E379" s="29"/>
      <c r="F379" s="29"/>
      <c r="G379" s="29"/>
      <c r="H379" s="4"/>
      <c r="I379" s="4"/>
      <c r="J379" s="4"/>
      <c r="K379" s="4"/>
      <c r="L379" s="4"/>
      <c r="M379" s="4"/>
      <c r="N379" s="4"/>
      <c r="O379" s="4"/>
      <c r="P379" s="4"/>
      <c r="Q379" s="4"/>
      <c r="R379" s="4"/>
      <c r="S379" s="4"/>
    </row>
    <row r="380" spans="1:19" x14ac:dyDescent="0.2">
      <c r="A380" s="41">
        <f t="shared" si="42"/>
        <v>0.11835</v>
      </c>
      <c r="B380" s="42">
        <f t="shared" si="43"/>
        <v>0</v>
      </c>
      <c r="C380" s="29"/>
      <c r="D380" s="29"/>
      <c r="E380" s="29"/>
      <c r="F380" s="29"/>
      <c r="G380" s="29"/>
      <c r="H380" s="4"/>
      <c r="I380" s="4"/>
      <c r="J380" s="4"/>
      <c r="K380" s="4"/>
      <c r="L380" s="4"/>
      <c r="M380" s="4"/>
      <c r="N380" s="4"/>
      <c r="O380" s="4"/>
      <c r="P380" s="4"/>
      <c r="Q380" s="4"/>
      <c r="R380" s="4"/>
      <c r="S380" s="4"/>
    </row>
    <row r="381" spans="1:19" x14ac:dyDescent="0.2">
      <c r="A381" s="41">
        <f t="shared" si="42"/>
        <v>0.3</v>
      </c>
      <c r="B381" s="42">
        <f t="shared" si="43"/>
        <v>0</v>
      </c>
      <c r="C381" s="29"/>
      <c r="D381" s="29"/>
      <c r="E381" s="29"/>
      <c r="F381" s="29"/>
      <c r="G381" s="29"/>
      <c r="H381" s="4"/>
      <c r="I381" s="4"/>
      <c r="J381" s="4"/>
      <c r="K381" s="4"/>
      <c r="L381" s="4"/>
      <c r="M381" s="4"/>
      <c r="N381" s="4"/>
      <c r="O381" s="4"/>
      <c r="P381" s="4"/>
      <c r="Q381" s="4"/>
      <c r="R381" s="4"/>
      <c r="S381" s="4"/>
    </row>
    <row r="382" spans="1:19" x14ac:dyDescent="0.2">
      <c r="A382" s="41">
        <f t="shared" si="42"/>
        <v>0.82889999999999997</v>
      </c>
      <c r="B382" s="42">
        <f t="shared" si="43"/>
        <v>0</v>
      </c>
      <c r="C382" s="29"/>
      <c r="D382" s="29"/>
      <c r="E382" s="29"/>
      <c r="F382" s="29"/>
      <c r="G382" s="29"/>
      <c r="H382" s="4"/>
      <c r="I382" s="4"/>
      <c r="J382" s="4"/>
      <c r="K382" s="4"/>
      <c r="L382" s="4"/>
      <c r="M382" s="4"/>
      <c r="N382" s="4"/>
      <c r="O382" s="4"/>
      <c r="P382" s="4"/>
      <c r="Q382" s="4"/>
      <c r="R382" s="4"/>
      <c r="S382" s="4"/>
    </row>
    <row r="383" spans="1:19" x14ac:dyDescent="0.2">
      <c r="A383" s="41">
        <f t="shared" si="42"/>
        <v>0.9</v>
      </c>
      <c r="B383" s="42">
        <f t="shared" si="43"/>
        <v>0</v>
      </c>
      <c r="C383" s="29"/>
      <c r="D383" s="29"/>
      <c r="E383" s="29"/>
      <c r="F383" s="29"/>
      <c r="G383" s="29"/>
      <c r="H383" s="4"/>
      <c r="I383" s="4"/>
      <c r="J383" s="4"/>
      <c r="K383" s="4"/>
      <c r="L383" s="4"/>
      <c r="M383" s="4"/>
      <c r="N383" s="4"/>
      <c r="O383" s="4"/>
      <c r="P383" s="4"/>
      <c r="Q383" s="4"/>
      <c r="R383" s="4"/>
      <c r="S383" s="4"/>
    </row>
    <row r="384" spans="1:19" x14ac:dyDescent="0.2">
      <c r="A384" s="41">
        <f t="shared" si="42"/>
        <v>0.97499999999999998</v>
      </c>
      <c r="B384" s="42">
        <f t="shared" si="43"/>
        <v>0</v>
      </c>
      <c r="C384" s="29"/>
      <c r="D384" s="29"/>
      <c r="E384" s="29"/>
      <c r="F384" s="29"/>
      <c r="G384" s="29"/>
      <c r="H384" s="4"/>
      <c r="I384" s="4"/>
      <c r="J384" s="4"/>
      <c r="K384" s="4"/>
      <c r="L384" s="4"/>
      <c r="M384" s="4"/>
      <c r="N384" s="4"/>
      <c r="O384" s="4"/>
      <c r="P384" s="4"/>
      <c r="Q384" s="4"/>
      <c r="R384" s="4"/>
      <c r="S384" s="4"/>
    </row>
    <row r="385" spans="1:19" x14ac:dyDescent="0.2">
      <c r="A385" s="41">
        <f t="shared" si="42"/>
        <v>1.06575</v>
      </c>
      <c r="B385" s="42">
        <f t="shared" si="43"/>
        <v>0</v>
      </c>
      <c r="C385" s="29"/>
      <c r="D385" s="29"/>
      <c r="E385" s="29"/>
      <c r="F385" s="29"/>
      <c r="G385" s="29"/>
      <c r="H385" s="4"/>
      <c r="I385" s="4"/>
      <c r="J385" s="4"/>
      <c r="K385" s="4"/>
      <c r="L385" s="4"/>
      <c r="M385" s="4"/>
      <c r="N385" s="4"/>
      <c r="O385" s="4"/>
      <c r="P385" s="4"/>
      <c r="Q385" s="4"/>
      <c r="R385" s="4"/>
      <c r="S385" s="4"/>
    </row>
    <row r="386" spans="1:19" ht="13.5" thickBot="1" x14ac:dyDescent="0.25">
      <c r="A386" s="43">
        <f t="shared" si="42"/>
        <v>1.5</v>
      </c>
      <c r="B386" s="151">
        <f t="shared" si="43"/>
        <v>0</v>
      </c>
      <c r="C386" s="29"/>
      <c r="D386" s="29"/>
      <c r="E386" s="29"/>
      <c r="F386" s="29"/>
      <c r="G386" s="29"/>
      <c r="H386" s="4"/>
      <c r="I386" s="4"/>
      <c r="J386" s="4"/>
      <c r="K386" s="4"/>
      <c r="L386" s="4"/>
      <c r="M386" s="4"/>
      <c r="N386" s="4"/>
      <c r="O386" s="4"/>
      <c r="P386" s="4"/>
      <c r="Q386" s="4"/>
      <c r="R386" s="4"/>
      <c r="S386" s="4"/>
    </row>
    <row r="387" spans="1:19" x14ac:dyDescent="0.2">
      <c r="A387" s="73"/>
      <c r="B387" s="72"/>
      <c r="C387" s="29"/>
      <c r="D387" s="29"/>
      <c r="E387" s="29"/>
      <c r="F387" s="29"/>
      <c r="G387" s="29"/>
      <c r="H387" s="4"/>
      <c r="I387" s="4"/>
      <c r="J387" s="4"/>
      <c r="K387" s="4"/>
      <c r="L387" s="4"/>
      <c r="M387" s="4"/>
      <c r="N387" s="4"/>
      <c r="O387" s="4"/>
      <c r="P387" s="4"/>
      <c r="Q387" s="4"/>
      <c r="R387" s="4"/>
      <c r="S387" s="4"/>
    </row>
    <row r="388" spans="1:19" ht="13.5" thickBot="1" x14ac:dyDescent="0.25">
      <c r="A388" s="69"/>
      <c r="B388" s="69"/>
      <c r="C388" s="29"/>
      <c r="D388" s="29"/>
      <c r="E388" s="29"/>
      <c r="F388" s="29"/>
      <c r="G388" s="29"/>
      <c r="H388" s="4"/>
      <c r="I388" s="4"/>
      <c r="J388" s="4"/>
      <c r="K388" s="4"/>
      <c r="L388" s="4"/>
      <c r="M388" s="4"/>
      <c r="N388" s="4"/>
      <c r="O388" s="4"/>
      <c r="P388" s="4"/>
      <c r="Q388" s="4"/>
      <c r="R388" s="4"/>
      <c r="S388" s="4"/>
    </row>
    <row r="389" spans="1:19" ht="13.5" thickBot="1" x14ac:dyDescent="0.25">
      <c r="A389" s="129" t="s">
        <v>57</v>
      </c>
      <c r="B389" s="130" t="s">
        <v>48</v>
      </c>
      <c r="C389" s="29"/>
      <c r="D389" s="29"/>
      <c r="E389" s="29"/>
      <c r="F389" s="29"/>
      <c r="G389" s="29"/>
      <c r="H389" s="4"/>
      <c r="I389" s="4"/>
      <c r="J389" s="4"/>
      <c r="K389" s="4"/>
      <c r="L389" s="4"/>
      <c r="M389" s="4"/>
      <c r="N389" s="4"/>
      <c r="O389" s="4"/>
      <c r="P389" s="4"/>
      <c r="Q389" s="4"/>
      <c r="R389" s="4"/>
      <c r="S389" s="4"/>
    </row>
    <row r="390" spans="1:19" ht="13.5" thickBot="1" x14ac:dyDescent="0.25">
      <c r="A390" s="133" t="s">
        <v>70</v>
      </c>
      <c r="B390" s="246">
        <v>60</v>
      </c>
      <c r="C390" s="29"/>
      <c r="D390" s="29"/>
      <c r="E390" s="29"/>
      <c r="F390" s="29"/>
      <c r="G390" s="29"/>
      <c r="H390" s="4"/>
      <c r="I390" s="4"/>
      <c r="J390" s="4"/>
      <c r="K390" s="4"/>
      <c r="L390" s="4"/>
      <c r="M390" s="4"/>
      <c r="N390" s="4"/>
      <c r="O390" s="4"/>
      <c r="P390" s="4"/>
      <c r="Q390" s="4"/>
      <c r="R390" s="4"/>
      <c r="S390" s="4"/>
    </row>
    <row r="391" spans="1:19" ht="13.5" thickBot="1" x14ac:dyDescent="0.25">
      <c r="A391" s="146"/>
      <c r="B391" s="146"/>
      <c r="C391" s="29"/>
      <c r="D391" s="29"/>
      <c r="E391" s="29"/>
      <c r="F391" s="29"/>
      <c r="G391" s="29"/>
      <c r="H391" s="4"/>
      <c r="I391" s="4"/>
      <c r="J391" s="4"/>
      <c r="K391" s="4"/>
      <c r="L391" s="4"/>
      <c r="M391" s="4"/>
      <c r="N391" s="4"/>
      <c r="O391" s="4"/>
      <c r="P391" s="4"/>
      <c r="Q391" s="4"/>
      <c r="R391" s="4"/>
      <c r="S391" s="4"/>
    </row>
    <row r="392" spans="1:19" ht="13.5" thickBot="1" x14ac:dyDescent="0.25">
      <c r="A392" s="129" t="s">
        <v>1</v>
      </c>
      <c r="B392" s="130" t="s">
        <v>16</v>
      </c>
      <c r="C392" s="29"/>
      <c r="D392" s="29"/>
      <c r="E392" s="29"/>
      <c r="F392" s="29"/>
      <c r="G392" s="29"/>
      <c r="H392" s="4"/>
      <c r="I392" s="4"/>
      <c r="J392" s="4"/>
      <c r="K392" s="4"/>
      <c r="L392" s="4"/>
      <c r="M392" s="4"/>
      <c r="N392" s="4"/>
      <c r="O392" s="4"/>
      <c r="P392" s="4"/>
      <c r="Q392" s="4"/>
      <c r="R392" s="4"/>
      <c r="S392" s="4"/>
    </row>
    <row r="393" spans="1:19" x14ac:dyDescent="0.2">
      <c r="A393" s="57">
        <v>0</v>
      </c>
      <c r="B393" s="54">
        <v>0</v>
      </c>
      <c r="C393" s="29"/>
      <c r="D393" s="29"/>
      <c r="E393" s="29"/>
      <c r="F393" s="29"/>
      <c r="G393" s="29"/>
      <c r="H393" s="4"/>
      <c r="I393" s="4"/>
      <c r="J393" s="4"/>
      <c r="K393" s="4"/>
      <c r="L393" s="4"/>
      <c r="M393" s="4"/>
      <c r="N393" s="4"/>
      <c r="O393" s="4"/>
      <c r="P393" s="4"/>
      <c r="Q393" s="4"/>
      <c r="R393" s="4"/>
      <c r="S393" s="4"/>
    </row>
    <row r="394" spans="1:19" x14ac:dyDescent="0.2">
      <c r="A394" s="52">
        <v>7.89</v>
      </c>
      <c r="B394" s="55">
        <v>0</v>
      </c>
      <c r="C394" s="29"/>
      <c r="D394" s="29"/>
      <c r="E394" s="29"/>
      <c r="F394" s="29"/>
      <c r="G394" s="29"/>
      <c r="H394" s="4"/>
      <c r="I394" s="4"/>
      <c r="J394" s="4"/>
      <c r="K394" s="4"/>
      <c r="L394" s="4"/>
      <c r="M394" s="4"/>
      <c r="N394" s="4"/>
      <c r="O394" s="4"/>
      <c r="P394" s="4"/>
      <c r="Q394" s="4"/>
      <c r="R394" s="4"/>
      <c r="S394" s="4"/>
    </row>
    <row r="395" spans="1:19" x14ac:dyDescent="0.2">
      <c r="A395" s="52">
        <v>20</v>
      </c>
      <c r="B395" s="55">
        <v>0</v>
      </c>
      <c r="C395" s="29"/>
      <c r="D395" s="29"/>
      <c r="E395" s="29"/>
      <c r="F395" s="29"/>
      <c r="G395" s="29"/>
      <c r="H395" s="4"/>
      <c r="I395" s="4"/>
      <c r="J395" s="4"/>
      <c r="K395" s="4"/>
      <c r="L395" s="4"/>
      <c r="M395" s="4"/>
      <c r="N395" s="4"/>
      <c r="O395" s="4"/>
      <c r="P395" s="4"/>
      <c r="Q395" s="4"/>
      <c r="R395" s="4"/>
      <c r="S395" s="4"/>
    </row>
    <row r="396" spans="1:19" x14ac:dyDescent="0.2">
      <c r="A396" s="52">
        <v>55.26</v>
      </c>
      <c r="B396" s="55">
        <v>0</v>
      </c>
      <c r="C396" s="29"/>
      <c r="D396" s="29"/>
      <c r="E396" s="29"/>
      <c r="F396" s="29"/>
      <c r="G396" s="29"/>
      <c r="H396" s="4"/>
      <c r="I396" s="4"/>
      <c r="J396" s="4"/>
      <c r="K396" s="4"/>
      <c r="L396" s="4"/>
      <c r="M396" s="4"/>
      <c r="N396" s="4"/>
      <c r="O396" s="4"/>
      <c r="P396" s="4"/>
      <c r="Q396" s="4"/>
      <c r="R396" s="4"/>
      <c r="S396" s="4"/>
    </row>
    <row r="397" spans="1:19" x14ac:dyDescent="0.2">
      <c r="A397" s="52">
        <v>60</v>
      </c>
      <c r="B397" s="55">
        <v>0</v>
      </c>
      <c r="C397" s="29"/>
      <c r="D397" s="29"/>
      <c r="E397" s="29"/>
      <c r="F397" s="29"/>
      <c r="G397" s="29"/>
      <c r="H397" s="4"/>
      <c r="I397" s="4"/>
      <c r="J397" s="4"/>
      <c r="K397" s="4"/>
      <c r="L397" s="4"/>
      <c r="M397" s="4"/>
      <c r="N397" s="4"/>
      <c r="O397" s="4"/>
      <c r="P397" s="4"/>
      <c r="Q397" s="4"/>
      <c r="R397" s="4"/>
      <c r="S397" s="4"/>
    </row>
    <row r="398" spans="1:19" x14ac:dyDescent="0.2">
      <c r="A398" s="52">
        <v>65</v>
      </c>
      <c r="B398" s="55">
        <v>0</v>
      </c>
      <c r="C398" s="29"/>
      <c r="D398" s="29"/>
      <c r="E398" s="29"/>
      <c r="F398" s="29"/>
      <c r="G398" s="29"/>
      <c r="H398" s="4"/>
      <c r="I398" s="4"/>
      <c r="J398" s="4"/>
      <c r="K398" s="4"/>
      <c r="L398" s="4"/>
      <c r="M398" s="4"/>
      <c r="N398" s="4"/>
      <c r="O398" s="4"/>
      <c r="P398" s="4"/>
      <c r="Q398" s="4"/>
      <c r="R398" s="4"/>
      <c r="S398" s="4"/>
    </row>
    <row r="399" spans="1:19" x14ac:dyDescent="0.2">
      <c r="A399" s="52">
        <v>71.05</v>
      </c>
      <c r="B399" s="55">
        <v>0</v>
      </c>
      <c r="C399" s="29"/>
      <c r="D399" s="29"/>
      <c r="E399" s="29"/>
      <c r="F399" s="29"/>
      <c r="G399" s="29"/>
      <c r="H399" s="4"/>
      <c r="I399" s="4"/>
      <c r="J399" s="4"/>
      <c r="K399" s="4"/>
      <c r="L399" s="4"/>
      <c r="M399" s="4"/>
      <c r="N399" s="4"/>
      <c r="O399" s="4"/>
      <c r="P399" s="4"/>
      <c r="Q399" s="4"/>
      <c r="R399" s="4"/>
      <c r="S399" s="4"/>
    </row>
    <row r="400" spans="1:19" ht="13.5" thickBot="1" x14ac:dyDescent="0.25">
      <c r="A400" s="53">
        <v>100</v>
      </c>
      <c r="B400" s="56">
        <v>0</v>
      </c>
      <c r="C400" s="29"/>
      <c r="D400" s="29"/>
      <c r="E400" s="29"/>
      <c r="F400" s="29"/>
      <c r="G400" s="29"/>
      <c r="H400" s="4"/>
      <c r="I400" s="4"/>
      <c r="J400" s="4"/>
      <c r="K400" s="4"/>
      <c r="L400" s="4"/>
      <c r="M400" s="4"/>
      <c r="N400" s="4"/>
      <c r="O400" s="4"/>
      <c r="P400" s="4"/>
      <c r="Q400" s="4"/>
      <c r="R400" s="4"/>
      <c r="S400" s="4"/>
    </row>
    <row r="401" spans="1:19" ht="13.5" thickBot="1" x14ac:dyDescent="0.25">
      <c r="C401" s="29"/>
      <c r="D401" s="29"/>
      <c r="E401" s="29"/>
      <c r="F401" s="29"/>
      <c r="G401" s="29"/>
      <c r="H401" s="4"/>
      <c r="I401" s="4"/>
      <c r="J401" s="4"/>
      <c r="K401" s="4"/>
      <c r="L401" s="4"/>
      <c r="M401" s="4"/>
      <c r="N401" s="4"/>
      <c r="O401" s="4"/>
      <c r="P401" s="4"/>
      <c r="Q401" s="4"/>
      <c r="R401" s="4"/>
      <c r="S401" s="4"/>
    </row>
    <row r="402" spans="1:19" ht="13.5" thickBot="1" x14ac:dyDescent="0.25">
      <c r="A402" s="229" t="s">
        <v>17</v>
      </c>
      <c r="B402" s="26" t="s">
        <v>16</v>
      </c>
      <c r="C402" s="29"/>
      <c r="D402" s="29"/>
      <c r="E402" s="29"/>
      <c r="F402" s="29"/>
      <c r="G402" s="29"/>
      <c r="H402" s="4"/>
      <c r="I402" s="4"/>
      <c r="J402" s="4"/>
      <c r="K402" s="4"/>
      <c r="L402" s="4"/>
      <c r="M402" s="4"/>
      <c r="N402" s="4"/>
      <c r="O402" s="4"/>
      <c r="P402" s="4"/>
      <c r="Q402" s="4"/>
      <c r="R402" s="4"/>
      <c r="S402" s="4"/>
    </row>
    <row r="403" spans="1:19" x14ac:dyDescent="0.2">
      <c r="A403" s="39">
        <f t="shared" ref="A403:A410" si="44">A393*F$4/100</f>
        <v>0</v>
      </c>
      <c r="B403" s="40">
        <f t="shared" ref="B403:B410" si="45">B393</f>
        <v>0</v>
      </c>
      <c r="C403" s="29"/>
      <c r="D403" s="29"/>
      <c r="E403" s="29"/>
      <c r="F403" s="29"/>
      <c r="G403" s="29"/>
      <c r="H403" s="4"/>
      <c r="I403" s="4"/>
      <c r="J403" s="4"/>
      <c r="K403" s="4"/>
      <c r="L403" s="4"/>
      <c r="M403" s="4"/>
      <c r="N403" s="4"/>
      <c r="O403" s="4"/>
      <c r="P403" s="4"/>
      <c r="Q403" s="4"/>
      <c r="R403" s="4"/>
      <c r="S403" s="4"/>
    </row>
    <row r="404" spans="1:19" x14ac:dyDescent="0.2">
      <c r="A404" s="41">
        <f t="shared" si="44"/>
        <v>0.11835</v>
      </c>
      <c r="B404" s="42">
        <f t="shared" si="45"/>
        <v>0</v>
      </c>
      <c r="C404" s="29"/>
      <c r="D404" s="29"/>
      <c r="E404" s="29"/>
      <c r="F404" s="29"/>
      <c r="G404" s="29"/>
      <c r="H404" s="4"/>
      <c r="I404" s="4"/>
      <c r="J404" s="4"/>
      <c r="K404" s="4"/>
      <c r="L404" s="4"/>
      <c r="M404" s="4"/>
      <c r="N404" s="4"/>
      <c r="O404" s="4"/>
      <c r="P404" s="4"/>
      <c r="Q404" s="4"/>
      <c r="R404" s="4"/>
      <c r="S404" s="4"/>
    </row>
    <row r="405" spans="1:19" x14ac:dyDescent="0.2">
      <c r="A405" s="41">
        <f t="shared" si="44"/>
        <v>0.3</v>
      </c>
      <c r="B405" s="42">
        <f t="shared" si="45"/>
        <v>0</v>
      </c>
      <c r="C405" s="29"/>
      <c r="D405" s="29"/>
      <c r="E405" s="29"/>
      <c r="F405" s="29"/>
      <c r="G405" s="29"/>
      <c r="H405" s="4"/>
      <c r="I405" s="4"/>
      <c r="J405" s="4"/>
      <c r="K405" s="4"/>
      <c r="L405" s="4"/>
      <c r="M405" s="4"/>
      <c r="N405" s="4"/>
      <c r="O405" s="4"/>
      <c r="P405" s="4"/>
      <c r="Q405" s="4"/>
      <c r="R405" s="4"/>
      <c r="S405" s="4"/>
    </row>
    <row r="406" spans="1:19" x14ac:dyDescent="0.2">
      <c r="A406" s="41">
        <f t="shared" si="44"/>
        <v>0.82889999999999997</v>
      </c>
      <c r="B406" s="42">
        <f t="shared" si="45"/>
        <v>0</v>
      </c>
      <c r="C406" s="29"/>
      <c r="D406" s="29"/>
      <c r="E406" s="29"/>
      <c r="F406" s="29"/>
      <c r="G406" s="29"/>
      <c r="H406" s="4"/>
      <c r="I406" s="4"/>
      <c r="J406" s="4"/>
      <c r="K406" s="4"/>
      <c r="L406" s="4"/>
      <c r="M406" s="4"/>
      <c r="N406" s="4"/>
      <c r="O406" s="4"/>
      <c r="P406" s="4"/>
      <c r="Q406" s="4"/>
      <c r="R406" s="4"/>
      <c r="S406" s="4"/>
    </row>
    <row r="407" spans="1:19" x14ac:dyDescent="0.2">
      <c r="A407" s="41">
        <f t="shared" si="44"/>
        <v>0.9</v>
      </c>
      <c r="B407" s="42">
        <f t="shared" si="45"/>
        <v>0</v>
      </c>
      <c r="C407" s="29"/>
      <c r="D407" s="29"/>
      <c r="E407" s="29"/>
      <c r="F407" s="29"/>
      <c r="G407" s="29"/>
      <c r="H407" s="4"/>
      <c r="I407" s="4"/>
      <c r="J407" s="4"/>
      <c r="K407" s="4"/>
      <c r="L407" s="4"/>
      <c r="M407" s="4"/>
      <c r="N407" s="4"/>
      <c r="O407" s="4"/>
      <c r="P407" s="4"/>
      <c r="Q407" s="4"/>
      <c r="R407" s="4"/>
      <c r="S407" s="4"/>
    </row>
    <row r="408" spans="1:19" x14ac:dyDescent="0.2">
      <c r="A408" s="41">
        <f t="shared" si="44"/>
        <v>0.97499999999999998</v>
      </c>
      <c r="B408" s="42">
        <f t="shared" si="45"/>
        <v>0</v>
      </c>
      <c r="C408" s="29"/>
      <c r="D408" s="29"/>
      <c r="E408" s="29"/>
      <c r="F408" s="29"/>
      <c r="G408" s="29"/>
      <c r="H408" s="4"/>
      <c r="I408" s="4"/>
      <c r="J408" s="4"/>
      <c r="K408" s="4"/>
      <c r="L408" s="4"/>
      <c r="M408" s="4"/>
      <c r="N408" s="4"/>
      <c r="O408" s="4"/>
      <c r="P408" s="4"/>
      <c r="Q408" s="4"/>
      <c r="R408" s="4"/>
      <c r="S408" s="4"/>
    </row>
    <row r="409" spans="1:19" x14ac:dyDescent="0.2">
      <c r="A409" s="41">
        <f t="shared" si="44"/>
        <v>1.06575</v>
      </c>
      <c r="B409" s="42">
        <f t="shared" si="45"/>
        <v>0</v>
      </c>
      <c r="C409" s="29"/>
      <c r="D409" s="29"/>
      <c r="E409" s="29"/>
      <c r="F409" s="29"/>
      <c r="G409" s="29"/>
      <c r="H409" s="4"/>
      <c r="I409" s="4"/>
      <c r="J409" s="4"/>
      <c r="K409" s="4"/>
      <c r="L409" s="4"/>
      <c r="M409" s="4"/>
      <c r="N409" s="4"/>
      <c r="O409" s="4"/>
      <c r="P409" s="4"/>
      <c r="Q409" s="4"/>
      <c r="R409" s="4"/>
      <c r="S409" s="4"/>
    </row>
    <row r="410" spans="1:19" ht="13.5" thickBot="1" x14ac:dyDescent="0.25">
      <c r="A410" s="43">
        <f t="shared" si="44"/>
        <v>1.5</v>
      </c>
      <c r="B410" s="44">
        <f t="shared" si="45"/>
        <v>0</v>
      </c>
      <c r="C410" s="29"/>
      <c r="D410" s="29"/>
      <c r="E410" s="29"/>
      <c r="F410" s="29"/>
      <c r="G410" s="29"/>
      <c r="H410" s="4"/>
      <c r="I410" s="4"/>
      <c r="J410" s="4"/>
      <c r="K410" s="4"/>
      <c r="L410" s="4"/>
      <c r="M410" s="4"/>
      <c r="N410" s="4"/>
      <c r="O410" s="4"/>
      <c r="P410" s="4"/>
      <c r="Q410" s="4"/>
      <c r="R410" s="4"/>
      <c r="S410" s="4"/>
    </row>
    <row r="411" spans="1:19" x14ac:dyDescent="0.2">
      <c r="A411" s="21"/>
      <c r="B411" s="22"/>
      <c r="C411" s="29"/>
      <c r="D411" s="29"/>
      <c r="E411" s="29"/>
      <c r="F411" s="29"/>
      <c r="G411" s="29"/>
      <c r="H411" s="4"/>
      <c r="I411" s="237"/>
      <c r="J411" s="237"/>
      <c r="K411" s="4"/>
      <c r="L411" s="4"/>
      <c r="M411" s="4"/>
      <c r="N411" s="4"/>
      <c r="O411" s="4"/>
      <c r="P411" s="4"/>
      <c r="Q411" s="4"/>
      <c r="R411" s="4"/>
      <c r="S411" s="4"/>
    </row>
    <row r="412" spans="1:19" ht="13.5" thickBot="1" x14ac:dyDescent="0.25">
      <c r="A412" s="21"/>
      <c r="B412" s="22"/>
      <c r="C412" s="29"/>
      <c r="D412" s="29"/>
      <c r="E412" s="29"/>
      <c r="F412" s="29"/>
      <c r="G412" s="29"/>
      <c r="H412" s="4"/>
      <c r="I412" s="237"/>
      <c r="J412" s="237"/>
      <c r="K412" s="4"/>
      <c r="L412" s="4"/>
      <c r="M412" s="4"/>
      <c r="N412" s="4"/>
      <c r="O412" s="4"/>
      <c r="P412" s="4"/>
      <c r="Q412" s="4"/>
      <c r="R412" s="4"/>
      <c r="S412" s="4"/>
    </row>
    <row r="413" spans="1:19" ht="13.5" thickBot="1" x14ac:dyDescent="0.25">
      <c r="A413" s="229" t="s">
        <v>57</v>
      </c>
      <c r="B413" s="26" t="s">
        <v>48</v>
      </c>
      <c r="C413" s="29"/>
      <c r="D413" s="29"/>
      <c r="E413" s="29"/>
      <c r="F413" s="29"/>
      <c r="G413" s="29"/>
      <c r="H413" s="4"/>
      <c r="I413" s="237"/>
      <c r="J413" s="237"/>
      <c r="K413" s="4"/>
      <c r="L413" s="4"/>
      <c r="M413" s="4"/>
      <c r="N413" s="4"/>
      <c r="O413" s="4"/>
      <c r="P413" s="4"/>
      <c r="Q413" s="4"/>
      <c r="R413" s="4"/>
      <c r="S413" s="4"/>
    </row>
    <row r="414" spans="1:19" ht="13.5" thickBot="1" x14ac:dyDescent="0.25">
      <c r="A414" s="13" t="s">
        <v>72</v>
      </c>
      <c r="B414" s="245">
        <v>60</v>
      </c>
      <c r="C414" s="29"/>
      <c r="D414" s="29"/>
      <c r="E414" s="29"/>
      <c r="F414" s="29"/>
      <c r="G414" s="29"/>
      <c r="H414" s="4"/>
      <c r="I414" s="237"/>
      <c r="J414" s="237"/>
      <c r="K414" s="4"/>
      <c r="L414" s="4"/>
      <c r="M414" s="4"/>
      <c r="N414" s="4"/>
      <c r="O414" s="4"/>
      <c r="P414" s="4"/>
      <c r="Q414" s="4"/>
      <c r="R414" s="4"/>
      <c r="S414" s="4"/>
    </row>
    <row r="415" spans="1:19" ht="13.5" thickBot="1" x14ac:dyDescent="0.25">
      <c r="C415" s="29"/>
      <c r="D415" s="29"/>
      <c r="E415" s="29"/>
      <c r="F415" s="29"/>
      <c r="G415" s="29"/>
      <c r="H415" s="4"/>
      <c r="I415" s="237"/>
      <c r="J415" s="237"/>
      <c r="K415" s="4"/>
      <c r="L415" s="4"/>
      <c r="M415" s="4"/>
      <c r="N415" s="4"/>
      <c r="O415" s="4"/>
      <c r="P415" s="4"/>
      <c r="Q415" s="4"/>
      <c r="R415" s="4"/>
      <c r="S415" s="4"/>
    </row>
    <row r="416" spans="1:19" ht="13.5" thickBot="1" x14ac:dyDescent="0.25">
      <c r="A416" s="229" t="s">
        <v>1</v>
      </c>
      <c r="B416" s="26" t="s">
        <v>16</v>
      </c>
      <c r="C416" s="29"/>
      <c r="D416" s="29"/>
      <c r="E416" s="29"/>
      <c r="F416" s="29"/>
      <c r="G416" s="29"/>
      <c r="H416" s="4"/>
      <c r="I416" s="237"/>
      <c r="J416" s="237"/>
      <c r="K416" s="4"/>
      <c r="L416" s="4"/>
      <c r="M416" s="4"/>
      <c r="N416" s="4"/>
      <c r="O416" s="4"/>
      <c r="P416" s="4"/>
      <c r="Q416" s="4"/>
      <c r="R416" s="4"/>
      <c r="S416" s="4"/>
    </row>
    <row r="417" spans="1:19" x14ac:dyDescent="0.2">
      <c r="A417" s="57">
        <v>0</v>
      </c>
      <c r="B417" s="54">
        <v>0</v>
      </c>
      <c r="C417" s="29"/>
      <c r="D417" s="29"/>
      <c r="E417" s="29"/>
      <c r="F417" s="29"/>
      <c r="G417" s="29"/>
      <c r="H417" s="4"/>
      <c r="I417" s="237"/>
      <c r="J417" s="237"/>
      <c r="K417" s="4"/>
      <c r="L417" s="4"/>
      <c r="M417" s="4"/>
      <c r="N417" s="4"/>
      <c r="O417" s="4"/>
      <c r="P417" s="4"/>
      <c r="Q417" s="4"/>
      <c r="R417" s="4"/>
      <c r="S417" s="4"/>
    </row>
    <row r="418" spans="1:19" x14ac:dyDescent="0.2">
      <c r="A418" s="52">
        <v>7.89</v>
      </c>
      <c r="B418" s="55">
        <v>0</v>
      </c>
      <c r="C418" s="29"/>
      <c r="D418" s="29"/>
      <c r="E418" s="29"/>
      <c r="F418" s="29"/>
      <c r="G418" s="29"/>
      <c r="H418" s="4"/>
      <c r="I418" s="237"/>
      <c r="J418" s="237"/>
      <c r="K418" s="4"/>
      <c r="L418" s="4"/>
      <c r="M418" s="4"/>
      <c r="N418" s="4"/>
      <c r="O418" s="4"/>
      <c r="P418" s="4"/>
      <c r="Q418" s="4"/>
      <c r="R418" s="4"/>
      <c r="S418" s="4"/>
    </row>
    <row r="419" spans="1:19" x14ac:dyDescent="0.2">
      <c r="A419" s="52">
        <v>20</v>
      </c>
      <c r="B419" s="55">
        <v>0</v>
      </c>
      <c r="C419" s="29"/>
      <c r="D419" s="29"/>
      <c r="E419" s="29"/>
      <c r="F419" s="29"/>
      <c r="G419" s="29"/>
      <c r="H419" s="4"/>
      <c r="I419" s="237"/>
      <c r="J419" s="237"/>
      <c r="K419" s="4"/>
      <c r="L419" s="4"/>
      <c r="M419" s="4"/>
      <c r="N419" s="4"/>
      <c r="O419" s="4"/>
      <c r="P419" s="4"/>
      <c r="Q419" s="4"/>
      <c r="R419" s="4"/>
      <c r="S419" s="4"/>
    </row>
    <row r="420" spans="1:19" x14ac:dyDescent="0.2">
      <c r="A420" s="52">
        <v>55.26</v>
      </c>
      <c r="B420" s="55">
        <v>0</v>
      </c>
      <c r="C420" s="29"/>
      <c r="D420" s="29"/>
      <c r="E420" s="29"/>
      <c r="F420" s="29"/>
      <c r="G420" s="29"/>
      <c r="H420" s="4"/>
      <c r="I420" s="237"/>
      <c r="J420" s="237"/>
      <c r="K420" s="4"/>
      <c r="L420" s="4"/>
      <c r="M420" s="4"/>
      <c r="N420" s="4"/>
      <c r="O420" s="4"/>
      <c r="P420" s="4"/>
      <c r="Q420" s="4"/>
      <c r="R420" s="4"/>
      <c r="S420" s="4"/>
    </row>
    <row r="421" spans="1:19" x14ac:dyDescent="0.2">
      <c r="A421" s="52">
        <v>60</v>
      </c>
      <c r="B421" s="55">
        <v>0</v>
      </c>
      <c r="C421" s="29"/>
      <c r="D421" s="29"/>
      <c r="E421" s="29"/>
      <c r="F421" s="29"/>
      <c r="G421" s="29"/>
      <c r="H421" s="4"/>
      <c r="I421" s="237"/>
      <c r="J421" s="237"/>
      <c r="K421" s="4"/>
      <c r="L421" s="4"/>
      <c r="M421" s="4"/>
      <c r="N421" s="4"/>
      <c r="O421" s="4"/>
      <c r="P421" s="4"/>
      <c r="Q421" s="4"/>
      <c r="R421" s="4"/>
      <c r="S421" s="4"/>
    </row>
    <row r="422" spans="1:19" x14ac:dyDescent="0.2">
      <c r="A422" s="52">
        <v>65</v>
      </c>
      <c r="B422" s="55">
        <v>0</v>
      </c>
      <c r="C422" s="29"/>
      <c r="D422" s="29"/>
      <c r="E422" s="29"/>
      <c r="F422" s="29"/>
      <c r="G422" s="29"/>
      <c r="H422" s="4"/>
      <c r="I422" s="237"/>
      <c r="J422" s="237"/>
      <c r="K422" s="4"/>
      <c r="L422" s="4"/>
      <c r="M422" s="4"/>
      <c r="N422" s="4"/>
      <c r="O422" s="4"/>
      <c r="P422" s="4"/>
      <c r="Q422" s="4"/>
      <c r="R422" s="4"/>
      <c r="S422" s="4"/>
    </row>
    <row r="423" spans="1:19" x14ac:dyDescent="0.2">
      <c r="A423" s="52">
        <v>71.05</v>
      </c>
      <c r="B423" s="55">
        <v>0</v>
      </c>
      <c r="C423" s="29"/>
      <c r="D423" s="29"/>
      <c r="E423" s="29"/>
      <c r="F423" s="29"/>
      <c r="G423" s="29"/>
      <c r="H423" s="4"/>
      <c r="I423" s="237"/>
      <c r="J423" s="237"/>
      <c r="K423" s="4"/>
      <c r="L423" s="4"/>
      <c r="M423" s="4"/>
      <c r="N423" s="4"/>
      <c r="O423" s="4"/>
      <c r="P423" s="4"/>
      <c r="Q423" s="4"/>
      <c r="R423" s="4"/>
      <c r="S423" s="4"/>
    </row>
    <row r="424" spans="1:19" ht="13.5" thickBot="1" x14ac:dyDescent="0.25">
      <c r="A424" s="53">
        <v>100</v>
      </c>
      <c r="B424" s="56">
        <v>0</v>
      </c>
      <c r="C424" s="29"/>
      <c r="D424" s="29"/>
      <c r="E424" s="29"/>
      <c r="F424" s="29"/>
      <c r="G424" s="29"/>
      <c r="H424" s="4"/>
      <c r="I424" s="237"/>
      <c r="J424" s="237"/>
      <c r="K424" s="4"/>
      <c r="L424" s="4"/>
      <c r="M424" s="4"/>
      <c r="N424" s="4"/>
      <c r="O424" s="4"/>
      <c r="P424" s="4"/>
      <c r="Q424" s="4"/>
      <c r="R424" s="4"/>
      <c r="S424" s="4"/>
    </row>
    <row r="425" spans="1:19" ht="13.5" thickBot="1" x14ac:dyDescent="0.25">
      <c r="C425" s="29"/>
      <c r="D425" s="29"/>
      <c r="E425" s="29"/>
      <c r="F425" s="29"/>
      <c r="G425" s="29"/>
      <c r="H425" s="4"/>
      <c r="I425" s="237"/>
      <c r="J425" s="237"/>
      <c r="K425" s="4"/>
      <c r="L425" s="4"/>
      <c r="M425" s="4"/>
      <c r="N425" s="4"/>
      <c r="O425" s="4"/>
      <c r="P425" s="4"/>
      <c r="Q425" s="4"/>
      <c r="R425" s="4"/>
      <c r="S425" s="4"/>
    </row>
    <row r="426" spans="1:19" ht="13.5" thickBot="1" x14ac:dyDescent="0.25">
      <c r="A426" s="229" t="s">
        <v>17</v>
      </c>
      <c r="B426" s="26" t="s">
        <v>16</v>
      </c>
      <c r="C426" s="29"/>
      <c r="D426" s="29"/>
      <c r="E426" s="29"/>
      <c r="F426" s="29"/>
      <c r="G426" s="29"/>
      <c r="H426" s="4"/>
      <c r="I426" s="237"/>
      <c r="J426" s="237"/>
      <c r="K426" s="4"/>
      <c r="L426" s="4"/>
      <c r="M426" s="4"/>
      <c r="N426" s="4"/>
      <c r="O426" s="4"/>
      <c r="P426" s="4"/>
      <c r="Q426" s="4"/>
      <c r="R426" s="4"/>
      <c r="S426" s="4"/>
    </row>
    <row r="427" spans="1:19" x14ac:dyDescent="0.2">
      <c r="A427" s="39">
        <f t="shared" ref="A427:A434" si="46">A417*F$4/100</f>
        <v>0</v>
      </c>
      <c r="B427" s="40">
        <f t="shared" ref="B427:B434" si="47">B417</f>
        <v>0</v>
      </c>
      <c r="C427" s="29"/>
      <c r="D427" s="29"/>
      <c r="E427" s="29"/>
      <c r="F427" s="29"/>
      <c r="G427" s="29"/>
      <c r="H427" s="4"/>
      <c r="I427" s="237"/>
      <c r="J427" s="237"/>
      <c r="K427" s="4"/>
      <c r="L427" s="4"/>
      <c r="M427" s="4"/>
      <c r="N427" s="4"/>
      <c r="O427" s="4"/>
      <c r="P427" s="4"/>
      <c r="Q427" s="4"/>
      <c r="R427" s="4"/>
      <c r="S427" s="4"/>
    </row>
    <row r="428" spans="1:19" x14ac:dyDescent="0.2">
      <c r="A428" s="41">
        <f t="shared" si="46"/>
        <v>0.11835</v>
      </c>
      <c r="B428" s="42">
        <f t="shared" si="47"/>
        <v>0</v>
      </c>
      <c r="C428" s="29"/>
      <c r="D428" s="29"/>
      <c r="E428" s="29"/>
      <c r="F428" s="29"/>
      <c r="G428" s="29"/>
      <c r="H428" s="4"/>
      <c r="I428" s="237"/>
      <c r="J428" s="237"/>
      <c r="K428" s="4"/>
      <c r="L428" s="4"/>
      <c r="M428" s="4"/>
      <c r="N428" s="4"/>
      <c r="O428" s="4"/>
      <c r="P428" s="4"/>
      <c r="Q428" s="4"/>
      <c r="R428" s="4"/>
      <c r="S428" s="4"/>
    </row>
    <row r="429" spans="1:19" x14ac:dyDescent="0.2">
      <c r="A429" s="41">
        <f t="shared" si="46"/>
        <v>0.3</v>
      </c>
      <c r="B429" s="42">
        <f t="shared" si="47"/>
        <v>0</v>
      </c>
      <c r="C429" s="29"/>
      <c r="D429" s="29"/>
      <c r="E429" s="29"/>
      <c r="F429" s="29"/>
      <c r="G429" s="29"/>
      <c r="H429" s="4"/>
      <c r="I429" s="237"/>
      <c r="J429" s="237"/>
      <c r="K429" s="4"/>
      <c r="L429" s="4"/>
      <c r="M429" s="4"/>
      <c r="N429" s="4"/>
      <c r="O429" s="4"/>
      <c r="P429" s="4"/>
      <c r="Q429" s="4"/>
      <c r="R429" s="4"/>
      <c r="S429" s="4"/>
    </row>
    <row r="430" spans="1:19" x14ac:dyDescent="0.2">
      <c r="A430" s="41">
        <f t="shared" si="46"/>
        <v>0.82889999999999997</v>
      </c>
      <c r="B430" s="42">
        <f t="shared" si="47"/>
        <v>0</v>
      </c>
      <c r="C430" s="29"/>
      <c r="D430" s="29"/>
      <c r="E430" s="29"/>
      <c r="F430" s="29"/>
      <c r="G430" s="29"/>
      <c r="H430" s="4"/>
      <c r="I430" s="237"/>
      <c r="J430" s="237"/>
      <c r="K430" s="4"/>
      <c r="L430" s="4"/>
      <c r="M430" s="4"/>
      <c r="N430" s="4"/>
      <c r="O430" s="4"/>
      <c r="P430" s="4"/>
      <c r="Q430" s="4"/>
      <c r="R430" s="4"/>
      <c r="S430" s="4"/>
    </row>
    <row r="431" spans="1:19" x14ac:dyDescent="0.2">
      <c r="A431" s="41">
        <f t="shared" si="46"/>
        <v>0.9</v>
      </c>
      <c r="B431" s="42">
        <f t="shared" si="47"/>
        <v>0</v>
      </c>
      <c r="C431" s="29"/>
      <c r="D431" s="29"/>
      <c r="E431" s="29"/>
      <c r="F431" s="29"/>
      <c r="G431" s="29"/>
      <c r="H431" s="4"/>
      <c r="I431" s="237"/>
      <c r="J431" s="237"/>
      <c r="K431" s="4"/>
      <c r="L431" s="4"/>
      <c r="M431" s="4"/>
      <c r="N431" s="4"/>
      <c r="O431" s="4"/>
      <c r="P431" s="4"/>
      <c r="Q431" s="4"/>
      <c r="R431" s="4"/>
      <c r="S431" s="4"/>
    </row>
    <row r="432" spans="1:19" x14ac:dyDescent="0.2">
      <c r="A432" s="41">
        <f t="shared" si="46"/>
        <v>0.97499999999999998</v>
      </c>
      <c r="B432" s="42">
        <f t="shared" si="47"/>
        <v>0</v>
      </c>
      <c r="C432" s="29"/>
      <c r="D432" s="29"/>
      <c r="E432" s="29"/>
      <c r="F432" s="29"/>
      <c r="G432" s="29"/>
      <c r="H432" s="4"/>
      <c r="I432" s="237"/>
      <c r="J432" s="237"/>
      <c r="K432" s="4"/>
      <c r="L432" s="4"/>
      <c r="M432" s="4"/>
      <c r="N432" s="4"/>
      <c r="O432" s="4"/>
      <c r="P432" s="4"/>
      <c r="Q432" s="4"/>
      <c r="R432" s="4"/>
      <c r="S432" s="4"/>
    </row>
    <row r="433" spans="1:19" x14ac:dyDescent="0.2">
      <c r="A433" s="41">
        <f t="shared" si="46"/>
        <v>1.06575</v>
      </c>
      <c r="B433" s="42">
        <f t="shared" si="47"/>
        <v>0</v>
      </c>
      <c r="C433" s="29"/>
      <c r="D433" s="29"/>
      <c r="E433" s="29"/>
      <c r="F433" s="29"/>
      <c r="G433" s="29"/>
      <c r="H433" s="4"/>
      <c r="I433" s="237"/>
      <c r="J433" s="237"/>
      <c r="K433" s="4"/>
      <c r="L433" s="4"/>
      <c r="M433" s="4"/>
      <c r="N433" s="4"/>
      <c r="O433" s="4"/>
      <c r="P433" s="4"/>
      <c r="Q433" s="4"/>
      <c r="R433" s="4"/>
      <c r="S433" s="4"/>
    </row>
    <row r="434" spans="1:19" ht="13.5" thickBot="1" x14ac:dyDescent="0.25">
      <c r="A434" s="43">
        <f t="shared" si="46"/>
        <v>1.5</v>
      </c>
      <c r="B434" s="44">
        <f t="shared" si="47"/>
        <v>0</v>
      </c>
      <c r="C434" s="29"/>
      <c r="D434" s="29"/>
      <c r="E434" s="29"/>
      <c r="F434" s="29"/>
      <c r="G434" s="29"/>
      <c r="H434" s="4"/>
      <c r="I434" s="237"/>
      <c r="J434" s="237"/>
      <c r="K434" s="4"/>
      <c r="L434" s="4"/>
      <c r="M434" s="4"/>
      <c r="N434" s="4"/>
      <c r="O434" s="4"/>
      <c r="P434" s="4"/>
      <c r="Q434" s="4"/>
      <c r="R434" s="4"/>
      <c r="S434" s="4"/>
    </row>
    <row r="435" spans="1:19" x14ac:dyDescent="0.2">
      <c r="A435" s="21"/>
      <c r="B435" s="22"/>
      <c r="C435" s="29"/>
      <c r="D435" s="29"/>
      <c r="E435" s="29"/>
      <c r="F435" s="29"/>
      <c r="G435" s="29"/>
      <c r="H435" s="4"/>
      <c r="I435" s="237"/>
      <c r="J435" s="237"/>
      <c r="K435" s="4"/>
      <c r="L435" s="4"/>
      <c r="M435" s="4"/>
      <c r="N435" s="4"/>
      <c r="O435" s="4"/>
      <c r="P435" s="4"/>
      <c r="Q435" s="4"/>
      <c r="R435" s="4"/>
      <c r="S435" s="4"/>
    </row>
    <row r="436" spans="1:19" x14ac:dyDescent="0.2">
      <c r="A436" s="29"/>
      <c r="B436" s="29"/>
      <c r="C436" s="29"/>
      <c r="D436" s="29"/>
      <c r="E436" s="29"/>
      <c r="F436" s="29"/>
      <c r="G436" s="29"/>
      <c r="H436" s="4"/>
      <c r="I436" s="237"/>
      <c r="J436" s="237"/>
      <c r="K436" s="4"/>
      <c r="L436" s="4"/>
      <c r="M436" s="4"/>
      <c r="N436" s="4"/>
      <c r="O436" s="4"/>
      <c r="P436" s="4"/>
      <c r="Q436" s="4"/>
      <c r="R436" s="4"/>
      <c r="S436" s="4"/>
    </row>
    <row r="437" spans="1:19" ht="13.5" thickBot="1" x14ac:dyDescent="0.25">
      <c r="A437" s="29"/>
      <c r="B437" s="29"/>
      <c r="C437" s="29"/>
      <c r="D437" s="29"/>
      <c r="E437" s="29"/>
      <c r="F437" s="29"/>
      <c r="G437" s="29"/>
      <c r="H437" s="4"/>
      <c r="I437" s="237"/>
      <c r="J437" s="237"/>
      <c r="K437" s="4"/>
      <c r="L437" s="4"/>
      <c r="M437" s="4"/>
      <c r="N437" s="4"/>
      <c r="O437" s="4"/>
      <c r="P437" s="4"/>
      <c r="Q437" s="4"/>
      <c r="R437" s="4"/>
      <c r="S437" s="4"/>
    </row>
    <row r="438" spans="1:19" ht="13.5" thickBot="1" x14ac:dyDescent="0.25">
      <c r="A438" s="229" t="s">
        <v>57</v>
      </c>
      <c r="B438" s="26" t="s">
        <v>48</v>
      </c>
      <c r="C438" s="226"/>
      <c r="D438" s="226"/>
      <c r="E438" s="226"/>
      <c r="F438" s="226"/>
      <c r="G438" s="226"/>
      <c r="H438" s="4"/>
      <c r="I438" s="237"/>
      <c r="J438" s="237"/>
      <c r="K438" s="4"/>
      <c r="L438" s="4"/>
      <c r="M438" s="4"/>
      <c r="N438" s="4"/>
      <c r="O438" s="4"/>
      <c r="P438" s="4"/>
      <c r="Q438" s="4"/>
      <c r="R438" s="4"/>
      <c r="S438" s="4"/>
    </row>
    <row r="439" spans="1:19" ht="13.5" thickBot="1" x14ac:dyDescent="0.25">
      <c r="A439" s="13" t="s">
        <v>74</v>
      </c>
      <c r="B439" s="245">
        <v>60</v>
      </c>
      <c r="C439" s="226"/>
      <c r="D439" s="226"/>
      <c r="E439" s="226"/>
      <c r="F439" s="226"/>
      <c r="G439" s="226"/>
      <c r="H439" s="4"/>
      <c r="I439" s="237"/>
      <c r="J439" s="237"/>
      <c r="K439" s="4"/>
      <c r="L439" s="4"/>
      <c r="M439" s="4"/>
      <c r="N439" s="4"/>
      <c r="O439" s="4"/>
      <c r="P439" s="4"/>
      <c r="Q439" s="4"/>
      <c r="R439" s="4"/>
      <c r="S439" s="4"/>
    </row>
    <row r="440" spans="1:19" ht="13.5" thickBot="1" x14ac:dyDescent="0.25">
      <c r="A440" s="1"/>
      <c r="B440" s="228"/>
      <c r="C440" s="226"/>
      <c r="D440" s="226"/>
      <c r="E440" s="226"/>
      <c r="F440" s="226"/>
      <c r="G440" s="226"/>
      <c r="H440" s="4"/>
      <c r="I440" s="237"/>
      <c r="J440" s="237"/>
      <c r="K440" s="4"/>
      <c r="L440" s="4"/>
      <c r="M440" s="4"/>
      <c r="N440" s="4"/>
      <c r="O440" s="4"/>
      <c r="P440" s="4"/>
      <c r="Q440" s="4"/>
      <c r="R440" s="4"/>
      <c r="S440" s="4"/>
    </row>
    <row r="441" spans="1:19" ht="13.5" thickBot="1" x14ac:dyDescent="0.25">
      <c r="A441" s="229" t="s">
        <v>1</v>
      </c>
      <c r="B441" s="26" t="s">
        <v>16</v>
      </c>
      <c r="C441" s="226"/>
      <c r="D441" s="226"/>
      <c r="E441" s="226"/>
      <c r="F441" s="226"/>
      <c r="G441" s="226"/>
      <c r="H441" s="4"/>
      <c r="I441" s="237"/>
      <c r="J441" s="237"/>
      <c r="K441" s="4"/>
      <c r="L441" s="4"/>
      <c r="M441" s="4"/>
      <c r="N441" s="4"/>
      <c r="O441" s="4"/>
      <c r="P441" s="4"/>
      <c r="Q441" s="4"/>
      <c r="R441" s="4"/>
      <c r="S441" s="4"/>
    </row>
    <row r="442" spans="1:19" x14ac:dyDescent="0.2">
      <c r="A442" s="51">
        <v>0</v>
      </c>
      <c r="B442" s="54">
        <v>150</v>
      </c>
      <c r="C442" s="226"/>
      <c r="D442" s="226"/>
      <c r="E442" s="226"/>
      <c r="F442" s="226"/>
      <c r="G442" s="226"/>
      <c r="H442" s="4"/>
      <c r="I442" s="237"/>
      <c r="J442" s="237"/>
      <c r="K442" s="4"/>
      <c r="L442" s="4"/>
      <c r="M442" s="4"/>
      <c r="N442" s="4"/>
      <c r="O442" s="4"/>
      <c r="P442" s="4"/>
      <c r="Q442" s="4"/>
      <c r="R442" s="4"/>
      <c r="S442" s="4"/>
    </row>
    <row r="443" spans="1:19" x14ac:dyDescent="0.2">
      <c r="A443" s="52">
        <v>50</v>
      </c>
      <c r="B443" s="55">
        <v>75</v>
      </c>
      <c r="C443" s="226"/>
      <c r="D443" s="226"/>
      <c r="E443" s="226"/>
      <c r="F443" s="226"/>
      <c r="G443" s="226"/>
      <c r="H443" s="4"/>
      <c r="I443" s="237"/>
      <c r="J443" s="237"/>
      <c r="K443" s="4"/>
      <c r="L443" s="4"/>
      <c r="M443" s="4"/>
      <c r="N443" s="4"/>
      <c r="O443" s="4"/>
      <c r="P443" s="4"/>
      <c r="Q443" s="4"/>
      <c r="R443" s="4"/>
      <c r="S443" s="4"/>
    </row>
    <row r="444" spans="1:19" x14ac:dyDescent="0.2">
      <c r="A444" s="52">
        <v>55</v>
      </c>
      <c r="B444" s="55">
        <v>75</v>
      </c>
      <c r="C444" s="226"/>
      <c r="D444" s="226"/>
      <c r="E444" s="226"/>
      <c r="F444" s="226"/>
      <c r="G444" s="226"/>
      <c r="H444" s="4"/>
      <c r="I444" s="237"/>
      <c r="J444" s="237"/>
      <c r="K444" s="4"/>
      <c r="L444" s="4"/>
      <c r="M444" s="4"/>
      <c r="N444" s="4"/>
      <c r="O444" s="4"/>
      <c r="P444" s="4"/>
      <c r="Q444" s="4"/>
      <c r="R444" s="4"/>
      <c r="S444" s="4"/>
    </row>
    <row r="445" spans="1:19" x14ac:dyDescent="0.2">
      <c r="A445" s="52">
        <v>60</v>
      </c>
      <c r="B445" s="55">
        <v>75</v>
      </c>
      <c r="C445" s="226"/>
      <c r="D445" s="226"/>
      <c r="E445" s="226"/>
      <c r="F445" s="226"/>
      <c r="G445" s="226"/>
      <c r="H445" s="4"/>
      <c r="I445" s="237"/>
      <c r="J445" s="237"/>
      <c r="K445" s="4"/>
      <c r="L445" s="4"/>
      <c r="M445" s="4"/>
      <c r="N445" s="4"/>
      <c r="O445" s="4"/>
      <c r="P445" s="4"/>
      <c r="Q445" s="4"/>
      <c r="R445" s="4"/>
      <c r="S445" s="4"/>
    </row>
    <row r="446" spans="1:19" x14ac:dyDescent="0.2">
      <c r="A446" s="52">
        <v>75</v>
      </c>
      <c r="B446" s="55">
        <v>75</v>
      </c>
      <c r="C446" s="226"/>
      <c r="D446" s="226"/>
      <c r="E446" s="226"/>
      <c r="F446" s="226"/>
      <c r="G446" s="226"/>
      <c r="H446" s="4"/>
      <c r="I446" s="237"/>
      <c r="J446" s="237"/>
      <c r="K446" s="4"/>
      <c r="L446" s="4"/>
      <c r="M446" s="4"/>
      <c r="N446" s="4"/>
      <c r="O446" s="4"/>
      <c r="P446" s="4"/>
      <c r="Q446" s="4"/>
      <c r="R446" s="4"/>
      <c r="S446" s="4"/>
    </row>
    <row r="447" spans="1:19" x14ac:dyDescent="0.2">
      <c r="A447" s="52">
        <v>88</v>
      </c>
      <c r="B447" s="55">
        <v>39</v>
      </c>
      <c r="C447" s="226"/>
      <c r="D447" s="226"/>
      <c r="E447" s="226"/>
      <c r="F447" s="226"/>
      <c r="G447" s="226"/>
      <c r="H447" s="4"/>
      <c r="I447" s="237"/>
      <c r="J447" s="237"/>
      <c r="K447" s="4"/>
      <c r="L447" s="4"/>
      <c r="M447" s="4"/>
      <c r="N447" s="4"/>
      <c r="O447" s="4"/>
      <c r="P447" s="4"/>
      <c r="Q447" s="4"/>
      <c r="R447" s="4"/>
      <c r="S447" s="4"/>
    </row>
    <row r="448" spans="1:19" x14ac:dyDescent="0.2">
      <c r="A448" s="52">
        <v>94</v>
      </c>
      <c r="B448" s="55">
        <v>20</v>
      </c>
      <c r="C448" s="226"/>
      <c r="D448" s="226"/>
      <c r="E448" s="226"/>
      <c r="F448" s="226"/>
      <c r="G448" s="226"/>
      <c r="H448" s="4"/>
      <c r="I448" s="237"/>
      <c r="J448" s="237"/>
      <c r="K448" s="4"/>
      <c r="L448" s="4"/>
      <c r="M448" s="4"/>
      <c r="N448" s="4"/>
      <c r="O448" s="4"/>
      <c r="P448" s="4"/>
      <c r="Q448" s="4"/>
      <c r="R448" s="4"/>
      <c r="S448" s="4"/>
    </row>
    <row r="449" spans="1:19" ht="13.5" thickBot="1" x14ac:dyDescent="0.25">
      <c r="A449" s="53">
        <v>100</v>
      </c>
      <c r="B449" s="56">
        <v>0</v>
      </c>
      <c r="C449" s="226"/>
      <c r="D449" s="226"/>
      <c r="E449" s="226"/>
      <c r="F449" s="226"/>
      <c r="G449" s="226"/>
      <c r="H449" s="4"/>
      <c r="I449" s="237"/>
      <c r="J449" s="237"/>
      <c r="K449" s="4"/>
      <c r="L449" s="4"/>
      <c r="M449" s="4"/>
      <c r="N449" s="4"/>
      <c r="O449" s="4"/>
      <c r="P449" s="4"/>
      <c r="Q449" s="4"/>
      <c r="R449" s="4"/>
      <c r="S449" s="4"/>
    </row>
    <row r="450" spans="1:19" ht="13.5" thickBot="1" x14ac:dyDescent="0.25">
      <c r="A450" s="226"/>
      <c r="B450" s="226"/>
      <c r="C450" s="226"/>
      <c r="D450" s="226"/>
      <c r="E450" s="226"/>
      <c r="F450" s="226"/>
      <c r="G450" s="226"/>
      <c r="H450" s="4"/>
      <c r="I450" s="237"/>
      <c r="J450" s="237"/>
      <c r="K450" s="4"/>
      <c r="L450" s="4"/>
      <c r="M450" s="4"/>
      <c r="N450" s="4"/>
      <c r="O450" s="4"/>
      <c r="P450" s="4"/>
      <c r="Q450" s="4"/>
      <c r="R450" s="4"/>
      <c r="S450" s="4"/>
    </row>
    <row r="451" spans="1:19" ht="13.5" thickBot="1" x14ac:dyDescent="0.25">
      <c r="A451" s="229" t="s">
        <v>17</v>
      </c>
      <c r="B451" s="26" t="s">
        <v>16</v>
      </c>
      <c r="C451" s="226"/>
      <c r="D451" s="226"/>
      <c r="E451" s="226"/>
      <c r="F451" s="226"/>
      <c r="G451" s="226"/>
      <c r="H451" s="4"/>
      <c r="I451" s="237"/>
      <c r="J451" s="237"/>
      <c r="K451" s="4"/>
      <c r="L451" s="4"/>
      <c r="M451" s="4"/>
      <c r="N451" s="4"/>
      <c r="O451" s="4"/>
      <c r="P451" s="4"/>
      <c r="Q451" s="4"/>
      <c r="R451" s="4"/>
      <c r="S451" s="4"/>
    </row>
    <row r="452" spans="1:19" x14ac:dyDescent="0.2">
      <c r="A452" s="39">
        <f t="shared" ref="A452:A459" si="48">A442*F$4/100</f>
        <v>0</v>
      </c>
      <c r="B452" s="40">
        <f t="shared" ref="B452:B459" si="49">B442</f>
        <v>150</v>
      </c>
      <c r="C452" s="226"/>
      <c r="D452" s="226"/>
      <c r="E452" s="226"/>
      <c r="F452" s="226"/>
      <c r="G452" s="226"/>
      <c r="H452" s="4"/>
      <c r="I452" s="237"/>
      <c r="J452" s="237"/>
      <c r="K452" s="4"/>
      <c r="L452" s="4"/>
      <c r="M452" s="4"/>
      <c r="N452" s="4"/>
      <c r="O452" s="4"/>
      <c r="P452" s="4"/>
      <c r="Q452" s="4"/>
      <c r="R452" s="4"/>
      <c r="S452" s="4"/>
    </row>
    <row r="453" spans="1:19" x14ac:dyDescent="0.2">
      <c r="A453" s="41">
        <f t="shared" si="48"/>
        <v>0.75</v>
      </c>
      <c r="B453" s="42">
        <f t="shared" si="49"/>
        <v>75</v>
      </c>
      <c r="C453" s="226"/>
      <c r="D453" s="226"/>
      <c r="E453" s="226"/>
      <c r="F453" s="226"/>
      <c r="G453" s="226"/>
      <c r="H453" s="4"/>
      <c r="I453" s="237"/>
      <c r="J453" s="237"/>
      <c r="K453" s="4"/>
      <c r="L453" s="4"/>
      <c r="M453" s="4"/>
      <c r="N453" s="4"/>
      <c r="O453" s="4"/>
      <c r="P453" s="4"/>
      <c r="Q453" s="4"/>
      <c r="R453" s="4"/>
      <c r="S453" s="4"/>
    </row>
    <row r="454" spans="1:19" x14ac:dyDescent="0.2">
      <c r="A454" s="41">
        <f t="shared" si="48"/>
        <v>0.82499999999999996</v>
      </c>
      <c r="B454" s="42">
        <f t="shared" si="49"/>
        <v>75</v>
      </c>
      <c r="C454" s="226"/>
      <c r="D454" s="226"/>
      <c r="E454" s="226"/>
      <c r="F454" s="226"/>
      <c r="G454" s="226"/>
      <c r="H454" s="4"/>
      <c r="I454" s="237"/>
      <c r="J454" s="237"/>
      <c r="K454" s="4"/>
      <c r="L454" s="4"/>
      <c r="M454" s="4"/>
      <c r="N454" s="4"/>
      <c r="O454" s="4"/>
      <c r="P454" s="4"/>
      <c r="Q454" s="4"/>
      <c r="R454" s="4"/>
      <c r="S454" s="4"/>
    </row>
    <row r="455" spans="1:19" x14ac:dyDescent="0.2">
      <c r="A455" s="41">
        <f t="shared" si="48"/>
        <v>0.9</v>
      </c>
      <c r="B455" s="42">
        <f t="shared" si="49"/>
        <v>75</v>
      </c>
      <c r="C455" s="226"/>
      <c r="D455" s="226"/>
      <c r="E455" s="226"/>
      <c r="F455" s="226"/>
      <c r="G455" s="226"/>
      <c r="H455" s="4"/>
      <c r="I455" s="237"/>
      <c r="J455" s="237"/>
      <c r="K455" s="4"/>
      <c r="L455" s="4"/>
      <c r="M455" s="4"/>
      <c r="N455" s="4"/>
      <c r="O455" s="4"/>
      <c r="P455" s="4"/>
      <c r="Q455" s="4"/>
      <c r="R455" s="4"/>
      <c r="S455" s="4"/>
    </row>
    <row r="456" spans="1:19" x14ac:dyDescent="0.2">
      <c r="A456" s="41">
        <f t="shared" si="48"/>
        <v>1.125</v>
      </c>
      <c r="B456" s="42">
        <f t="shared" si="49"/>
        <v>75</v>
      </c>
      <c r="C456" s="226"/>
      <c r="D456" s="226"/>
      <c r="E456" s="226"/>
      <c r="F456" s="226"/>
      <c r="G456" s="226"/>
      <c r="H456" s="4"/>
      <c r="I456" s="237"/>
      <c r="J456" s="237"/>
      <c r="K456" s="4"/>
      <c r="L456" s="4"/>
      <c r="M456" s="4"/>
      <c r="N456" s="4"/>
      <c r="O456" s="4"/>
      <c r="P456" s="4"/>
      <c r="Q456" s="4"/>
      <c r="R456" s="4"/>
      <c r="S456" s="4"/>
    </row>
    <row r="457" spans="1:19" x14ac:dyDescent="0.2">
      <c r="A457" s="41">
        <f t="shared" si="48"/>
        <v>1.32</v>
      </c>
      <c r="B457" s="42">
        <f t="shared" si="49"/>
        <v>39</v>
      </c>
      <c r="C457" s="226"/>
      <c r="D457" s="226"/>
      <c r="E457" s="226"/>
      <c r="F457" s="226"/>
      <c r="G457" s="226"/>
      <c r="H457" s="4"/>
      <c r="I457" s="237"/>
      <c r="J457" s="237"/>
      <c r="K457" s="4"/>
      <c r="L457" s="4"/>
      <c r="M457" s="4"/>
      <c r="N457" s="4"/>
      <c r="O457" s="4"/>
      <c r="P457" s="4"/>
      <c r="Q457" s="4"/>
      <c r="R457" s="4"/>
      <c r="S457" s="4"/>
    </row>
    <row r="458" spans="1:19" x14ac:dyDescent="0.2">
      <c r="A458" s="41">
        <f t="shared" si="48"/>
        <v>1.41</v>
      </c>
      <c r="B458" s="42">
        <f t="shared" si="49"/>
        <v>20</v>
      </c>
      <c r="C458" s="226"/>
      <c r="D458" s="226"/>
      <c r="E458" s="226"/>
      <c r="F458" s="226"/>
      <c r="G458" s="226"/>
      <c r="H458" s="4"/>
      <c r="I458" s="237"/>
      <c r="J458" s="237"/>
      <c r="K458" s="4"/>
      <c r="L458" s="4"/>
      <c r="M458" s="4"/>
      <c r="N458" s="4"/>
      <c r="O458" s="4"/>
      <c r="P458" s="4"/>
      <c r="Q458" s="4"/>
      <c r="R458" s="4"/>
      <c r="S458" s="4"/>
    </row>
    <row r="459" spans="1:19" ht="13.5" thickBot="1" x14ac:dyDescent="0.25">
      <c r="A459" s="43">
        <f t="shared" si="48"/>
        <v>1.5</v>
      </c>
      <c r="B459" s="44">
        <f t="shared" si="49"/>
        <v>0</v>
      </c>
      <c r="C459" s="226"/>
      <c r="D459" s="226"/>
      <c r="E459" s="226"/>
      <c r="F459" s="226"/>
      <c r="G459" s="226"/>
      <c r="H459" s="4"/>
      <c r="I459" s="237"/>
      <c r="J459" s="237"/>
      <c r="K459" s="4"/>
      <c r="L459" s="4"/>
      <c r="M459" s="4"/>
      <c r="N459" s="4"/>
      <c r="O459" s="4"/>
      <c r="P459" s="4"/>
      <c r="Q459" s="4"/>
      <c r="R459" s="4"/>
      <c r="S459" s="4"/>
    </row>
    <row r="460" spans="1:19" x14ac:dyDescent="0.2">
      <c r="A460" s="226"/>
      <c r="B460" s="226"/>
      <c r="C460" s="226"/>
      <c r="D460" s="226"/>
      <c r="E460" s="226"/>
      <c r="F460" s="226"/>
      <c r="G460" s="226"/>
      <c r="H460" s="4"/>
      <c r="I460" s="237"/>
      <c r="J460" s="237"/>
      <c r="K460" s="4"/>
      <c r="L460" s="4"/>
      <c r="M460" s="4"/>
      <c r="N460" s="4"/>
      <c r="O460" s="4"/>
      <c r="P460" s="4"/>
      <c r="Q460" s="4"/>
      <c r="R460" s="4"/>
      <c r="S460" s="4"/>
    </row>
    <row r="461" spans="1:19" ht="13.5" thickBot="1" x14ac:dyDescent="0.25">
      <c r="A461" s="226"/>
      <c r="B461" s="226"/>
      <c r="C461" s="226"/>
      <c r="D461" s="226"/>
      <c r="E461" s="226"/>
      <c r="F461" s="226"/>
      <c r="G461" s="226"/>
      <c r="H461" s="4"/>
      <c r="I461" s="237"/>
      <c r="J461" s="237"/>
      <c r="K461" s="4"/>
      <c r="L461" s="4"/>
      <c r="M461" s="4"/>
      <c r="N461" s="4"/>
      <c r="O461" s="4"/>
      <c r="P461" s="4"/>
      <c r="Q461" s="4"/>
      <c r="R461" s="4"/>
      <c r="S461" s="4"/>
    </row>
    <row r="462" spans="1:19" ht="13.5" thickBot="1" x14ac:dyDescent="0.25">
      <c r="A462" s="229" t="s">
        <v>57</v>
      </c>
      <c r="B462" s="26" t="s">
        <v>48</v>
      </c>
      <c r="C462" s="226"/>
      <c r="D462" s="226"/>
      <c r="E462" s="226"/>
      <c r="F462" s="226"/>
      <c r="G462" s="226"/>
      <c r="H462" s="4"/>
      <c r="I462" s="237"/>
      <c r="J462" s="237"/>
      <c r="K462" s="4"/>
      <c r="L462" s="4"/>
      <c r="M462" s="4"/>
      <c r="N462" s="4"/>
      <c r="O462" s="4"/>
      <c r="P462" s="4"/>
      <c r="Q462" s="4"/>
      <c r="R462" s="4"/>
      <c r="S462" s="4"/>
    </row>
    <row r="463" spans="1:19" ht="13.5" thickBot="1" x14ac:dyDescent="0.25">
      <c r="A463" s="13" t="s">
        <v>75</v>
      </c>
      <c r="B463" s="245">
        <v>60</v>
      </c>
      <c r="C463" s="226"/>
      <c r="D463" s="226"/>
      <c r="E463" s="226"/>
      <c r="F463" s="226"/>
      <c r="G463" s="226"/>
      <c r="H463" s="4"/>
      <c r="I463" s="237"/>
      <c r="J463" s="237"/>
      <c r="K463" s="4"/>
      <c r="L463" s="4"/>
      <c r="M463" s="4"/>
      <c r="N463" s="4"/>
      <c r="O463" s="4"/>
      <c r="P463" s="4"/>
      <c r="Q463" s="4"/>
      <c r="R463" s="4"/>
      <c r="S463" s="4"/>
    </row>
    <row r="464" spans="1:19" ht="13.5" thickBot="1" x14ac:dyDescent="0.25">
      <c r="A464" s="226"/>
      <c r="B464" s="226"/>
      <c r="C464" s="226"/>
      <c r="D464" s="226"/>
      <c r="E464" s="226"/>
      <c r="F464" s="226"/>
      <c r="G464" s="226"/>
      <c r="H464" s="4"/>
      <c r="I464" s="237"/>
      <c r="J464" s="237"/>
      <c r="K464" s="4"/>
      <c r="L464" s="4"/>
      <c r="M464" s="4"/>
      <c r="N464" s="4"/>
      <c r="O464" s="4"/>
      <c r="P464" s="4"/>
      <c r="Q464" s="4"/>
      <c r="R464" s="4"/>
      <c r="S464" s="4"/>
    </row>
    <row r="465" spans="1:19" ht="13.5" thickBot="1" x14ac:dyDescent="0.25">
      <c r="A465" s="229" t="s">
        <v>1</v>
      </c>
      <c r="B465" s="26" t="s">
        <v>16</v>
      </c>
      <c r="C465" s="226"/>
      <c r="D465" s="226"/>
      <c r="E465" s="226"/>
      <c r="F465" s="226"/>
      <c r="G465" s="226"/>
      <c r="H465" s="4"/>
      <c r="I465" s="237"/>
      <c r="J465" s="237"/>
      <c r="K465" s="4"/>
      <c r="L465" s="4"/>
      <c r="M465" s="4"/>
      <c r="N465" s="4"/>
      <c r="O465" s="4"/>
      <c r="P465" s="4"/>
      <c r="Q465" s="4"/>
      <c r="R465" s="4"/>
      <c r="S465" s="4"/>
    </row>
    <row r="466" spans="1:19" x14ac:dyDescent="0.2">
      <c r="A466" s="57">
        <v>0</v>
      </c>
      <c r="B466" s="54">
        <v>0</v>
      </c>
      <c r="C466" s="226"/>
      <c r="D466" s="226"/>
      <c r="E466" s="226"/>
      <c r="F466" s="226"/>
      <c r="G466" s="226"/>
      <c r="H466" s="4"/>
      <c r="I466" s="237"/>
      <c r="J466" s="237"/>
      <c r="K466" s="4"/>
      <c r="L466" s="4"/>
      <c r="M466" s="4"/>
      <c r="N466" s="4"/>
      <c r="O466" s="4"/>
      <c r="P466" s="4"/>
      <c r="Q466" s="4"/>
      <c r="R466" s="4"/>
      <c r="S466" s="4"/>
    </row>
    <row r="467" spans="1:19" x14ac:dyDescent="0.2">
      <c r="A467" s="52">
        <v>10</v>
      </c>
      <c r="B467" s="55">
        <v>0</v>
      </c>
      <c r="C467" s="226"/>
      <c r="D467" s="226"/>
      <c r="E467" s="226"/>
      <c r="F467" s="226"/>
      <c r="G467" s="226"/>
      <c r="H467" s="4"/>
      <c r="I467" s="237"/>
      <c r="J467" s="237"/>
      <c r="K467" s="4"/>
      <c r="L467" s="4"/>
      <c r="M467" s="4"/>
      <c r="N467" s="4"/>
      <c r="O467" s="4"/>
      <c r="P467" s="4"/>
      <c r="Q467" s="4"/>
      <c r="R467" s="4"/>
      <c r="S467" s="4"/>
    </row>
    <row r="468" spans="1:19" x14ac:dyDescent="0.2">
      <c r="A468" s="52">
        <v>50</v>
      </c>
      <c r="B468" s="55">
        <v>0</v>
      </c>
      <c r="C468" s="226"/>
      <c r="D468" s="226"/>
      <c r="E468" s="226"/>
      <c r="F468" s="226"/>
      <c r="G468" s="226"/>
      <c r="H468" s="4"/>
      <c r="I468" s="237"/>
      <c r="J468" s="237"/>
      <c r="K468" s="4"/>
      <c r="L468" s="4"/>
      <c r="M468" s="4"/>
      <c r="N468" s="4"/>
      <c r="O468" s="4"/>
      <c r="P468" s="4"/>
      <c r="Q468" s="4"/>
      <c r="R468" s="4"/>
      <c r="S468" s="4"/>
    </row>
    <row r="469" spans="1:19" x14ac:dyDescent="0.2">
      <c r="A469" s="52">
        <v>75</v>
      </c>
      <c r="B469" s="55">
        <v>0</v>
      </c>
      <c r="C469" s="226"/>
      <c r="D469" s="226"/>
      <c r="E469" s="226"/>
      <c r="F469" s="226"/>
      <c r="G469" s="226"/>
      <c r="H469" s="4"/>
      <c r="I469" s="237"/>
      <c r="J469" s="237"/>
      <c r="K469" s="4"/>
      <c r="L469" s="4"/>
      <c r="M469" s="4"/>
      <c r="N469" s="4"/>
      <c r="O469" s="4"/>
      <c r="P469" s="4"/>
      <c r="Q469" s="4"/>
      <c r="R469" s="4"/>
      <c r="S469" s="4"/>
    </row>
    <row r="470" spans="1:19" x14ac:dyDescent="0.2">
      <c r="A470" s="52">
        <v>88</v>
      </c>
      <c r="B470" s="55">
        <v>0</v>
      </c>
      <c r="C470" s="226"/>
      <c r="D470" s="226"/>
      <c r="E470" s="226"/>
      <c r="F470" s="226"/>
      <c r="G470" s="226"/>
      <c r="H470" s="4"/>
      <c r="I470" s="237"/>
      <c r="J470" s="237"/>
      <c r="K470" s="4"/>
      <c r="L470" s="4"/>
      <c r="M470" s="4"/>
      <c r="N470" s="4"/>
      <c r="O470" s="4"/>
      <c r="P470" s="4"/>
      <c r="Q470" s="4"/>
      <c r="R470" s="4"/>
      <c r="S470" s="4"/>
    </row>
    <row r="471" spans="1:19" x14ac:dyDescent="0.2">
      <c r="A471" s="52">
        <v>94</v>
      </c>
      <c r="B471" s="55">
        <v>0</v>
      </c>
      <c r="C471" s="226"/>
      <c r="D471" s="226"/>
      <c r="E471" s="226"/>
      <c r="F471" s="226"/>
      <c r="G471" s="226"/>
      <c r="H471" s="4"/>
      <c r="I471" s="237"/>
      <c r="J471" s="237"/>
      <c r="K471" s="4"/>
      <c r="L471" s="4"/>
      <c r="M471" s="4"/>
      <c r="N471" s="4"/>
      <c r="O471" s="4"/>
      <c r="P471" s="4"/>
      <c r="Q471" s="4"/>
      <c r="R471" s="4"/>
      <c r="S471" s="4"/>
    </row>
    <row r="472" spans="1:19" x14ac:dyDescent="0.2">
      <c r="A472" s="52">
        <v>95</v>
      </c>
      <c r="B472" s="55">
        <v>0</v>
      </c>
      <c r="C472" s="226"/>
      <c r="D472" s="226"/>
      <c r="E472" s="226"/>
      <c r="F472" s="226"/>
      <c r="G472" s="226"/>
      <c r="H472" s="4"/>
      <c r="I472" s="237"/>
      <c r="J472" s="237"/>
      <c r="K472" s="4"/>
      <c r="L472" s="4"/>
      <c r="M472" s="4"/>
      <c r="N472" s="4"/>
      <c r="O472" s="4"/>
      <c r="P472" s="4"/>
      <c r="Q472" s="4"/>
      <c r="R472" s="4"/>
      <c r="S472" s="4"/>
    </row>
    <row r="473" spans="1:19" ht="13.5" thickBot="1" x14ac:dyDescent="0.25">
      <c r="A473" s="53">
        <v>100</v>
      </c>
      <c r="B473" s="56">
        <v>0</v>
      </c>
      <c r="C473" s="226"/>
      <c r="D473" s="226"/>
      <c r="E473" s="226"/>
      <c r="F473" s="226"/>
      <c r="G473" s="226"/>
      <c r="H473" s="4"/>
      <c r="I473" s="237"/>
      <c r="J473" s="237"/>
      <c r="K473" s="4"/>
      <c r="L473" s="4"/>
      <c r="M473" s="4"/>
      <c r="N473" s="4"/>
      <c r="O473" s="4"/>
      <c r="P473" s="4"/>
      <c r="Q473" s="4"/>
      <c r="R473" s="4"/>
      <c r="S473" s="4"/>
    </row>
    <row r="474" spans="1:19" ht="13.5" thickBot="1" x14ac:dyDescent="0.25">
      <c r="A474" s="226"/>
      <c r="B474" s="226"/>
      <c r="C474" s="226"/>
      <c r="D474" s="226"/>
      <c r="E474" s="226"/>
      <c r="F474" s="226"/>
      <c r="G474" s="226"/>
      <c r="H474" s="4"/>
      <c r="I474" s="237"/>
      <c r="J474" s="237"/>
      <c r="K474" s="4"/>
      <c r="L474" s="4"/>
      <c r="M474" s="4"/>
      <c r="N474" s="4"/>
      <c r="O474" s="4"/>
      <c r="P474" s="4"/>
      <c r="Q474" s="4"/>
      <c r="R474" s="4"/>
      <c r="S474" s="4"/>
    </row>
    <row r="475" spans="1:19" ht="13.5" thickBot="1" x14ac:dyDescent="0.25">
      <c r="A475" s="229" t="s">
        <v>17</v>
      </c>
      <c r="B475" s="26" t="s">
        <v>16</v>
      </c>
      <c r="C475" s="226"/>
      <c r="D475" s="226"/>
      <c r="E475" s="226"/>
      <c r="F475" s="226"/>
      <c r="G475" s="226"/>
      <c r="H475" s="4"/>
      <c r="I475" s="237"/>
      <c r="J475" s="237"/>
      <c r="K475" s="4"/>
      <c r="L475" s="4"/>
      <c r="M475" s="4"/>
      <c r="N475" s="4"/>
      <c r="O475" s="4"/>
      <c r="P475" s="4"/>
      <c r="Q475" s="4"/>
      <c r="R475" s="4"/>
      <c r="S475" s="4"/>
    </row>
    <row r="476" spans="1:19" x14ac:dyDescent="0.2">
      <c r="A476" s="39">
        <f t="shared" ref="A476:A483" si="50">A466*F$4/100</f>
        <v>0</v>
      </c>
      <c r="B476" s="40">
        <f t="shared" ref="B476:B483" si="51">B466</f>
        <v>0</v>
      </c>
      <c r="C476" s="226"/>
      <c r="D476" s="226"/>
      <c r="E476" s="226"/>
      <c r="F476" s="226"/>
      <c r="G476" s="226"/>
      <c r="H476" s="4"/>
      <c r="I476" s="237"/>
      <c r="J476" s="237"/>
      <c r="K476" s="4"/>
      <c r="L476" s="4"/>
      <c r="M476" s="4"/>
      <c r="N476" s="4"/>
      <c r="O476" s="4"/>
      <c r="P476" s="4"/>
      <c r="Q476" s="4"/>
      <c r="R476" s="4"/>
      <c r="S476" s="4"/>
    </row>
    <row r="477" spans="1:19" x14ac:dyDescent="0.2">
      <c r="A477" s="41">
        <f t="shared" si="50"/>
        <v>0.15</v>
      </c>
      <c r="B477" s="42">
        <f t="shared" si="51"/>
        <v>0</v>
      </c>
      <c r="C477" s="226"/>
      <c r="D477" s="226"/>
      <c r="E477" s="226"/>
      <c r="F477" s="226"/>
      <c r="G477" s="226"/>
      <c r="H477" s="4"/>
      <c r="I477" s="237"/>
      <c r="J477" s="237"/>
      <c r="K477" s="4"/>
      <c r="L477" s="4"/>
      <c r="M477" s="4"/>
      <c r="N477" s="4"/>
      <c r="O477" s="4"/>
      <c r="P477" s="4"/>
      <c r="Q477" s="4"/>
      <c r="R477" s="4"/>
      <c r="S477" s="4"/>
    </row>
    <row r="478" spans="1:19" x14ac:dyDescent="0.2">
      <c r="A478" s="41">
        <f t="shared" si="50"/>
        <v>0.75</v>
      </c>
      <c r="B478" s="42">
        <f t="shared" si="51"/>
        <v>0</v>
      </c>
      <c r="C478" s="226"/>
      <c r="D478" s="226"/>
      <c r="E478" s="226"/>
      <c r="F478" s="226"/>
      <c r="G478" s="226"/>
      <c r="I478" s="34"/>
      <c r="J478" s="34"/>
    </row>
    <row r="479" spans="1:19" x14ac:dyDescent="0.2">
      <c r="A479" s="41">
        <f t="shared" si="50"/>
        <v>1.125</v>
      </c>
      <c r="B479" s="42">
        <f t="shared" si="51"/>
        <v>0</v>
      </c>
      <c r="C479" s="226"/>
      <c r="D479" s="226"/>
      <c r="E479" s="226"/>
      <c r="F479" s="226"/>
      <c r="G479" s="226"/>
      <c r="I479" s="34"/>
      <c r="J479" s="34"/>
    </row>
    <row r="480" spans="1:19" x14ac:dyDescent="0.2">
      <c r="A480" s="41">
        <f t="shared" si="50"/>
        <v>1.32</v>
      </c>
      <c r="B480" s="42">
        <f t="shared" si="51"/>
        <v>0</v>
      </c>
      <c r="C480" s="226"/>
      <c r="D480" s="226"/>
      <c r="E480" s="226"/>
      <c r="F480" s="226"/>
      <c r="G480" s="226"/>
    </row>
    <row r="481" spans="1:7" x14ac:dyDescent="0.2">
      <c r="A481" s="41">
        <f t="shared" si="50"/>
        <v>1.41</v>
      </c>
      <c r="B481" s="42">
        <f t="shared" si="51"/>
        <v>0</v>
      </c>
      <c r="C481" s="226"/>
      <c r="D481" s="226"/>
      <c r="E481" s="226"/>
      <c r="F481" s="226"/>
      <c r="G481" s="226"/>
    </row>
    <row r="482" spans="1:7" x14ac:dyDescent="0.2">
      <c r="A482" s="41">
        <f t="shared" si="50"/>
        <v>1.425</v>
      </c>
      <c r="B482" s="42">
        <f t="shared" si="51"/>
        <v>0</v>
      </c>
      <c r="C482" s="226"/>
      <c r="D482" s="226"/>
      <c r="E482" s="226"/>
      <c r="F482" s="226"/>
      <c r="G482" s="226"/>
    </row>
    <row r="483" spans="1:7" ht="13.5" thickBot="1" x14ac:dyDescent="0.25">
      <c r="A483" s="43">
        <f t="shared" si="50"/>
        <v>1.5</v>
      </c>
      <c r="B483" s="44">
        <f t="shared" si="51"/>
        <v>0</v>
      </c>
      <c r="C483" s="1"/>
      <c r="D483" s="1"/>
      <c r="E483" s="1"/>
      <c r="F483" s="1"/>
      <c r="G483" s="1"/>
    </row>
    <row r="484" spans="1:7" x14ac:dyDescent="0.2">
      <c r="A484" s="1"/>
      <c r="B484" s="1"/>
      <c r="C484" s="1"/>
      <c r="D484" s="1"/>
      <c r="E484" s="1"/>
      <c r="F484" s="1"/>
      <c r="G484" s="1"/>
    </row>
    <row r="485" spans="1:7" ht="13.5" thickBot="1" x14ac:dyDescent="0.25">
      <c r="A485" s="1"/>
      <c r="B485" s="1"/>
      <c r="C485" s="1"/>
      <c r="D485" s="1"/>
      <c r="E485" s="1"/>
      <c r="F485" s="1"/>
      <c r="G485" s="1"/>
    </row>
    <row r="486" spans="1:7" ht="13.5" thickBot="1" x14ac:dyDescent="0.25">
      <c r="A486" s="229" t="s">
        <v>57</v>
      </c>
      <c r="B486" s="26" t="s">
        <v>48</v>
      </c>
      <c r="C486" s="1"/>
      <c r="D486" s="1"/>
      <c r="E486" s="1"/>
      <c r="F486" s="1"/>
      <c r="G486" s="1"/>
    </row>
    <row r="487" spans="1:7" ht="13.5" thickBot="1" x14ac:dyDescent="0.25">
      <c r="A487" s="13" t="s">
        <v>76</v>
      </c>
      <c r="B487" s="245">
        <v>60</v>
      </c>
      <c r="C487" s="1"/>
      <c r="D487" s="1"/>
      <c r="E487" s="1"/>
      <c r="F487" s="1"/>
      <c r="G487" s="1"/>
    </row>
    <row r="488" spans="1:7" ht="13.5" thickBot="1" x14ac:dyDescent="0.25"/>
    <row r="489" spans="1:7" ht="13.5" thickBot="1" x14ac:dyDescent="0.25">
      <c r="A489" s="229" t="s">
        <v>1</v>
      </c>
      <c r="B489" s="26" t="s">
        <v>16</v>
      </c>
    </row>
    <row r="490" spans="1:7" x14ac:dyDescent="0.2">
      <c r="A490" s="57">
        <v>0</v>
      </c>
      <c r="B490" s="54">
        <v>110</v>
      </c>
    </row>
    <row r="491" spans="1:7" x14ac:dyDescent="0.2">
      <c r="A491" s="52">
        <v>50</v>
      </c>
      <c r="B491" s="55">
        <v>55</v>
      </c>
    </row>
    <row r="492" spans="1:7" x14ac:dyDescent="0.2">
      <c r="A492" s="52">
        <v>55</v>
      </c>
      <c r="B492" s="55">
        <v>55</v>
      </c>
    </row>
    <row r="493" spans="1:7" x14ac:dyDescent="0.2">
      <c r="A493" s="52">
        <v>60</v>
      </c>
      <c r="B493" s="55">
        <v>55</v>
      </c>
    </row>
    <row r="494" spans="1:7" x14ac:dyDescent="0.2">
      <c r="A494" s="52">
        <v>75</v>
      </c>
      <c r="B494" s="55">
        <v>55</v>
      </c>
    </row>
    <row r="495" spans="1:7" x14ac:dyDescent="0.2">
      <c r="A495" s="52">
        <v>88</v>
      </c>
      <c r="B495" s="55">
        <v>29</v>
      </c>
    </row>
    <row r="496" spans="1:7" x14ac:dyDescent="0.2">
      <c r="A496" s="52">
        <v>94</v>
      </c>
      <c r="B496" s="55">
        <v>14</v>
      </c>
    </row>
    <row r="497" spans="1:2" ht="13.5" thickBot="1" x14ac:dyDescent="0.25">
      <c r="A497" s="53">
        <v>100</v>
      </c>
      <c r="B497" s="56">
        <v>0</v>
      </c>
    </row>
    <row r="498" spans="1:2" ht="13.5" thickBot="1" x14ac:dyDescent="0.25"/>
    <row r="499" spans="1:2" ht="13.5" thickBot="1" x14ac:dyDescent="0.25">
      <c r="A499" s="229" t="s">
        <v>17</v>
      </c>
      <c r="B499" s="26" t="s">
        <v>16</v>
      </c>
    </row>
    <row r="500" spans="1:2" x14ac:dyDescent="0.2">
      <c r="A500" s="39">
        <f t="shared" ref="A500:A507" si="52">A490*F$4/100</f>
        <v>0</v>
      </c>
      <c r="B500" s="40">
        <f t="shared" ref="B500:B507" si="53">B490</f>
        <v>110</v>
      </c>
    </row>
    <row r="501" spans="1:2" x14ac:dyDescent="0.2">
      <c r="A501" s="41">
        <f t="shared" si="52"/>
        <v>0.75</v>
      </c>
      <c r="B501" s="42">
        <f t="shared" si="53"/>
        <v>55</v>
      </c>
    </row>
    <row r="502" spans="1:2" x14ac:dyDescent="0.2">
      <c r="A502" s="41">
        <f t="shared" si="52"/>
        <v>0.82499999999999996</v>
      </c>
      <c r="B502" s="42">
        <f t="shared" si="53"/>
        <v>55</v>
      </c>
    </row>
    <row r="503" spans="1:2" x14ac:dyDescent="0.2">
      <c r="A503" s="41">
        <f t="shared" si="52"/>
        <v>0.9</v>
      </c>
      <c r="B503" s="42">
        <f t="shared" si="53"/>
        <v>55</v>
      </c>
    </row>
    <row r="504" spans="1:2" x14ac:dyDescent="0.2">
      <c r="A504" s="41">
        <f t="shared" si="52"/>
        <v>1.125</v>
      </c>
      <c r="B504" s="42">
        <f t="shared" si="53"/>
        <v>55</v>
      </c>
    </row>
    <row r="505" spans="1:2" x14ac:dyDescent="0.2">
      <c r="A505" s="41">
        <f t="shared" si="52"/>
        <v>1.32</v>
      </c>
      <c r="B505" s="42">
        <f t="shared" si="53"/>
        <v>29</v>
      </c>
    </row>
    <row r="506" spans="1:2" x14ac:dyDescent="0.2">
      <c r="A506" s="41">
        <f t="shared" si="52"/>
        <v>1.41</v>
      </c>
      <c r="B506" s="42">
        <f t="shared" si="53"/>
        <v>14</v>
      </c>
    </row>
    <row r="507" spans="1:2" ht="13.5" thickBot="1" x14ac:dyDescent="0.25">
      <c r="A507" s="43">
        <f t="shared" si="52"/>
        <v>1.5</v>
      </c>
      <c r="B507" s="44">
        <f t="shared" si="53"/>
        <v>0</v>
      </c>
    </row>
    <row r="509" spans="1:2" ht="13.5" thickBot="1" x14ac:dyDescent="0.25"/>
    <row r="510" spans="1:2" ht="13.5" thickBot="1" x14ac:dyDescent="0.25">
      <c r="A510" s="229" t="s">
        <v>57</v>
      </c>
      <c r="B510" s="26" t="s">
        <v>48</v>
      </c>
    </row>
    <row r="511" spans="1:2" ht="13.5" thickBot="1" x14ac:dyDescent="0.25">
      <c r="A511" s="13" t="s">
        <v>77</v>
      </c>
      <c r="B511" s="245">
        <v>60</v>
      </c>
    </row>
    <row r="512" spans="1:2" ht="13.5" thickBot="1" x14ac:dyDescent="0.25"/>
    <row r="513" spans="1:2" ht="13.5" thickBot="1" x14ac:dyDescent="0.25">
      <c r="A513" s="229" t="s">
        <v>1</v>
      </c>
      <c r="B513" s="26" t="s">
        <v>16</v>
      </c>
    </row>
    <row r="514" spans="1:2" x14ac:dyDescent="0.2">
      <c r="A514" s="57">
        <v>0</v>
      </c>
      <c r="B514" s="54">
        <v>150</v>
      </c>
    </row>
    <row r="515" spans="1:2" x14ac:dyDescent="0.2">
      <c r="A515" s="52">
        <v>10</v>
      </c>
      <c r="B515" s="55">
        <v>150</v>
      </c>
    </row>
    <row r="516" spans="1:2" x14ac:dyDescent="0.2">
      <c r="A516" s="52">
        <v>50</v>
      </c>
      <c r="B516" s="55">
        <v>150</v>
      </c>
    </row>
    <row r="517" spans="1:2" x14ac:dyDescent="0.2">
      <c r="A517" s="52">
        <v>80</v>
      </c>
      <c r="B517" s="55">
        <v>150</v>
      </c>
    </row>
    <row r="518" spans="1:2" x14ac:dyDescent="0.2">
      <c r="A518" s="52">
        <v>90</v>
      </c>
      <c r="B518" s="55">
        <v>75</v>
      </c>
    </row>
    <row r="519" spans="1:2" x14ac:dyDescent="0.2">
      <c r="A519" s="52">
        <v>95</v>
      </c>
      <c r="B519" s="55">
        <v>38</v>
      </c>
    </row>
    <row r="520" spans="1:2" x14ac:dyDescent="0.2">
      <c r="A520" s="52">
        <v>98</v>
      </c>
      <c r="B520" s="55">
        <v>23</v>
      </c>
    </row>
    <row r="521" spans="1:2" ht="13.5" thickBot="1" x14ac:dyDescent="0.25">
      <c r="A521" s="53">
        <v>100</v>
      </c>
      <c r="B521" s="56">
        <v>0</v>
      </c>
    </row>
    <row r="522" spans="1:2" ht="13.5" thickBot="1" x14ac:dyDescent="0.25"/>
    <row r="523" spans="1:2" ht="13.5" thickBot="1" x14ac:dyDescent="0.25">
      <c r="A523" s="229" t="s">
        <v>17</v>
      </c>
      <c r="B523" s="26" t="s">
        <v>16</v>
      </c>
    </row>
    <row r="524" spans="1:2" x14ac:dyDescent="0.2">
      <c r="A524" s="39">
        <f t="shared" ref="A524:A531" si="54">A514*F$4/100</f>
        <v>0</v>
      </c>
      <c r="B524" s="40">
        <f t="shared" ref="B524:B531" si="55">B514</f>
        <v>150</v>
      </c>
    </row>
    <row r="525" spans="1:2" x14ac:dyDescent="0.2">
      <c r="A525" s="41">
        <f t="shared" si="54"/>
        <v>0.15</v>
      </c>
      <c r="B525" s="42">
        <f t="shared" si="55"/>
        <v>150</v>
      </c>
    </row>
    <row r="526" spans="1:2" x14ac:dyDescent="0.2">
      <c r="A526" s="41">
        <f t="shared" si="54"/>
        <v>0.75</v>
      </c>
      <c r="B526" s="42">
        <f t="shared" si="55"/>
        <v>150</v>
      </c>
    </row>
    <row r="527" spans="1:2" x14ac:dyDescent="0.2">
      <c r="A527" s="41">
        <f t="shared" si="54"/>
        <v>1.2</v>
      </c>
      <c r="B527" s="42">
        <f t="shared" si="55"/>
        <v>150</v>
      </c>
    </row>
    <row r="528" spans="1:2" x14ac:dyDescent="0.2">
      <c r="A528" s="41">
        <f t="shared" si="54"/>
        <v>1.35</v>
      </c>
      <c r="B528" s="42">
        <f t="shared" si="55"/>
        <v>75</v>
      </c>
    </row>
    <row r="529" spans="1:2" x14ac:dyDescent="0.2">
      <c r="A529" s="41">
        <f t="shared" si="54"/>
        <v>1.425</v>
      </c>
      <c r="B529" s="42">
        <f t="shared" si="55"/>
        <v>38</v>
      </c>
    </row>
    <row r="530" spans="1:2" x14ac:dyDescent="0.2">
      <c r="A530" s="41">
        <f t="shared" si="54"/>
        <v>1.47</v>
      </c>
      <c r="B530" s="42">
        <f t="shared" si="55"/>
        <v>23</v>
      </c>
    </row>
    <row r="531" spans="1:2" ht="13.5" thickBot="1" x14ac:dyDescent="0.25">
      <c r="A531" s="43">
        <f t="shared" si="54"/>
        <v>1.5</v>
      </c>
      <c r="B531" s="44">
        <f t="shared" si="55"/>
        <v>0</v>
      </c>
    </row>
    <row r="533" spans="1:2" ht="13.5" thickBot="1" x14ac:dyDescent="0.25"/>
    <row r="534" spans="1:2" ht="13.5" thickBot="1" x14ac:dyDescent="0.25">
      <c r="A534" s="229" t="s">
        <v>57</v>
      </c>
      <c r="B534" s="26" t="s">
        <v>48</v>
      </c>
    </row>
    <row r="535" spans="1:2" ht="13.5" thickBot="1" x14ac:dyDescent="0.25">
      <c r="A535" s="13" t="s">
        <v>78</v>
      </c>
      <c r="B535" s="245">
        <v>60</v>
      </c>
    </row>
    <row r="536" spans="1:2" ht="13.5" thickBot="1" x14ac:dyDescent="0.25"/>
    <row r="537" spans="1:2" ht="13.5" thickBot="1" x14ac:dyDescent="0.25">
      <c r="A537" s="229" t="s">
        <v>1</v>
      </c>
      <c r="B537" s="26" t="s">
        <v>16</v>
      </c>
    </row>
    <row r="538" spans="1:2" x14ac:dyDescent="0.2">
      <c r="A538" s="57">
        <v>0</v>
      </c>
      <c r="B538" s="54">
        <v>25</v>
      </c>
    </row>
    <row r="539" spans="1:2" x14ac:dyDescent="0.2">
      <c r="A539" s="52">
        <v>50</v>
      </c>
      <c r="B539" s="55">
        <v>13</v>
      </c>
    </row>
    <row r="540" spans="1:2" x14ac:dyDescent="0.2">
      <c r="A540" s="52">
        <v>55</v>
      </c>
      <c r="B540" s="55">
        <v>13</v>
      </c>
    </row>
    <row r="541" spans="1:2" x14ac:dyDescent="0.2">
      <c r="A541" s="52">
        <v>60</v>
      </c>
      <c r="B541" s="55">
        <v>13</v>
      </c>
    </row>
    <row r="542" spans="1:2" x14ac:dyDescent="0.2">
      <c r="A542" s="52">
        <v>75</v>
      </c>
      <c r="B542" s="55">
        <v>13</v>
      </c>
    </row>
    <row r="543" spans="1:2" x14ac:dyDescent="0.2">
      <c r="A543" s="52">
        <v>88</v>
      </c>
      <c r="B543" s="55">
        <v>7</v>
      </c>
    </row>
    <row r="544" spans="1:2" x14ac:dyDescent="0.2">
      <c r="A544" s="52">
        <v>94</v>
      </c>
      <c r="B544" s="55">
        <v>3</v>
      </c>
    </row>
    <row r="545" spans="1:2" ht="13.5" thickBot="1" x14ac:dyDescent="0.25">
      <c r="A545" s="53">
        <v>100</v>
      </c>
      <c r="B545" s="56">
        <v>0</v>
      </c>
    </row>
    <row r="546" spans="1:2" ht="13.5" thickBot="1" x14ac:dyDescent="0.25"/>
    <row r="547" spans="1:2" ht="13.5" thickBot="1" x14ac:dyDescent="0.25">
      <c r="A547" s="229" t="s">
        <v>17</v>
      </c>
      <c r="B547" s="26" t="s">
        <v>16</v>
      </c>
    </row>
    <row r="548" spans="1:2" x14ac:dyDescent="0.2">
      <c r="A548" s="39">
        <f t="shared" ref="A548:A555" si="56">A538*F$4/100</f>
        <v>0</v>
      </c>
      <c r="B548" s="40">
        <f t="shared" ref="B548:B555" si="57">B538</f>
        <v>25</v>
      </c>
    </row>
    <row r="549" spans="1:2" x14ac:dyDescent="0.2">
      <c r="A549" s="41">
        <f t="shared" si="56"/>
        <v>0.75</v>
      </c>
      <c r="B549" s="42">
        <f t="shared" si="57"/>
        <v>13</v>
      </c>
    </row>
    <row r="550" spans="1:2" x14ac:dyDescent="0.2">
      <c r="A550" s="41">
        <f t="shared" si="56"/>
        <v>0.82499999999999996</v>
      </c>
      <c r="B550" s="42">
        <f t="shared" si="57"/>
        <v>13</v>
      </c>
    </row>
    <row r="551" spans="1:2" x14ac:dyDescent="0.2">
      <c r="A551" s="41">
        <f t="shared" si="56"/>
        <v>0.9</v>
      </c>
      <c r="B551" s="42">
        <f t="shared" si="57"/>
        <v>13</v>
      </c>
    </row>
    <row r="552" spans="1:2" x14ac:dyDescent="0.2">
      <c r="A552" s="41">
        <f t="shared" si="56"/>
        <v>1.125</v>
      </c>
      <c r="B552" s="42">
        <f t="shared" si="57"/>
        <v>13</v>
      </c>
    </row>
    <row r="553" spans="1:2" x14ac:dyDescent="0.2">
      <c r="A553" s="41">
        <f t="shared" si="56"/>
        <v>1.32</v>
      </c>
      <c r="B553" s="42">
        <f t="shared" si="57"/>
        <v>7</v>
      </c>
    </row>
    <row r="554" spans="1:2" x14ac:dyDescent="0.2">
      <c r="A554" s="41">
        <f t="shared" si="56"/>
        <v>1.41</v>
      </c>
      <c r="B554" s="42">
        <f t="shared" si="57"/>
        <v>3</v>
      </c>
    </row>
    <row r="555" spans="1:2" ht="13.5" thickBot="1" x14ac:dyDescent="0.25">
      <c r="A555" s="43">
        <f t="shared" si="56"/>
        <v>1.5</v>
      </c>
      <c r="B555" s="44">
        <f t="shared" si="57"/>
        <v>0</v>
      </c>
    </row>
    <row r="557" spans="1:2" ht="13.5" thickBot="1" x14ac:dyDescent="0.25"/>
    <row r="558" spans="1:2" ht="13.5" thickBot="1" x14ac:dyDescent="0.25">
      <c r="A558" s="229" t="s">
        <v>57</v>
      </c>
      <c r="B558" s="26" t="s">
        <v>48</v>
      </c>
    </row>
    <row r="559" spans="1:2" ht="13.5" thickBot="1" x14ac:dyDescent="0.25">
      <c r="A559" s="13" t="s">
        <v>79</v>
      </c>
      <c r="B559" s="245">
        <v>60</v>
      </c>
    </row>
    <row r="560" spans="1:2" ht="13.5" thickBot="1" x14ac:dyDescent="0.25"/>
    <row r="561" spans="1:2" ht="13.5" thickBot="1" x14ac:dyDescent="0.25">
      <c r="A561" s="229" t="s">
        <v>1</v>
      </c>
      <c r="B561" s="26" t="s">
        <v>16</v>
      </c>
    </row>
    <row r="562" spans="1:2" x14ac:dyDescent="0.2">
      <c r="A562" s="57">
        <v>0</v>
      </c>
      <c r="B562" s="54">
        <v>0</v>
      </c>
    </row>
    <row r="563" spans="1:2" x14ac:dyDescent="0.2">
      <c r="A563" s="52">
        <v>10</v>
      </c>
      <c r="B563" s="55">
        <v>0</v>
      </c>
    </row>
    <row r="564" spans="1:2" x14ac:dyDescent="0.2">
      <c r="A564" s="52">
        <v>50</v>
      </c>
      <c r="B564" s="55">
        <v>0</v>
      </c>
    </row>
    <row r="565" spans="1:2" x14ac:dyDescent="0.2">
      <c r="A565" s="52">
        <v>75</v>
      </c>
      <c r="B565" s="55">
        <v>0</v>
      </c>
    </row>
    <row r="566" spans="1:2" x14ac:dyDescent="0.2">
      <c r="A566" s="52">
        <v>88</v>
      </c>
      <c r="B566" s="55">
        <v>0</v>
      </c>
    </row>
    <row r="567" spans="1:2" x14ac:dyDescent="0.2">
      <c r="A567" s="52">
        <v>94</v>
      </c>
      <c r="B567" s="55">
        <v>0</v>
      </c>
    </row>
    <row r="568" spans="1:2" x14ac:dyDescent="0.2">
      <c r="A568" s="52">
        <v>95</v>
      </c>
      <c r="B568" s="55">
        <v>0</v>
      </c>
    </row>
    <row r="569" spans="1:2" ht="13.5" thickBot="1" x14ac:dyDescent="0.25">
      <c r="A569" s="53">
        <v>100</v>
      </c>
      <c r="B569" s="56">
        <v>0</v>
      </c>
    </row>
    <row r="570" spans="1:2" ht="13.5" thickBot="1" x14ac:dyDescent="0.25"/>
    <row r="571" spans="1:2" ht="13.5" thickBot="1" x14ac:dyDescent="0.25">
      <c r="A571" s="229" t="s">
        <v>17</v>
      </c>
      <c r="B571" s="26" t="s">
        <v>16</v>
      </c>
    </row>
    <row r="572" spans="1:2" x14ac:dyDescent="0.2">
      <c r="A572" s="39">
        <f t="shared" ref="A572:A579" si="58">A562*F$4/100</f>
        <v>0</v>
      </c>
      <c r="B572" s="40">
        <f t="shared" ref="B572:B579" si="59">B562</f>
        <v>0</v>
      </c>
    </row>
    <row r="573" spans="1:2" x14ac:dyDescent="0.2">
      <c r="A573" s="41">
        <f t="shared" si="58"/>
        <v>0.15</v>
      </c>
      <c r="B573" s="42">
        <f t="shared" si="59"/>
        <v>0</v>
      </c>
    </row>
    <row r="574" spans="1:2" x14ac:dyDescent="0.2">
      <c r="A574" s="41">
        <f t="shared" si="58"/>
        <v>0.75</v>
      </c>
      <c r="B574" s="42">
        <f t="shared" si="59"/>
        <v>0</v>
      </c>
    </row>
    <row r="575" spans="1:2" x14ac:dyDescent="0.2">
      <c r="A575" s="41">
        <f t="shared" si="58"/>
        <v>1.125</v>
      </c>
      <c r="B575" s="42">
        <f t="shared" si="59"/>
        <v>0</v>
      </c>
    </row>
    <row r="576" spans="1:2" x14ac:dyDescent="0.2">
      <c r="A576" s="41">
        <f t="shared" si="58"/>
        <v>1.32</v>
      </c>
      <c r="B576" s="42">
        <f t="shared" si="59"/>
        <v>0</v>
      </c>
    </row>
    <row r="577" spans="1:2" x14ac:dyDescent="0.2">
      <c r="A577" s="41">
        <f t="shared" si="58"/>
        <v>1.41</v>
      </c>
      <c r="B577" s="42">
        <f t="shared" si="59"/>
        <v>0</v>
      </c>
    </row>
    <row r="578" spans="1:2" x14ac:dyDescent="0.2">
      <c r="A578" s="41">
        <f t="shared" si="58"/>
        <v>1.425</v>
      </c>
      <c r="B578" s="42">
        <f t="shared" si="59"/>
        <v>0</v>
      </c>
    </row>
    <row r="579" spans="1:2" ht="13.5" thickBot="1" x14ac:dyDescent="0.25">
      <c r="A579" s="43">
        <f t="shared" si="58"/>
        <v>1.5</v>
      </c>
      <c r="B579" s="44">
        <f t="shared" si="59"/>
        <v>0</v>
      </c>
    </row>
    <row r="581" spans="1:2" ht="13.5" thickBot="1" x14ac:dyDescent="0.25"/>
    <row r="582" spans="1:2" ht="13.5" thickBot="1" x14ac:dyDescent="0.25">
      <c r="A582" s="229" t="s">
        <v>57</v>
      </c>
      <c r="B582" s="26" t="s">
        <v>48</v>
      </c>
    </row>
    <row r="583" spans="1:2" ht="13.5" thickBot="1" x14ac:dyDescent="0.25">
      <c r="A583" s="13" t="s">
        <v>80</v>
      </c>
      <c r="B583" s="245">
        <v>60</v>
      </c>
    </row>
    <row r="584" spans="1:2" ht="13.5" thickBot="1" x14ac:dyDescent="0.25"/>
    <row r="585" spans="1:2" ht="13.5" thickBot="1" x14ac:dyDescent="0.25">
      <c r="A585" s="229" t="s">
        <v>1</v>
      </c>
      <c r="B585" s="26" t="s">
        <v>16</v>
      </c>
    </row>
    <row r="586" spans="1:2" x14ac:dyDescent="0.2">
      <c r="A586" s="57">
        <v>0</v>
      </c>
      <c r="B586" s="54">
        <v>0</v>
      </c>
    </row>
    <row r="587" spans="1:2" x14ac:dyDescent="0.2">
      <c r="A587" s="52">
        <v>10</v>
      </c>
      <c r="B587" s="55">
        <v>0</v>
      </c>
    </row>
    <row r="588" spans="1:2" x14ac:dyDescent="0.2">
      <c r="A588" s="52">
        <v>50</v>
      </c>
      <c r="B588" s="55">
        <v>0</v>
      </c>
    </row>
    <row r="589" spans="1:2" x14ac:dyDescent="0.2">
      <c r="A589" s="52">
        <v>75</v>
      </c>
      <c r="B589" s="55">
        <v>0</v>
      </c>
    </row>
    <row r="590" spans="1:2" x14ac:dyDescent="0.2">
      <c r="A590" s="52">
        <v>88</v>
      </c>
      <c r="B590" s="55">
        <v>0</v>
      </c>
    </row>
    <row r="591" spans="1:2" x14ac:dyDescent="0.2">
      <c r="A591" s="52">
        <v>94</v>
      </c>
      <c r="B591" s="55">
        <v>0</v>
      </c>
    </row>
    <row r="592" spans="1:2" x14ac:dyDescent="0.2">
      <c r="A592" s="52">
        <v>95</v>
      </c>
      <c r="B592" s="55">
        <v>0</v>
      </c>
    </row>
    <row r="593" spans="1:2" ht="13.5" thickBot="1" x14ac:dyDescent="0.25">
      <c r="A593" s="53">
        <v>100</v>
      </c>
      <c r="B593" s="56">
        <v>0</v>
      </c>
    </row>
    <row r="594" spans="1:2" ht="13.5" thickBot="1" x14ac:dyDescent="0.25"/>
    <row r="595" spans="1:2" ht="13.5" thickBot="1" x14ac:dyDescent="0.25">
      <c r="A595" s="229" t="s">
        <v>17</v>
      </c>
      <c r="B595" s="26" t="s">
        <v>16</v>
      </c>
    </row>
    <row r="596" spans="1:2" x14ac:dyDescent="0.2">
      <c r="A596" s="39">
        <f t="shared" ref="A596:A603" si="60">A586*F$4/100</f>
        <v>0</v>
      </c>
      <c r="B596" s="40">
        <f t="shared" ref="B596:B603" si="61">B586</f>
        <v>0</v>
      </c>
    </row>
    <row r="597" spans="1:2" x14ac:dyDescent="0.2">
      <c r="A597" s="41">
        <f t="shared" si="60"/>
        <v>0.15</v>
      </c>
      <c r="B597" s="42">
        <f t="shared" si="61"/>
        <v>0</v>
      </c>
    </row>
    <row r="598" spans="1:2" x14ac:dyDescent="0.2">
      <c r="A598" s="41">
        <f t="shared" si="60"/>
        <v>0.75</v>
      </c>
      <c r="B598" s="42">
        <f t="shared" si="61"/>
        <v>0</v>
      </c>
    </row>
    <row r="599" spans="1:2" x14ac:dyDescent="0.2">
      <c r="A599" s="41">
        <f t="shared" si="60"/>
        <v>1.125</v>
      </c>
      <c r="B599" s="42">
        <f t="shared" si="61"/>
        <v>0</v>
      </c>
    </row>
    <row r="600" spans="1:2" x14ac:dyDescent="0.2">
      <c r="A600" s="41">
        <f t="shared" si="60"/>
        <v>1.32</v>
      </c>
      <c r="B600" s="42">
        <f t="shared" si="61"/>
        <v>0</v>
      </c>
    </row>
    <row r="601" spans="1:2" x14ac:dyDescent="0.2">
      <c r="A601" s="41">
        <f t="shared" si="60"/>
        <v>1.41</v>
      </c>
      <c r="B601" s="42">
        <f t="shared" si="61"/>
        <v>0</v>
      </c>
    </row>
    <row r="602" spans="1:2" x14ac:dyDescent="0.2">
      <c r="A602" s="41">
        <f t="shared" si="60"/>
        <v>1.425</v>
      </c>
      <c r="B602" s="42">
        <f t="shared" si="61"/>
        <v>0</v>
      </c>
    </row>
    <row r="603" spans="1:2" ht="13.5" thickBot="1" x14ac:dyDescent="0.25">
      <c r="A603" s="43">
        <f t="shared" si="60"/>
        <v>1.5</v>
      </c>
      <c r="B603" s="44">
        <f t="shared" si="61"/>
        <v>0</v>
      </c>
    </row>
    <row r="605" spans="1:2" ht="13.5" thickBot="1" x14ac:dyDescent="0.25"/>
    <row r="606" spans="1:2" ht="13.5" thickBot="1" x14ac:dyDescent="0.25">
      <c r="A606" s="229" t="s">
        <v>57</v>
      </c>
      <c r="B606" s="26" t="s">
        <v>48</v>
      </c>
    </row>
    <row r="607" spans="1:2" ht="13.5" thickBot="1" x14ac:dyDescent="0.25">
      <c r="A607" s="13" t="s">
        <v>81</v>
      </c>
      <c r="B607" s="245">
        <v>60</v>
      </c>
    </row>
    <row r="608" spans="1:2" ht="13.5" thickBot="1" x14ac:dyDescent="0.25"/>
    <row r="609" spans="1:2" ht="13.5" thickBot="1" x14ac:dyDescent="0.25">
      <c r="A609" s="229" t="s">
        <v>1</v>
      </c>
      <c r="B609" s="26" t="s">
        <v>16</v>
      </c>
    </row>
    <row r="610" spans="1:2" x14ac:dyDescent="0.2">
      <c r="A610" s="57">
        <v>0</v>
      </c>
      <c r="B610" s="54">
        <v>0</v>
      </c>
    </row>
    <row r="611" spans="1:2" x14ac:dyDescent="0.2">
      <c r="A611" s="52">
        <v>10</v>
      </c>
      <c r="B611" s="55">
        <v>0</v>
      </c>
    </row>
    <row r="612" spans="1:2" x14ac:dyDescent="0.2">
      <c r="A612" s="52">
        <v>50</v>
      </c>
      <c r="B612" s="55">
        <v>0</v>
      </c>
    </row>
    <row r="613" spans="1:2" x14ac:dyDescent="0.2">
      <c r="A613" s="52">
        <v>75</v>
      </c>
      <c r="B613" s="55">
        <v>0</v>
      </c>
    </row>
    <row r="614" spans="1:2" x14ac:dyDescent="0.2">
      <c r="A614" s="52">
        <v>88</v>
      </c>
      <c r="B614" s="55">
        <v>0</v>
      </c>
    </row>
    <row r="615" spans="1:2" x14ac:dyDescent="0.2">
      <c r="A615" s="52">
        <v>94</v>
      </c>
      <c r="B615" s="55">
        <v>0</v>
      </c>
    </row>
    <row r="616" spans="1:2" x14ac:dyDescent="0.2">
      <c r="A616" s="52">
        <v>95</v>
      </c>
      <c r="B616" s="55">
        <v>0</v>
      </c>
    </row>
    <row r="617" spans="1:2" ht="13.5" thickBot="1" x14ac:dyDescent="0.25">
      <c r="A617" s="53">
        <v>100</v>
      </c>
      <c r="B617" s="56">
        <v>0</v>
      </c>
    </row>
    <row r="618" spans="1:2" ht="13.5" thickBot="1" x14ac:dyDescent="0.25"/>
    <row r="619" spans="1:2" ht="13.5" thickBot="1" x14ac:dyDescent="0.25">
      <c r="A619" s="229" t="s">
        <v>17</v>
      </c>
      <c r="B619" s="26" t="s">
        <v>16</v>
      </c>
    </row>
    <row r="620" spans="1:2" x14ac:dyDescent="0.2">
      <c r="A620" s="39">
        <f t="shared" ref="A620:A627" si="62">A610*F$4/100</f>
        <v>0</v>
      </c>
      <c r="B620" s="40">
        <f t="shared" ref="B620:B627" si="63">B610</f>
        <v>0</v>
      </c>
    </row>
    <row r="621" spans="1:2" x14ac:dyDescent="0.2">
      <c r="A621" s="41">
        <f t="shared" si="62"/>
        <v>0.15</v>
      </c>
      <c r="B621" s="42">
        <f t="shared" si="63"/>
        <v>0</v>
      </c>
    </row>
    <row r="622" spans="1:2" x14ac:dyDescent="0.2">
      <c r="A622" s="41">
        <f t="shared" si="62"/>
        <v>0.75</v>
      </c>
      <c r="B622" s="42">
        <f t="shared" si="63"/>
        <v>0</v>
      </c>
    </row>
    <row r="623" spans="1:2" x14ac:dyDescent="0.2">
      <c r="A623" s="41">
        <f t="shared" si="62"/>
        <v>1.125</v>
      </c>
      <c r="B623" s="42">
        <f t="shared" si="63"/>
        <v>0</v>
      </c>
    </row>
    <row r="624" spans="1:2" x14ac:dyDescent="0.2">
      <c r="A624" s="41">
        <f t="shared" si="62"/>
        <v>1.32</v>
      </c>
      <c r="B624" s="42">
        <f t="shared" si="63"/>
        <v>0</v>
      </c>
    </row>
    <row r="625" spans="1:7" x14ac:dyDescent="0.2">
      <c r="A625" s="41">
        <f t="shared" si="62"/>
        <v>1.41</v>
      </c>
      <c r="B625" s="42">
        <f t="shared" si="63"/>
        <v>0</v>
      </c>
    </row>
    <row r="626" spans="1:7" x14ac:dyDescent="0.2">
      <c r="A626" s="41">
        <f t="shared" si="62"/>
        <v>1.425</v>
      </c>
      <c r="B626" s="42">
        <f t="shared" si="63"/>
        <v>0</v>
      </c>
    </row>
    <row r="627" spans="1:7" ht="13.5" thickBot="1" x14ac:dyDescent="0.25">
      <c r="A627" s="43">
        <f t="shared" si="62"/>
        <v>1.5</v>
      </c>
      <c r="B627" s="44">
        <f t="shared" si="63"/>
        <v>0</v>
      </c>
    </row>
    <row r="629" spans="1:7" ht="13.5" thickBot="1" x14ac:dyDescent="0.25"/>
    <row r="630" spans="1:7" ht="13.5" thickBot="1" x14ac:dyDescent="0.25">
      <c r="A630" s="229" t="s">
        <v>57</v>
      </c>
      <c r="B630" s="26" t="s">
        <v>48</v>
      </c>
    </row>
    <row r="631" spans="1:7" ht="13.5" thickBot="1" x14ac:dyDescent="0.25">
      <c r="A631" s="13" t="s">
        <v>82</v>
      </c>
      <c r="B631" s="245">
        <v>60</v>
      </c>
      <c r="C631" s="233"/>
      <c r="D631" s="233"/>
      <c r="E631" s="233"/>
      <c r="F631" s="233"/>
      <c r="G631" s="233"/>
    </row>
    <row r="632" spans="1:7" ht="13.5" thickBot="1" x14ac:dyDescent="0.25">
      <c r="C632" s="77"/>
      <c r="D632" s="77"/>
      <c r="E632" s="77"/>
      <c r="F632" s="77"/>
      <c r="G632" s="77"/>
    </row>
    <row r="633" spans="1:7" ht="13.5" thickBot="1" x14ac:dyDescent="0.25">
      <c r="A633" s="229" t="s">
        <v>1</v>
      </c>
      <c r="B633" s="26" t="s">
        <v>16</v>
      </c>
      <c r="C633" s="9"/>
      <c r="D633" s="9"/>
      <c r="E633" s="9"/>
      <c r="F633" s="9"/>
      <c r="G633" s="9"/>
    </row>
    <row r="634" spans="1:7" x14ac:dyDescent="0.2">
      <c r="A634" s="57">
        <v>0</v>
      </c>
      <c r="B634" s="54">
        <v>0</v>
      </c>
    </row>
    <row r="635" spans="1:7" x14ac:dyDescent="0.2">
      <c r="A635" s="52">
        <v>7.89</v>
      </c>
      <c r="B635" s="55">
        <v>0</v>
      </c>
      <c r="C635" s="225"/>
      <c r="D635" s="225"/>
      <c r="F635" s="225"/>
      <c r="G635" s="225"/>
    </row>
    <row r="636" spans="1:7" x14ac:dyDescent="0.2">
      <c r="A636" s="52">
        <v>20</v>
      </c>
      <c r="B636" s="55">
        <v>0</v>
      </c>
      <c r="C636" s="20"/>
      <c r="D636" s="76"/>
      <c r="F636" s="226"/>
      <c r="G636" s="76"/>
    </row>
    <row r="637" spans="1:7" x14ac:dyDescent="0.2">
      <c r="A637" s="52">
        <v>55.26</v>
      </c>
      <c r="B637" s="55">
        <v>0</v>
      </c>
      <c r="C637" s="20"/>
      <c r="D637" s="76"/>
      <c r="F637" s="226"/>
      <c r="G637" s="76"/>
    </row>
    <row r="638" spans="1:7" x14ac:dyDescent="0.2">
      <c r="A638" s="52">
        <v>60</v>
      </c>
      <c r="B638" s="55">
        <v>0</v>
      </c>
      <c r="C638" s="20"/>
      <c r="D638" s="76"/>
      <c r="F638" s="226"/>
      <c r="G638" s="76"/>
    </row>
    <row r="639" spans="1:7" x14ac:dyDescent="0.2">
      <c r="A639" s="52">
        <v>65</v>
      </c>
      <c r="B639" s="55">
        <v>0</v>
      </c>
      <c r="C639" s="20"/>
      <c r="D639" s="76"/>
      <c r="F639" s="226"/>
      <c r="G639" s="76"/>
    </row>
    <row r="640" spans="1:7" x14ac:dyDescent="0.2">
      <c r="A640" s="52">
        <v>71.05</v>
      </c>
      <c r="B640" s="55">
        <v>0</v>
      </c>
      <c r="C640" s="20"/>
      <c r="D640" s="76"/>
      <c r="F640" s="226"/>
      <c r="G640" s="76"/>
    </row>
    <row r="641" spans="1:7" ht="13.5" thickBot="1" x14ac:dyDescent="0.25">
      <c r="A641" s="53">
        <v>100</v>
      </c>
      <c r="B641" s="56">
        <v>0</v>
      </c>
      <c r="C641" s="20"/>
      <c r="D641" s="76"/>
      <c r="F641" s="226"/>
      <c r="G641" s="76"/>
    </row>
    <row r="642" spans="1:7" ht="13.5" thickBot="1" x14ac:dyDescent="0.25">
      <c r="C642" s="20"/>
      <c r="D642" s="76"/>
      <c r="F642" s="226"/>
      <c r="G642" s="76"/>
    </row>
    <row r="643" spans="1:7" ht="13.5" thickBot="1" x14ac:dyDescent="0.25">
      <c r="A643" s="229" t="s">
        <v>17</v>
      </c>
      <c r="B643" s="26" t="s">
        <v>16</v>
      </c>
      <c r="C643" s="20"/>
      <c r="D643" s="76"/>
      <c r="F643" s="226"/>
      <c r="G643" s="8"/>
    </row>
    <row r="644" spans="1:7" x14ac:dyDescent="0.2">
      <c r="A644" s="39">
        <f t="shared" ref="A644:A651" si="64">A634*F$4/100</f>
        <v>0</v>
      </c>
      <c r="B644" s="40">
        <f t="shared" ref="B644:B651" si="65">B634</f>
        <v>0</v>
      </c>
    </row>
    <row r="645" spans="1:7" x14ac:dyDescent="0.2">
      <c r="A645" s="41">
        <f t="shared" si="64"/>
        <v>0.11835</v>
      </c>
      <c r="B645" s="42">
        <f t="shared" si="65"/>
        <v>0</v>
      </c>
      <c r="C645" s="29"/>
      <c r="D645" s="29"/>
      <c r="E645" s="29"/>
      <c r="F645" s="29"/>
      <c r="G645" s="29"/>
    </row>
    <row r="646" spans="1:7" x14ac:dyDescent="0.2">
      <c r="A646" s="41">
        <f t="shared" si="64"/>
        <v>0.3</v>
      </c>
      <c r="B646" s="42">
        <f t="shared" si="65"/>
        <v>0</v>
      </c>
      <c r="C646" s="29"/>
      <c r="D646" s="29"/>
      <c r="E646" s="29"/>
      <c r="F646" s="29"/>
      <c r="G646" s="29"/>
    </row>
    <row r="647" spans="1:7" x14ac:dyDescent="0.2">
      <c r="A647" s="41">
        <f t="shared" si="64"/>
        <v>0.82889999999999997</v>
      </c>
      <c r="B647" s="42">
        <f t="shared" si="65"/>
        <v>0</v>
      </c>
      <c r="C647" s="29"/>
      <c r="D647" s="29"/>
      <c r="E647" s="29"/>
      <c r="F647" s="29"/>
      <c r="G647" s="29"/>
    </row>
    <row r="648" spans="1:7" x14ac:dyDescent="0.2">
      <c r="A648" s="41">
        <f t="shared" si="64"/>
        <v>0.9</v>
      </c>
      <c r="B648" s="42">
        <f t="shared" si="65"/>
        <v>0</v>
      </c>
      <c r="C648" s="29"/>
      <c r="D648" s="29"/>
      <c r="E648" s="29"/>
      <c r="F648" s="29"/>
      <c r="G648" s="29"/>
    </row>
    <row r="649" spans="1:7" x14ac:dyDescent="0.2">
      <c r="A649" s="41">
        <f t="shared" si="64"/>
        <v>0.97499999999999998</v>
      </c>
      <c r="B649" s="42">
        <f t="shared" si="65"/>
        <v>0</v>
      </c>
      <c r="C649" s="29"/>
      <c r="D649" s="29"/>
      <c r="E649" s="29"/>
      <c r="F649" s="29"/>
      <c r="G649" s="29"/>
    </row>
    <row r="650" spans="1:7" x14ac:dyDescent="0.2">
      <c r="A650" s="41">
        <f t="shared" si="64"/>
        <v>1.06575</v>
      </c>
      <c r="B650" s="42">
        <f t="shared" si="65"/>
        <v>0</v>
      </c>
      <c r="C650" s="29"/>
      <c r="D650" s="29"/>
      <c r="E650" s="29"/>
      <c r="F650" s="29"/>
      <c r="G650" s="29"/>
    </row>
    <row r="651" spans="1:7" ht="13.5" thickBot="1" x14ac:dyDescent="0.25">
      <c r="A651" s="43">
        <f t="shared" si="64"/>
        <v>1.5</v>
      </c>
      <c r="B651" s="44">
        <f t="shared" si="65"/>
        <v>0</v>
      </c>
      <c r="C651" s="29"/>
      <c r="D651" s="29"/>
      <c r="E651" s="29"/>
      <c r="F651" s="29"/>
      <c r="G651" s="29"/>
    </row>
    <row r="652" spans="1:7" x14ac:dyDescent="0.2">
      <c r="A652" s="74"/>
      <c r="B652" s="72"/>
      <c r="C652" s="29"/>
      <c r="D652" s="29"/>
      <c r="E652" s="29"/>
      <c r="F652" s="29"/>
      <c r="G652" s="29"/>
    </row>
    <row r="653" spans="1:7" ht="13.5" thickBot="1" x14ac:dyDescent="0.25">
      <c r="A653" s="74"/>
      <c r="B653" s="72"/>
      <c r="C653" s="29"/>
      <c r="D653" s="29"/>
      <c r="E653" s="29"/>
      <c r="F653" s="29"/>
      <c r="G653" s="29"/>
    </row>
    <row r="654" spans="1:7" ht="13.5" thickBot="1" x14ac:dyDescent="0.25">
      <c r="A654" s="229" t="s">
        <v>57</v>
      </c>
      <c r="B654" s="26" t="s">
        <v>48</v>
      </c>
      <c r="C654" s="29"/>
      <c r="D654" s="29"/>
      <c r="E654" s="29"/>
      <c r="F654" s="29"/>
      <c r="G654" s="29"/>
    </row>
    <row r="655" spans="1:7" ht="13.5" thickBot="1" x14ac:dyDescent="0.25">
      <c r="A655" s="13" t="s">
        <v>83</v>
      </c>
      <c r="B655" s="245">
        <v>60</v>
      </c>
      <c r="C655" s="29"/>
      <c r="D655" s="29"/>
      <c r="E655" s="29"/>
      <c r="F655" s="29"/>
      <c r="G655" s="29"/>
    </row>
    <row r="656" spans="1:7" ht="13.5" thickBot="1" x14ac:dyDescent="0.25">
      <c r="C656" s="29"/>
      <c r="D656" s="29"/>
      <c r="E656" s="29"/>
      <c r="F656" s="29"/>
      <c r="G656" s="29"/>
    </row>
    <row r="657" spans="1:7" ht="13.5" thickBot="1" x14ac:dyDescent="0.25">
      <c r="A657" s="229" t="s">
        <v>1</v>
      </c>
      <c r="B657" s="26" t="s">
        <v>16</v>
      </c>
      <c r="C657" s="29"/>
      <c r="D657" s="29"/>
      <c r="E657" s="29"/>
      <c r="F657" s="29"/>
      <c r="G657" s="29"/>
    </row>
    <row r="658" spans="1:7" x14ac:dyDescent="0.2">
      <c r="A658" s="57">
        <v>0</v>
      </c>
      <c r="B658" s="54">
        <v>0</v>
      </c>
      <c r="C658" s="29"/>
      <c r="D658" s="29"/>
      <c r="E658" s="29"/>
      <c r="F658" s="29"/>
      <c r="G658" s="29"/>
    </row>
    <row r="659" spans="1:7" x14ac:dyDescent="0.2">
      <c r="A659" s="52">
        <v>7.89</v>
      </c>
      <c r="B659" s="55">
        <v>0</v>
      </c>
      <c r="C659" s="29"/>
      <c r="D659" s="29"/>
      <c r="E659" s="29"/>
      <c r="F659" s="29"/>
      <c r="G659" s="29"/>
    </row>
    <row r="660" spans="1:7" x14ac:dyDescent="0.2">
      <c r="A660" s="52">
        <v>20</v>
      </c>
      <c r="B660" s="55">
        <v>0</v>
      </c>
      <c r="C660" s="29"/>
      <c r="D660" s="29"/>
      <c r="E660" s="29"/>
      <c r="F660" s="29"/>
      <c r="G660" s="29"/>
    </row>
    <row r="661" spans="1:7" x14ac:dyDescent="0.2">
      <c r="A661" s="52">
        <v>55.26</v>
      </c>
      <c r="B661" s="55">
        <v>0</v>
      </c>
      <c r="C661" s="29"/>
      <c r="D661" s="29"/>
      <c r="E661" s="29"/>
      <c r="F661" s="29"/>
      <c r="G661" s="29"/>
    </row>
    <row r="662" spans="1:7" x14ac:dyDescent="0.2">
      <c r="A662" s="52">
        <v>60</v>
      </c>
      <c r="B662" s="55">
        <v>0</v>
      </c>
      <c r="C662" s="29"/>
      <c r="D662" s="29"/>
      <c r="E662" s="29"/>
      <c r="F662" s="29"/>
      <c r="G662" s="29"/>
    </row>
    <row r="663" spans="1:7" x14ac:dyDescent="0.2">
      <c r="A663" s="52">
        <v>65</v>
      </c>
      <c r="B663" s="55">
        <v>0</v>
      </c>
      <c r="C663" s="29"/>
      <c r="D663" s="29"/>
      <c r="E663" s="29"/>
      <c r="F663" s="29"/>
      <c r="G663" s="29"/>
    </row>
    <row r="664" spans="1:7" x14ac:dyDescent="0.2">
      <c r="A664" s="52">
        <v>71.05</v>
      </c>
      <c r="B664" s="55">
        <v>0</v>
      </c>
      <c r="C664" s="29"/>
      <c r="D664" s="29"/>
      <c r="E664" s="29"/>
      <c r="F664" s="29"/>
      <c r="G664" s="29"/>
    </row>
    <row r="665" spans="1:7" ht="13.5" thickBot="1" x14ac:dyDescent="0.25">
      <c r="A665" s="53">
        <v>100</v>
      </c>
      <c r="B665" s="56">
        <v>0</v>
      </c>
      <c r="C665" s="29"/>
      <c r="D665" s="29"/>
      <c r="E665" s="29"/>
      <c r="F665" s="29"/>
      <c r="G665" s="29"/>
    </row>
    <row r="666" spans="1:7" ht="13.5" thickBot="1" x14ac:dyDescent="0.25">
      <c r="C666" s="29"/>
      <c r="D666" s="29"/>
      <c r="E666" s="29"/>
      <c r="F666" s="29"/>
      <c r="G666" s="29"/>
    </row>
    <row r="667" spans="1:7" ht="13.5" thickBot="1" x14ac:dyDescent="0.25">
      <c r="A667" s="229" t="s">
        <v>17</v>
      </c>
      <c r="B667" s="26" t="s">
        <v>16</v>
      </c>
      <c r="C667" s="29"/>
      <c r="D667" s="29"/>
      <c r="E667" s="29"/>
      <c r="F667" s="29"/>
      <c r="G667" s="29"/>
    </row>
    <row r="668" spans="1:7" x14ac:dyDescent="0.2">
      <c r="A668" s="39">
        <f t="shared" ref="A668:A675" si="66">A658*F$4/100</f>
        <v>0</v>
      </c>
      <c r="B668" s="40">
        <f t="shared" ref="B668:B675" si="67">B658</f>
        <v>0</v>
      </c>
      <c r="C668" s="29"/>
      <c r="D668" s="29"/>
      <c r="E668" s="29"/>
      <c r="F668" s="29"/>
      <c r="G668" s="29"/>
    </row>
    <row r="669" spans="1:7" x14ac:dyDescent="0.2">
      <c r="A669" s="41">
        <f t="shared" si="66"/>
        <v>0.11835</v>
      </c>
      <c r="B669" s="42">
        <f t="shared" si="67"/>
        <v>0</v>
      </c>
      <c r="C669" s="29"/>
      <c r="D669" s="29"/>
      <c r="E669" s="29"/>
      <c r="F669" s="29"/>
      <c r="G669" s="29"/>
    </row>
    <row r="670" spans="1:7" x14ac:dyDescent="0.2">
      <c r="A670" s="41">
        <f t="shared" si="66"/>
        <v>0.3</v>
      </c>
      <c r="B670" s="42">
        <f t="shared" si="67"/>
        <v>0</v>
      </c>
      <c r="C670" s="29"/>
      <c r="D670" s="29"/>
      <c r="E670" s="29"/>
      <c r="F670" s="29"/>
      <c r="G670" s="29"/>
    </row>
    <row r="671" spans="1:7" x14ac:dyDescent="0.2">
      <c r="A671" s="41">
        <f t="shared" si="66"/>
        <v>0.82889999999999997</v>
      </c>
      <c r="B671" s="42">
        <f t="shared" si="67"/>
        <v>0</v>
      </c>
      <c r="C671" s="29"/>
      <c r="D671" s="29"/>
      <c r="E671" s="29"/>
      <c r="F671" s="29"/>
      <c r="G671" s="29"/>
    </row>
    <row r="672" spans="1:7" x14ac:dyDescent="0.2">
      <c r="A672" s="41">
        <f t="shared" si="66"/>
        <v>0.9</v>
      </c>
      <c r="B672" s="42">
        <f t="shared" si="67"/>
        <v>0</v>
      </c>
      <c r="C672" s="29"/>
      <c r="D672" s="29"/>
      <c r="E672" s="29"/>
      <c r="F672" s="29"/>
      <c r="G672" s="29"/>
    </row>
    <row r="673" spans="1:7" x14ac:dyDescent="0.2">
      <c r="A673" s="41">
        <f t="shared" si="66"/>
        <v>0.97499999999999998</v>
      </c>
      <c r="B673" s="42">
        <f t="shared" si="67"/>
        <v>0</v>
      </c>
      <c r="C673" s="29"/>
      <c r="D673" s="29"/>
      <c r="E673" s="29"/>
      <c r="F673" s="29"/>
      <c r="G673" s="29"/>
    </row>
    <row r="674" spans="1:7" x14ac:dyDescent="0.2">
      <c r="A674" s="41">
        <f t="shared" si="66"/>
        <v>1.06575</v>
      </c>
      <c r="B674" s="42">
        <f t="shared" si="67"/>
        <v>0</v>
      </c>
      <c r="C674" s="29"/>
      <c r="D674" s="29"/>
      <c r="E674" s="29"/>
      <c r="F674" s="29"/>
      <c r="G674" s="29"/>
    </row>
    <row r="675" spans="1:7" ht="13.5" thickBot="1" x14ac:dyDescent="0.25">
      <c r="A675" s="43">
        <f t="shared" si="66"/>
        <v>1.5</v>
      </c>
      <c r="B675" s="44">
        <f t="shared" si="67"/>
        <v>0</v>
      </c>
      <c r="C675" s="29"/>
      <c r="D675" s="29"/>
      <c r="E675" s="29"/>
      <c r="F675" s="29"/>
      <c r="G675" s="29"/>
    </row>
    <row r="676" spans="1:7" x14ac:dyDescent="0.2">
      <c r="A676" s="73"/>
      <c r="B676" s="72"/>
      <c r="C676" s="29"/>
      <c r="D676" s="29"/>
      <c r="E676" s="29"/>
      <c r="F676" s="29"/>
      <c r="G676" s="29"/>
    </row>
    <row r="677" spans="1:7" ht="13.5" thickBot="1" x14ac:dyDescent="0.25">
      <c r="A677" s="69"/>
      <c r="B677" s="69"/>
      <c r="C677" s="29"/>
      <c r="D677" s="29"/>
      <c r="E677" s="29"/>
      <c r="F677" s="29"/>
      <c r="G677" s="29"/>
    </row>
    <row r="678" spans="1:7" ht="13.5" thickBot="1" x14ac:dyDescent="0.25">
      <c r="A678" s="229" t="s">
        <v>57</v>
      </c>
      <c r="B678" s="26" t="s">
        <v>48</v>
      </c>
      <c r="C678" s="29"/>
      <c r="D678" s="29"/>
      <c r="E678" s="29"/>
      <c r="F678" s="29"/>
      <c r="G678" s="29"/>
    </row>
    <row r="679" spans="1:7" ht="13.5" thickBot="1" x14ac:dyDescent="0.25">
      <c r="A679" s="13" t="s">
        <v>84</v>
      </c>
      <c r="B679" s="245">
        <v>60</v>
      </c>
      <c r="C679" s="29"/>
      <c r="D679" s="29"/>
      <c r="E679" s="29"/>
      <c r="F679" s="29"/>
      <c r="G679" s="29"/>
    </row>
    <row r="680" spans="1:7" ht="13.5" thickBot="1" x14ac:dyDescent="0.25">
      <c r="C680" s="29"/>
      <c r="D680" s="29"/>
      <c r="E680" s="29"/>
      <c r="F680" s="29"/>
      <c r="G680" s="29"/>
    </row>
    <row r="681" spans="1:7" ht="13.5" thickBot="1" x14ac:dyDescent="0.25">
      <c r="A681" s="229" t="s">
        <v>1</v>
      </c>
      <c r="B681" s="26" t="s">
        <v>16</v>
      </c>
      <c r="C681" s="29"/>
      <c r="D681" s="29"/>
      <c r="E681" s="29"/>
      <c r="F681" s="29"/>
      <c r="G681" s="29"/>
    </row>
    <row r="682" spans="1:7" x14ac:dyDescent="0.2">
      <c r="A682" s="57">
        <v>0</v>
      </c>
      <c r="B682" s="54">
        <v>0</v>
      </c>
      <c r="C682" s="29"/>
      <c r="D682" s="29"/>
      <c r="E682" s="29"/>
      <c r="F682" s="29"/>
      <c r="G682" s="29"/>
    </row>
    <row r="683" spans="1:7" x14ac:dyDescent="0.2">
      <c r="A683" s="52">
        <v>7.89</v>
      </c>
      <c r="B683" s="55">
        <v>0</v>
      </c>
      <c r="C683" s="29"/>
      <c r="D683" s="29"/>
      <c r="E683" s="29"/>
      <c r="F683" s="29"/>
      <c r="G683" s="29"/>
    </row>
    <row r="684" spans="1:7" x14ac:dyDescent="0.2">
      <c r="A684" s="52">
        <v>20</v>
      </c>
      <c r="B684" s="55">
        <v>0</v>
      </c>
      <c r="C684" s="29"/>
      <c r="D684" s="29"/>
      <c r="E684" s="29"/>
      <c r="F684" s="29"/>
      <c r="G684" s="29"/>
    </row>
    <row r="685" spans="1:7" x14ac:dyDescent="0.2">
      <c r="A685" s="52">
        <v>55.26</v>
      </c>
      <c r="B685" s="55">
        <v>0</v>
      </c>
      <c r="C685" s="29"/>
      <c r="D685" s="29"/>
      <c r="E685" s="29"/>
      <c r="F685" s="29"/>
      <c r="G685" s="29"/>
    </row>
    <row r="686" spans="1:7" x14ac:dyDescent="0.2">
      <c r="A686" s="52">
        <v>60</v>
      </c>
      <c r="B686" s="55">
        <v>0</v>
      </c>
      <c r="C686" s="29"/>
      <c r="D686" s="29"/>
      <c r="E686" s="29"/>
      <c r="F686" s="29"/>
      <c r="G686" s="29"/>
    </row>
    <row r="687" spans="1:7" x14ac:dyDescent="0.2">
      <c r="A687" s="52">
        <v>65</v>
      </c>
      <c r="B687" s="55">
        <v>0</v>
      </c>
      <c r="C687" s="29"/>
      <c r="D687" s="29"/>
      <c r="E687" s="29"/>
      <c r="F687" s="29"/>
      <c r="G687" s="29"/>
    </row>
    <row r="688" spans="1:7" x14ac:dyDescent="0.2">
      <c r="A688" s="52">
        <v>71.05</v>
      </c>
      <c r="B688" s="55">
        <v>0</v>
      </c>
      <c r="C688" s="29"/>
      <c r="D688" s="29"/>
      <c r="E688" s="29"/>
      <c r="F688" s="29"/>
      <c r="G688" s="29"/>
    </row>
    <row r="689" spans="1:7" ht="13.5" thickBot="1" x14ac:dyDescent="0.25">
      <c r="A689" s="53">
        <v>100</v>
      </c>
      <c r="B689" s="56">
        <v>0</v>
      </c>
      <c r="C689" s="29"/>
      <c r="D689" s="29"/>
      <c r="E689" s="29"/>
      <c r="F689" s="29"/>
      <c r="G689" s="29"/>
    </row>
    <row r="690" spans="1:7" ht="13.5" thickBot="1" x14ac:dyDescent="0.25">
      <c r="C690" s="29"/>
      <c r="D690" s="29"/>
      <c r="E690" s="29"/>
      <c r="F690" s="29"/>
      <c r="G690" s="29"/>
    </row>
    <row r="691" spans="1:7" ht="13.5" thickBot="1" x14ac:dyDescent="0.25">
      <c r="A691" s="229" t="s">
        <v>17</v>
      </c>
      <c r="B691" s="26" t="s">
        <v>16</v>
      </c>
      <c r="C691" s="29"/>
      <c r="D691" s="29"/>
      <c r="E691" s="29"/>
      <c r="F691" s="29"/>
      <c r="G691" s="29"/>
    </row>
    <row r="692" spans="1:7" x14ac:dyDescent="0.2">
      <c r="A692" s="39">
        <f t="shared" ref="A692:A699" si="68">A682*F$4/100</f>
        <v>0</v>
      </c>
      <c r="B692" s="40">
        <f t="shared" ref="B692:B699" si="69">B682</f>
        <v>0</v>
      </c>
      <c r="C692" s="29"/>
      <c r="D692" s="29"/>
      <c r="E692" s="29"/>
      <c r="F692" s="29"/>
      <c r="G692" s="29"/>
    </row>
    <row r="693" spans="1:7" x14ac:dyDescent="0.2">
      <c r="A693" s="41">
        <f t="shared" si="68"/>
        <v>0.11835</v>
      </c>
      <c r="B693" s="42">
        <f t="shared" si="69"/>
        <v>0</v>
      </c>
      <c r="C693" s="29"/>
      <c r="D693" s="29"/>
      <c r="E693" s="29"/>
      <c r="F693" s="29"/>
      <c r="G693" s="29"/>
    </row>
    <row r="694" spans="1:7" x14ac:dyDescent="0.2">
      <c r="A694" s="41">
        <f t="shared" si="68"/>
        <v>0.3</v>
      </c>
      <c r="B694" s="42">
        <f t="shared" si="69"/>
        <v>0</v>
      </c>
      <c r="C694" s="29"/>
      <c r="D694" s="29"/>
      <c r="E694" s="29"/>
      <c r="F694" s="29"/>
      <c r="G694" s="29"/>
    </row>
    <row r="695" spans="1:7" x14ac:dyDescent="0.2">
      <c r="A695" s="41">
        <f t="shared" si="68"/>
        <v>0.82889999999999997</v>
      </c>
      <c r="B695" s="42">
        <f t="shared" si="69"/>
        <v>0</v>
      </c>
      <c r="C695" s="29"/>
      <c r="D695" s="29"/>
      <c r="E695" s="29"/>
      <c r="F695" s="29"/>
      <c r="G695" s="29"/>
    </row>
    <row r="696" spans="1:7" x14ac:dyDescent="0.2">
      <c r="A696" s="41">
        <f t="shared" si="68"/>
        <v>0.9</v>
      </c>
      <c r="B696" s="42">
        <f t="shared" si="69"/>
        <v>0</v>
      </c>
      <c r="C696" s="29"/>
      <c r="D696" s="29"/>
      <c r="E696" s="29"/>
      <c r="F696" s="29"/>
      <c r="G696" s="29"/>
    </row>
    <row r="697" spans="1:7" x14ac:dyDescent="0.2">
      <c r="A697" s="41">
        <f t="shared" si="68"/>
        <v>0.97499999999999998</v>
      </c>
      <c r="B697" s="42">
        <f t="shared" si="69"/>
        <v>0</v>
      </c>
      <c r="C697" s="29"/>
      <c r="D697" s="29"/>
      <c r="E697" s="29"/>
      <c r="F697" s="29"/>
      <c r="G697" s="29"/>
    </row>
    <row r="698" spans="1:7" x14ac:dyDescent="0.2">
      <c r="A698" s="41">
        <f t="shared" si="68"/>
        <v>1.06575</v>
      </c>
      <c r="B698" s="42">
        <f t="shared" si="69"/>
        <v>0</v>
      </c>
      <c r="C698" s="29"/>
      <c r="D698" s="29"/>
      <c r="E698" s="29"/>
      <c r="F698" s="29"/>
      <c r="G698" s="29"/>
    </row>
    <row r="699" spans="1:7" ht="13.5" thickBot="1" x14ac:dyDescent="0.25">
      <c r="A699" s="43">
        <f t="shared" si="68"/>
        <v>1.5</v>
      </c>
      <c r="B699" s="44">
        <f t="shared" si="69"/>
        <v>0</v>
      </c>
      <c r="C699" s="29"/>
      <c r="D699" s="29"/>
      <c r="E699" s="29"/>
      <c r="F699" s="29"/>
      <c r="G699" s="29"/>
    </row>
    <row r="700" spans="1:7" x14ac:dyDescent="0.2">
      <c r="A700" s="21"/>
      <c r="B700" s="22"/>
      <c r="C700" s="29"/>
      <c r="D700" s="29"/>
      <c r="E700" s="29"/>
      <c r="F700" s="29"/>
      <c r="G700" s="29"/>
    </row>
    <row r="701" spans="1:7" ht="13.5" thickBot="1" x14ac:dyDescent="0.25">
      <c r="A701" s="21"/>
      <c r="B701" s="22"/>
      <c r="C701" s="29"/>
      <c r="D701" s="29"/>
      <c r="E701" s="29"/>
      <c r="F701" s="29"/>
      <c r="G701" s="29"/>
    </row>
    <row r="702" spans="1:7" ht="13.5" thickBot="1" x14ac:dyDescent="0.25">
      <c r="A702" s="229" t="s">
        <v>57</v>
      </c>
      <c r="B702" s="26" t="s">
        <v>48</v>
      </c>
      <c r="C702" s="29"/>
      <c r="D702" s="29"/>
      <c r="E702" s="29"/>
      <c r="F702" s="29"/>
      <c r="G702" s="29"/>
    </row>
    <row r="703" spans="1:7" ht="13.5" thickBot="1" x14ac:dyDescent="0.25">
      <c r="A703" s="13" t="s">
        <v>85</v>
      </c>
      <c r="B703" s="245">
        <v>60</v>
      </c>
      <c r="C703" s="29"/>
      <c r="D703" s="29"/>
      <c r="E703" s="29"/>
      <c r="F703" s="29"/>
      <c r="G703" s="29"/>
    </row>
    <row r="704" spans="1:7" ht="13.5" thickBot="1" x14ac:dyDescent="0.25">
      <c r="C704" s="29"/>
      <c r="D704" s="29"/>
      <c r="E704" s="29"/>
      <c r="F704" s="29"/>
      <c r="G704" s="29"/>
    </row>
    <row r="705" spans="1:7" ht="13.5" thickBot="1" x14ac:dyDescent="0.25">
      <c r="A705" s="229" t="s">
        <v>1</v>
      </c>
      <c r="B705" s="26" t="s">
        <v>16</v>
      </c>
      <c r="C705" s="29"/>
      <c r="D705" s="29"/>
      <c r="E705" s="29"/>
      <c r="F705" s="29"/>
      <c r="G705" s="29"/>
    </row>
    <row r="706" spans="1:7" x14ac:dyDescent="0.2">
      <c r="A706" s="57">
        <v>0</v>
      </c>
      <c r="B706" s="54">
        <v>0</v>
      </c>
      <c r="C706" s="29"/>
      <c r="D706" s="29"/>
      <c r="E706" s="29"/>
      <c r="F706" s="29"/>
      <c r="G706" s="29"/>
    </row>
    <row r="707" spans="1:7" x14ac:dyDescent="0.2">
      <c r="A707" s="52">
        <v>7.89</v>
      </c>
      <c r="B707" s="55">
        <v>0</v>
      </c>
      <c r="C707" s="29"/>
      <c r="D707" s="29"/>
      <c r="E707" s="29"/>
      <c r="F707" s="29"/>
      <c r="G707" s="29"/>
    </row>
    <row r="708" spans="1:7" x14ac:dyDescent="0.2">
      <c r="A708" s="52">
        <v>20</v>
      </c>
      <c r="B708" s="55">
        <v>0</v>
      </c>
      <c r="C708" s="29"/>
      <c r="D708" s="29"/>
      <c r="E708" s="29"/>
      <c r="F708" s="29"/>
      <c r="G708" s="29"/>
    </row>
    <row r="709" spans="1:7" x14ac:dyDescent="0.2">
      <c r="A709" s="52">
        <v>55.26</v>
      </c>
      <c r="B709" s="55">
        <v>0</v>
      </c>
      <c r="C709" s="29"/>
      <c r="D709" s="29"/>
      <c r="E709" s="29"/>
      <c r="F709" s="29"/>
      <c r="G709" s="29"/>
    </row>
    <row r="710" spans="1:7" x14ac:dyDescent="0.2">
      <c r="A710" s="52">
        <v>60</v>
      </c>
      <c r="B710" s="55">
        <v>0</v>
      </c>
      <c r="C710" s="29"/>
      <c r="D710" s="29"/>
      <c r="E710" s="29"/>
      <c r="F710" s="29"/>
      <c r="G710" s="29"/>
    </row>
    <row r="711" spans="1:7" x14ac:dyDescent="0.2">
      <c r="A711" s="52">
        <v>65</v>
      </c>
      <c r="B711" s="55">
        <v>0</v>
      </c>
      <c r="C711" s="29"/>
      <c r="D711" s="29"/>
      <c r="E711" s="29"/>
      <c r="F711" s="29"/>
      <c r="G711" s="29"/>
    </row>
    <row r="712" spans="1:7" x14ac:dyDescent="0.2">
      <c r="A712" s="52">
        <v>71.05</v>
      </c>
      <c r="B712" s="55">
        <v>0</v>
      </c>
      <c r="C712" s="29"/>
      <c r="D712" s="29"/>
      <c r="E712" s="29"/>
      <c r="F712" s="29"/>
      <c r="G712" s="29"/>
    </row>
    <row r="713" spans="1:7" ht="13.5" thickBot="1" x14ac:dyDescent="0.25">
      <c r="A713" s="53">
        <v>100</v>
      </c>
      <c r="B713" s="56">
        <v>0</v>
      </c>
      <c r="C713" s="29"/>
      <c r="D713" s="29"/>
      <c r="E713" s="29"/>
      <c r="F713" s="29"/>
      <c r="G713" s="29"/>
    </row>
    <row r="714" spans="1:7" ht="13.5" thickBot="1" x14ac:dyDescent="0.25">
      <c r="C714" s="29"/>
      <c r="D714" s="29"/>
      <c r="E714" s="29"/>
      <c r="F714" s="29"/>
      <c r="G714" s="29"/>
    </row>
    <row r="715" spans="1:7" ht="13.5" thickBot="1" x14ac:dyDescent="0.25">
      <c r="A715" s="229" t="s">
        <v>17</v>
      </c>
      <c r="B715" s="26" t="s">
        <v>16</v>
      </c>
      <c r="C715" s="29"/>
      <c r="D715" s="29"/>
      <c r="E715" s="29"/>
      <c r="F715" s="29"/>
      <c r="G715" s="29"/>
    </row>
    <row r="716" spans="1:7" x14ac:dyDescent="0.2">
      <c r="A716" s="39">
        <f t="shared" ref="A716:A723" si="70">A706*F$4/100</f>
        <v>0</v>
      </c>
      <c r="B716" s="40">
        <f t="shared" ref="B716:B723" si="71">B706</f>
        <v>0</v>
      </c>
      <c r="C716" s="29"/>
      <c r="D716" s="29"/>
      <c r="E716" s="29"/>
      <c r="F716" s="29"/>
      <c r="G716" s="29"/>
    </row>
    <row r="717" spans="1:7" x14ac:dyDescent="0.2">
      <c r="A717" s="41">
        <f t="shared" si="70"/>
        <v>0.11835</v>
      </c>
      <c r="B717" s="42">
        <f t="shared" si="71"/>
        <v>0</v>
      </c>
      <c r="C717" s="29"/>
      <c r="D717" s="29"/>
      <c r="E717" s="29"/>
      <c r="F717" s="29"/>
      <c r="G717" s="29"/>
    </row>
    <row r="718" spans="1:7" x14ac:dyDescent="0.2">
      <c r="A718" s="41">
        <f t="shared" si="70"/>
        <v>0.3</v>
      </c>
      <c r="B718" s="42">
        <f t="shared" si="71"/>
        <v>0</v>
      </c>
      <c r="C718" s="29"/>
      <c r="D718" s="29"/>
      <c r="E718" s="29"/>
      <c r="F718" s="29"/>
      <c r="G718" s="29"/>
    </row>
    <row r="719" spans="1:7" x14ac:dyDescent="0.2">
      <c r="A719" s="41">
        <f t="shared" si="70"/>
        <v>0.82889999999999997</v>
      </c>
      <c r="B719" s="42">
        <f t="shared" si="71"/>
        <v>0</v>
      </c>
      <c r="C719" s="29"/>
      <c r="D719" s="29"/>
      <c r="E719" s="29"/>
      <c r="F719" s="29"/>
      <c r="G719" s="29"/>
    </row>
    <row r="720" spans="1:7" x14ac:dyDescent="0.2">
      <c r="A720" s="41">
        <f t="shared" si="70"/>
        <v>0.9</v>
      </c>
      <c r="B720" s="42">
        <f t="shared" si="71"/>
        <v>0</v>
      </c>
      <c r="C720" s="29"/>
      <c r="D720" s="29"/>
      <c r="E720" s="29"/>
      <c r="F720" s="29"/>
      <c r="G720" s="29"/>
    </row>
    <row r="721" spans="1:7" x14ac:dyDescent="0.2">
      <c r="A721" s="41">
        <f t="shared" si="70"/>
        <v>0.97499999999999998</v>
      </c>
      <c r="B721" s="42">
        <f t="shared" si="71"/>
        <v>0</v>
      </c>
      <c r="C721" s="29"/>
      <c r="D721" s="29"/>
      <c r="E721" s="29"/>
      <c r="F721" s="29"/>
      <c r="G721" s="29"/>
    </row>
    <row r="722" spans="1:7" x14ac:dyDescent="0.2">
      <c r="A722" s="41">
        <f t="shared" si="70"/>
        <v>1.06575</v>
      </c>
      <c r="B722" s="42">
        <f t="shared" si="71"/>
        <v>0</v>
      </c>
      <c r="C722" s="29"/>
      <c r="D722" s="29"/>
      <c r="E722" s="29"/>
      <c r="F722" s="29"/>
      <c r="G722" s="29"/>
    </row>
    <row r="723" spans="1:7" ht="13.5" thickBot="1" x14ac:dyDescent="0.25">
      <c r="A723" s="43">
        <f t="shared" si="70"/>
        <v>1.5</v>
      </c>
      <c r="B723" s="44">
        <f t="shared" si="71"/>
        <v>0</v>
      </c>
      <c r="C723" s="29"/>
      <c r="D723" s="29"/>
      <c r="E723" s="29"/>
      <c r="F723" s="29"/>
      <c r="G723" s="29"/>
    </row>
    <row r="724" spans="1:7" x14ac:dyDescent="0.2">
      <c r="A724" s="21"/>
      <c r="B724" s="22"/>
      <c r="C724" s="29"/>
      <c r="D724" s="29"/>
      <c r="E724" s="29"/>
      <c r="F724" s="29"/>
      <c r="G724" s="29"/>
    </row>
  </sheetData>
  <sheetProtection sheet="1" objects="1" scenarios="1" formatCells="0" selectLockedCells="1"/>
  <mergeCells count="68">
    <mergeCell ref="A139:E139"/>
    <mergeCell ref="D145:F146"/>
    <mergeCell ref="L36:M36"/>
    <mergeCell ref="L37:M37"/>
    <mergeCell ref="C38:D38"/>
    <mergeCell ref="F38:G38"/>
    <mergeCell ref="K39:M39"/>
    <mergeCell ref="L38:M38"/>
    <mergeCell ref="B11:D11"/>
    <mergeCell ref="A35:B35"/>
    <mergeCell ref="B6:D6"/>
    <mergeCell ref="B5:D5"/>
    <mergeCell ref="F11:G11"/>
    <mergeCell ref="B15:D15"/>
    <mergeCell ref="F15:G15"/>
    <mergeCell ref="B16:D16"/>
    <mergeCell ref="F16:G16"/>
    <mergeCell ref="F35:G35"/>
    <mergeCell ref="B12:D12"/>
    <mergeCell ref="F12:G12"/>
    <mergeCell ref="B13:D13"/>
    <mergeCell ref="F13:G13"/>
    <mergeCell ref="B14:D14"/>
    <mergeCell ref="F14:G14"/>
    <mergeCell ref="C1:E1"/>
    <mergeCell ref="B9:D9"/>
    <mergeCell ref="F9:G9"/>
    <mergeCell ref="B10:D10"/>
    <mergeCell ref="F10:G10"/>
    <mergeCell ref="F3:G3"/>
    <mergeCell ref="B3:D3"/>
    <mergeCell ref="F7:G7"/>
    <mergeCell ref="B8:D8"/>
    <mergeCell ref="F8:G8"/>
    <mergeCell ref="F5:G5"/>
    <mergeCell ref="F6:G6"/>
    <mergeCell ref="C2:E2"/>
    <mergeCell ref="B7:D7"/>
    <mergeCell ref="B4:D4"/>
    <mergeCell ref="B17:D17"/>
    <mergeCell ref="F17:G17"/>
    <mergeCell ref="B18:D18"/>
    <mergeCell ref="F18:G18"/>
    <mergeCell ref="B19:D19"/>
    <mergeCell ref="F19:G19"/>
    <mergeCell ref="B20:D20"/>
    <mergeCell ref="F20:G20"/>
    <mergeCell ref="B21:D21"/>
    <mergeCell ref="F21:G21"/>
    <mergeCell ref="B22:D22"/>
    <mergeCell ref="F22:G22"/>
    <mergeCell ref="B23:D23"/>
    <mergeCell ref="F23:G23"/>
    <mergeCell ref="B24:D24"/>
    <mergeCell ref="F24:G24"/>
    <mergeCell ref="B25:D25"/>
    <mergeCell ref="F25:G25"/>
    <mergeCell ref="B26:D26"/>
    <mergeCell ref="F26:G26"/>
    <mergeCell ref="B27:D27"/>
    <mergeCell ref="F27:G27"/>
    <mergeCell ref="B28:D28"/>
    <mergeCell ref="F28:G28"/>
    <mergeCell ref="B29:D29"/>
    <mergeCell ref="F29:G29"/>
    <mergeCell ref="B31:G31"/>
    <mergeCell ref="B32:G32"/>
    <mergeCell ref="C39:E39"/>
  </mergeCells>
  <phoneticPr fontId="0" type="noConversion"/>
  <dataValidations count="8">
    <dataValidation type="decimal" showErrorMessage="1" error="Invalid Entry" sqref="F4">
      <formula1>0.01</formula1>
      <formula2>10</formula2>
    </dataValidation>
    <dataValidation type="whole" showErrorMessage="1" error="Invalid Entry" sqref="B148 B153:B160 B177:B184 B201:B208 B225:B232 B249:B256 B273:B280 B297:B304 B321:B328 B363:B364 B706:B713 B387 B345:B352 B369:B376 B393:B400 B417:B424 B442:B449 B466:B473 B490:B497 B514:B521 B538:B545 B562:B569 B586:B593 B610:B617 B652:B653 B676 B634:B641 B658:B665 B682:B689">
      <formula1>0</formula1>
      <formula2>250</formula2>
    </dataValidation>
    <dataValidation type="decimal" showErrorMessage="1" error="Invalid Entry" sqref="A154:A159 A226:A231 A250:A255 A274:A279 A418:A423 A394:A399 A370:A375 A346:A351 A363:A364 A322:A327 A298:A303 A178:A183 A202:A207 A443:A448 A515:A520 A539:A544 A563:A568 A707:A712 A683:A688 A659:A664 A635:A640 A652:A653 A611:A616 A587:A592 A467:A472 A491:A496">
      <formula1>0</formula1>
      <formula2>100</formula2>
    </dataValidation>
    <dataValidation type="decimal" operator="equal" showErrorMessage="1" error="Invalid Entry" sqref="A148 A153 A273 A249 A225 A417 A393 A369 A201 A345 A177 A321 A297 A442 A562 A538 A514 A706 A682 A658 A490 A634 A466 A610 A586">
      <formula1>0</formula1>
    </dataValidation>
    <dataValidation type="decimal" operator="equal" showErrorMessage="1" error="Invalid Entry" sqref="A160 A424 A400 A352 A376 A387 A184 A208 A232 A256 A280 A304 A328 A449 A713 A689 A641 A665 A676 A473 A497 A521 A545 A569 A593 A617">
      <formula1>100</formula1>
    </dataValidation>
    <dataValidation error="Invalid Entry" sqref="D42:D137 L42:L137"/>
    <dataValidation operator="equal" error="Invalid Entry" sqref="C42:C137 K42:K137"/>
    <dataValidation type="whole" showInputMessage="1" showErrorMessage="1" sqref="B150 B174 B198 B222 B246 B270 B294 B318 B342 B366 B390 B414 B439 B463 B487 B511 B535 B559 B583 B607 B631 B655 B679 B703">
      <formula1>30</formula1>
      <formula2>60</formula2>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ValidateSit_Click">
                <anchor moveWithCells="1" sizeWithCells="1">
                  <from>
                    <xdr:col>2</xdr:col>
                    <xdr:colOff>942975</xdr:colOff>
                    <xdr:row>32</xdr:row>
                    <xdr:rowOff>152400</xdr:rowOff>
                  </from>
                  <to>
                    <xdr:col>3</xdr:col>
                    <xdr:colOff>1295400</xdr:colOff>
                    <xdr:row>36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Walk</vt:lpstr>
      <vt:lpstr>Stand</vt:lpstr>
      <vt:lpstr>Sit</vt:lpstr>
      <vt:lpstr>Sit!Print_Area</vt:lpstr>
      <vt:lpstr>Stand!Print_Area</vt:lpstr>
      <vt:lpstr>Walk!Print_Area</vt:lpstr>
    </vt:vector>
  </TitlesOfParts>
  <Company>Case Western Reserve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Gateway Client</dc:creator>
  <cp:lastModifiedBy>John Schnellenberger</cp:lastModifiedBy>
  <cp:lastPrinted>2010-08-23T19:33:55Z</cp:lastPrinted>
  <dcterms:created xsi:type="dcterms:W3CDTF">2007-08-23T14:48:36Z</dcterms:created>
  <dcterms:modified xsi:type="dcterms:W3CDTF">2015-10-15T18:21:39Z</dcterms:modified>
</cp:coreProperties>
</file>